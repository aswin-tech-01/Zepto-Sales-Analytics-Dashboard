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7D5D284F-31A2-419E-AE71-C53508D9CE50}" xr6:coauthVersionLast="47" xr6:coauthVersionMax="47" xr10:uidLastSave="{00000000-0000-0000-0000-000000000000}"/>
  <bookViews>
    <workbookView xWindow="-108" yWindow="-108" windowWidth="23256" windowHeight="12456" activeTab="3" xr2:uid="{00000000-000D-0000-FFFF-FFFF00000000}"/>
  </bookViews>
  <sheets>
    <sheet name="DATASET" sheetId="1" r:id="rId1"/>
    <sheet name="PIVOTS AND CHARTS " sheetId="6" r:id="rId2"/>
    <sheet name="KPI" sheetId="3" r:id="rId3"/>
    <sheet name="ZEPTO PROJECT" sheetId="5" r:id="rId4"/>
  </sheets>
  <definedNames>
    <definedName name="_xlnm._FilterDatabase" localSheetId="0" hidden="1">DATASET!$A$1:$X$1501</definedName>
    <definedName name="Slicer_City1">#N/A</definedName>
    <definedName name="Slicer_Payment_Method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3" l="1"/>
  <c r="F12" i="3"/>
  <c r="F16" i="3"/>
  <c r="F15" i="3"/>
  <c r="F13" i="3"/>
  <c r="F14" i="3"/>
  <c r="F11" i="3"/>
  <c r="Z7"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N30" i="1"/>
  <c r="N25"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29" i="1"/>
  <c r="N28" i="1"/>
  <c r="N27" i="1"/>
  <c r="N26"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<sst xmlns="http://schemas.openxmlformats.org/spreadsheetml/2006/main" count="16604" uniqueCount="2364">
  <si>
    <t>Order_ID</t>
  </si>
  <si>
    <t>Customer_Name</t>
  </si>
  <si>
    <t>Customer_Type</t>
  </si>
  <si>
    <t>Customer_Segment</t>
  </si>
  <si>
    <t>City</t>
  </si>
  <si>
    <t>Pincode</t>
  </si>
  <si>
    <t>Payment_Method</t>
  </si>
  <si>
    <t>SKU</t>
  </si>
  <si>
    <t>Product_Name</t>
  </si>
  <si>
    <t>Category</t>
  </si>
  <si>
    <t>Qty</t>
  </si>
  <si>
    <t>Price</t>
  </si>
  <si>
    <t>Discount</t>
  </si>
  <si>
    <t>Subtotal</t>
  </si>
  <si>
    <t>Tax</t>
  </si>
  <si>
    <t>Delivery_Fee</t>
  </si>
  <si>
    <t>Surge_Fee</t>
  </si>
  <si>
    <t>Delivery_Status</t>
  </si>
  <si>
    <t>Delivery_Time</t>
  </si>
  <si>
    <t>O0001</t>
  </si>
  <si>
    <t>Cust_0</t>
  </si>
  <si>
    <t>Bulk</t>
  </si>
  <si>
    <t>Bakery</t>
  </si>
  <si>
    <t>Wallet</t>
  </si>
  <si>
    <t>SKU0</t>
  </si>
  <si>
    <t>Product_0</t>
  </si>
  <si>
    <t>Veg</t>
  </si>
  <si>
    <t>Delivered</t>
  </si>
  <si>
    <t>O0002</t>
  </si>
  <si>
    <t>Cust_1</t>
  </si>
  <si>
    <t>UPI</t>
  </si>
  <si>
    <t>SKU1</t>
  </si>
  <si>
    <t>Product_1</t>
  </si>
  <si>
    <t>Essentials</t>
  </si>
  <si>
    <t>Cancelled</t>
  </si>
  <si>
    <t>O0003</t>
  </si>
  <si>
    <t>Cust_2</t>
  </si>
  <si>
    <t>Café</t>
  </si>
  <si>
    <t>SKU2</t>
  </si>
  <si>
    <t>Product_2</t>
  </si>
  <si>
    <t>Fruits</t>
  </si>
  <si>
    <t>O0004</t>
  </si>
  <si>
    <t>Cust_3</t>
  </si>
  <si>
    <t>SKU3</t>
  </si>
  <si>
    <t>Product_3</t>
  </si>
  <si>
    <t>Frozen</t>
  </si>
  <si>
    <t>O0005</t>
  </si>
  <si>
    <t>Cust_4</t>
  </si>
  <si>
    <t>SKU4</t>
  </si>
  <si>
    <t>Product_4</t>
  </si>
  <si>
    <t>snaks</t>
  </si>
  <si>
    <t>O0006</t>
  </si>
  <si>
    <t>Cust_5</t>
  </si>
  <si>
    <t>SKU5</t>
  </si>
  <si>
    <t>Product_5</t>
  </si>
  <si>
    <t>Other</t>
  </si>
  <si>
    <t>O0007</t>
  </si>
  <si>
    <t>Cust_6</t>
  </si>
  <si>
    <t>SKU6</t>
  </si>
  <si>
    <t>Product_6</t>
  </si>
  <si>
    <t>O0008</t>
  </si>
  <si>
    <t>Cust_7</t>
  </si>
  <si>
    <t>COD</t>
  </si>
  <si>
    <t>SKU7</t>
  </si>
  <si>
    <t>Product_7</t>
  </si>
  <si>
    <t>frozen</t>
  </si>
  <si>
    <t>O0009</t>
  </si>
  <si>
    <t>Cust_8</t>
  </si>
  <si>
    <t>Office</t>
  </si>
  <si>
    <t>SKU8</t>
  </si>
  <si>
    <t>Product_8</t>
  </si>
  <si>
    <t>Snacks</t>
  </si>
  <si>
    <t>O0010</t>
  </si>
  <si>
    <t>Cust_9</t>
  </si>
  <si>
    <t>Cloud Kitchen</t>
  </si>
  <si>
    <t>SKU9</t>
  </si>
  <si>
    <t>Product_9</t>
  </si>
  <si>
    <t>DIARY</t>
  </si>
  <si>
    <t>O0011</t>
  </si>
  <si>
    <t>Cust_10</t>
  </si>
  <si>
    <t>New</t>
  </si>
  <si>
    <t>Household</t>
  </si>
  <si>
    <t>SKU10</t>
  </si>
  <si>
    <t>Product_10</t>
  </si>
  <si>
    <t>Failed</t>
  </si>
  <si>
    <t>O0012</t>
  </si>
  <si>
    <t>Cust_11</t>
  </si>
  <si>
    <t>SKU11</t>
  </si>
  <si>
    <t>Product_11</t>
  </si>
  <si>
    <t xml:space="preserve">FRUITS </t>
  </si>
  <si>
    <t>O0013</t>
  </si>
  <si>
    <t>Cust_12</t>
  </si>
  <si>
    <t>SKU12</t>
  </si>
  <si>
    <t>Product_12</t>
  </si>
  <si>
    <t>O0014</t>
  </si>
  <si>
    <t>Cust_13</t>
  </si>
  <si>
    <t>SKU13</t>
  </si>
  <si>
    <t>Product_13</t>
  </si>
  <si>
    <t>Baby</t>
  </si>
  <si>
    <t>O0015</t>
  </si>
  <si>
    <t>Cust_14</t>
  </si>
  <si>
    <t>Returning</t>
  </si>
  <si>
    <t>SKU14</t>
  </si>
  <si>
    <t>Product_14</t>
  </si>
  <si>
    <t>O0016</t>
  </si>
  <si>
    <t>Cust_15</t>
  </si>
  <si>
    <t>Tea Stall</t>
  </si>
  <si>
    <t>SKU15</t>
  </si>
  <si>
    <t>Product_15</t>
  </si>
  <si>
    <t>O0017</t>
  </si>
  <si>
    <t>Cust_16</t>
  </si>
  <si>
    <t>SKU16</t>
  </si>
  <si>
    <t>Product_16</t>
  </si>
  <si>
    <t>O0018</t>
  </si>
  <si>
    <t>Cust_17</t>
  </si>
  <si>
    <t>SKU17</t>
  </si>
  <si>
    <t>Product_17</t>
  </si>
  <si>
    <t>Returned</t>
  </si>
  <si>
    <t>O0019</t>
  </si>
  <si>
    <t>Cust_18</t>
  </si>
  <si>
    <t>SKU18</t>
  </si>
  <si>
    <t>Product_18</t>
  </si>
  <si>
    <t>O0020</t>
  </si>
  <si>
    <t>Cust_19</t>
  </si>
  <si>
    <t>SKU19</t>
  </si>
  <si>
    <t>Product_19</t>
  </si>
  <si>
    <t>O0021</t>
  </si>
  <si>
    <t>Cust_20</t>
  </si>
  <si>
    <t>SKU20</t>
  </si>
  <si>
    <t>Product_20</t>
  </si>
  <si>
    <t>bevrage</t>
  </si>
  <si>
    <t>O0022</t>
  </si>
  <si>
    <t>Cust_21</t>
  </si>
  <si>
    <t>SKU21</t>
  </si>
  <si>
    <t>Product_21</t>
  </si>
  <si>
    <t>Beverages</t>
  </si>
  <si>
    <t>O0023</t>
  </si>
  <si>
    <t>Cust_22</t>
  </si>
  <si>
    <t>SKU22</t>
  </si>
  <si>
    <t>Product_22</t>
  </si>
  <si>
    <t>veg</t>
  </si>
  <si>
    <t>O0024</t>
  </si>
  <si>
    <t>Cust_23</t>
  </si>
  <si>
    <t>SKU23</t>
  </si>
  <si>
    <t>Product_23</t>
  </si>
  <si>
    <t>O0025</t>
  </si>
  <si>
    <t>Cust_24</t>
  </si>
  <si>
    <t>SKU24</t>
  </si>
  <si>
    <t>Product_24</t>
  </si>
  <si>
    <t>O0026</t>
  </si>
  <si>
    <t>Cust_25</t>
  </si>
  <si>
    <t>SKU25</t>
  </si>
  <si>
    <t>Product_25</t>
  </si>
  <si>
    <t>O0027</t>
  </si>
  <si>
    <t>Cust_26</t>
  </si>
  <si>
    <t>SKU26</t>
  </si>
  <si>
    <t>Product_26</t>
  </si>
  <si>
    <t>O0028</t>
  </si>
  <si>
    <t>Cust_27</t>
  </si>
  <si>
    <t>SKU27</t>
  </si>
  <si>
    <t>Product_27</t>
  </si>
  <si>
    <t>O0029</t>
  </si>
  <si>
    <t>Cust_28</t>
  </si>
  <si>
    <t>SKU28</t>
  </si>
  <si>
    <t>Product_28</t>
  </si>
  <si>
    <t>O0030</t>
  </si>
  <si>
    <t>Cust_29</t>
  </si>
  <si>
    <t>SKU29</t>
  </si>
  <si>
    <t>Product_29</t>
  </si>
  <si>
    <t>O0031</t>
  </si>
  <si>
    <t>Cust_30</t>
  </si>
  <si>
    <t>SKU30</t>
  </si>
  <si>
    <t>Product_30</t>
  </si>
  <si>
    <t>O0032</t>
  </si>
  <si>
    <t>Cust_31</t>
  </si>
  <si>
    <t>SKU31</t>
  </si>
  <si>
    <t>Product_31</t>
  </si>
  <si>
    <t>Dairy</t>
  </si>
  <si>
    <t>O0033</t>
  </si>
  <si>
    <t>Cust_32</t>
  </si>
  <si>
    <t>SKU32</t>
  </si>
  <si>
    <t>Product_32</t>
  </si>
  <si>
    <t>O0034</t>
  </si>
  <si>
    <t>Cust_33</t>
  </si>
  <si>
    <t>SKU33</t>
  </si>
  <si>
    <t>Product_33</t>
  </si>
  <si>
    <t>O0035</t>
  </si>
  <si>
    <t>Cust_34</t>
  </si>
  <si>
    <t>SKU34</t>
  </si>
  <si>
    <t>Product_34</t>
  </si>
  <si>
    <t>O0036</t>
  </si>
  <si>
    <t>Cust_35</t>
  </si>
  <si>
    <t>SKU35</t>
  </si>
  <si>
    <t>Product_35</t>
  </si>
  <si>
    <t>O0037</t>
  </si>
  <si>
    <t>Cust_36</t>
  </si>
  <si>
    <t>SKU36</t>
  </si>
  <si>
    <t>Product_36</t>
  </si>
  <si>
    <t>O0038</t>
  </si>
  <si>
    <t>Cust_37</t>
  </si>
  <si>
    <t>SKU37</t>
  </si>
  <si>
    <t>Product_37</t>
  </si>
  <si>
    <t>O0039</t>
  </si>
  <si>
    <t>Cust_38</t>
  </si>
  <si>
    <t>SKU38</t>
  </si>
  <si>
    <t>Product_38</t>
  </si>
  <si>
    <t>O0040</t>
  </si>
  <si>
    <t>Cust_39</t>
  </si>
  <si>
    <t>SKU39</t>
  </si>
  <si>
    <t>Product_39</t>
  </si>
  <si>
    <t>O0041</t>
  </si>
  <si>
    <t>Cust_40</t>
  </si>
  <si>
    <t>SKU40</t>
  </si>
  <si>
    <t>Product_40</t>
  </si>
  <si>
    <t>O0042</t>
  </si>
  <si>
    <t>Cust_41</t>
  </si>
  <si>
    <t>SKU41</t>
  </si>
  <si>
    <t>Product_41</t>
  </si>
  <si>
    <t>O0043</t>
  </si>
  <si>
    <t>Cust_42</t>
  </si>
  <si>
    <t>SKU42</t>
  </si>
  <si>
    <t>Product_42</t>
  </si>
  <si>
    <t>O0044</t>
  </si>
  <si>
    <t>Cust_43</t>
  </si>
  <si>
    <t>SKU43</t>
  </si>
  <si>
    <t>Product_43</t>
  </si>
  <si>
    <t>O0045</t>
  </si>
  <si>
    <t>Cust_44</t>
  </si>
  <si>
    <t>SKU44</t>
  </si>
  <si>
    <t>Product_44</t>
  </si>
  <si>
    <t>O0046</t>
  </si>
  <si>
    <t>Cust_45</t>
  </si>
  <si>
    <t>SKU45</t>
  </si>
  <si>
    <t>Product_45</t>
  </si>
  <si>
    <t>O0047</t>
  </si>
  <si>
    <t>Cust_46</t>
  </si>
  <si>
    <t>SKU46</t>
  </si>
  <si>
    <t>Product_46</t>
  </si>
  <si>
    <t>O0048</t>
  </si>
  <si>
    <t>Cust_47</t>
  </si>
  <si>
    <t>SKU47</t>
  </si>
  <si>
    <t>Product_47</t>
  </si>
  <si>
    <t>O0049</t>
  </si>
  <si>
    <t>Cust_48</t>
  </si>
  <si>
    <t>SKU48</t>
  </si>
  <si>
    <t>Product_48</t>
  </si>
  <si>
    <t>O0050</t>
  </si>
  <si>
    <t>Cust_49</t>
  </si>
  <si>
    <t>SKU49</t>
  </si>
  <si>
    <t>Product_49</t>
  </si>
  <si>
    <t>O0051</t>
  </si>
  <si>
    <t>Cust_50</t>
  </si>
  <si>
    <t>SKU50</t>
  </si>
  <si>
    <t>Product_50</t>
  </si>
  <si>
    <t>O0052</t>
  </si>
  <si>
    <t>Cust_51</t>
  </si>
  <si>
    <t>SKU51</t>
  </si>
  <si>
    <t>Product_51</t>
  </si>
  <si>
    <t>O0053</t>
  </si>
  <si>
    <t>Cust_52</t>
  </si>
  <si>
    <t>SKU52</t>
  </si>
  <si>
    <t>Product_52</t>
  </si>
  <si>
    <t>O0054</t>
  </si>
  <si>
    <t>Cust_53</t>
  </si>
  <si>
    <t>SKU53</t>
  </si>
  <si>
    <t>Product_53</t>
  </si>
  <si>
    <t>O0055</t>
  </si>
  <si>
    <t>Cust_54</t>
  </si>
  <si>
    <t>SKU54</t>
  </si>
  <si>
    <t>Product_54</t>
  </si>
  <si>
    <t>O0056</t>
  </si>
  <si>
    <t>Cust_55</t>
  </si>
  <si>
    <t>SKU55</t>
  </si>
  <si>
    <t>Product_55</t>
  </si>
  <si>
    <t>O0057</t>
  </si>
  <si>
    <t>Cust_56</t>
  </si>
  <si>
    <t>SKU56</t>
  </si>
  <si>
    <t>Product_56</t>
  </si>
  <si>
    <t>O0058</t>
  </si>
  <si>
    <t>Cust_57</t>
  </si>
  <si>
    <t>SKU57</t>
  </si>
  <si>
    <t>Product_57</t>
  </si>
  <si>
    <t>O0059</t>
  </si>
  <si>
    <t>Cust_58</t>
  </si>
  <si>
    <t>SKU58</t>
  </si>
  <si>
    <t>Product_58</t>
  </si>
  <si>
    <t>O0060</t>
  </si>
  <si>
    <t>Cust_59</t>
  </si>
  <si>
    <t>SKU59</t>
  </si>
  <si>
    <t>Product_59</t>
  </si>
  <si>
    <t>O0061</t>
  </si>
  <si>
    <t>Cust_60</t>
  </si>
  <si>
    <t>SKU60</t>
  </si>
  <si>
    <t>Product_60</t>
  </si>
  <si>
    <t>O0062</t>
  </si>
  <si>
    <t>Cust_61</t>
  </si>
  <si>
    <t>SKU61</t>
  </si>
  <si>
    <t>Product_61</t>
  </si>
  <si>
    <t>O0063</t>
  </si>
  <si>
    <t>Cust_62</t>
  </si>
  <si>
    <t>SKU62</t>
  </si>
  <si>
    <t>Product_62</t>
  </si>
  <si>
    <t>O0064</t>
  </si>
  <si>
    <t>Cust_63</t>
  </si>
  <si>
    <t>SKU63</t>
  </si>
  <si>
    <t>Product_63</t>
  </si>
  <si>
    <t>O0065</t>
  </si>
  <si>
    <t>Cust_64</t>
  </si>
  <si>
    <t>SKU64</t>
  </si>
  <si>
    <t>Product_64</t>
  </si>
  <si>
    <t>O0066</t>
  </si>
  <si>
    <t>Cust_65</t>
  </si>
  <si>
    <t>SKU65</t>
  </si>
  <si>
    <t>Product_65</t>
  </si>
  <si>
    <t>O0067</t>
  </si>
  <si>
    <t>Cust_66</t>
  </si>
  <si>
    <t>SKU66</t>
  </si>
  <si>
    <t>Product_66</t>
  </si>
  <si>
    <t>O0068</t>
  </si>
  <si>
    <t>Cust_67</t>
  </si>
  <si>
    <t>SKU67</t>
  </si>
  <si>
    <t>Product_67</t>
  </si>
  <si>
    <t>O0069</t>
  </si>
  <si>
    <t>Cust_68</t>
  </si>
  <si>
    <t>SKU68</t>
  </si>
  <si>
    <t>Product_68</t>
  </si>
  <si>
    <t>O0070</t>
  </si>
  <si>
    <t>Cust_69</t>
  </si>
  <si>
    <t>SKU69</t>
  </si>
  <si>
    <t>Product_69</t>
  </si>
  <si>
    <t>O0071</t>
  </si>
  <si>
    <t>Cust_70</t>
  </si>
  <si>
    <t>SKU70</t>
  </si>
  <si>
    <t>Product_70</t>
  </si>
  <si>
    <t>O0072</t>
  </si>
  <si>
    <t>Cust_71</t>
  </si>
  <si>
    <t>SKU71</t>
  </si>
  <si>
    <t>Product_71</t>
  </si>
  <si>
    <t>O0073</t>
  </si>
  <si>
    <t>Cust_72</t>
  </si>
  <si>
    <t>SKU72</t>
  </si>
  <si>
    <t>Product_72</t>
  </si>
  <si>
    <t>O0074</t>
  </si>
  <si>
    <t>Cust_73</t>
  </si>
  <si>
    <t>SKU73</t>
  </si>
  <si>
    <t>Product_73</t>
  </si>
  <si>
    <t>O0075</t>
  </si>
  <si>
    <t>Cust_74</t>
  </si>
  <si>
    <t>SKU74</t>
  </si>
  <si>
    <t>Product_74</t>
  </si>
  <si>
    <t>O0076</t>
  </si>
  <si>
    <t>Cust_75</t>
  </si>
  <si>
    <t>SKU75</t>
  </si>
  <si>
    <t>Product_75</t>
  </si>
  <si>
    <t>O0077</t>
  </si>
  <si>
    <t>Cust_76</t>
  </si>
  <si>
    <t>SKU76</t>
  </si>
  <si>
    <t>Product_76</t>
  </si>
  <si>
    <t>O0078</t>
  </si>
  <si>
    <t>Cust_77</t>
  </si>
  <si>
    <t>SKU77</t>
  </si>
  <si>
    <t>Product_77</t>
  </si>
  <si>
    <t>O0079</t>
  </si>
  <si>
    <t>Cust_78</t>
  </si>
  <si>
    <t>SKU78</t>
  </si>
  <si>
    <t>Product_78</t>
  </si>
  <si>
    <t>O0080</t>
  </si>
  <si>
    <t>Cust_79</t>
  </si>
  <si>
    <t>SKU79</t>
  </si>
  <si>
    <t>Product_79</t>
  </si>
  <si>
    <t>O0081</t>
  </si>
  <si>
    <t>Cust_80</t>
  </si>
  <si>
    <t>SKU80</t>
  </si>
  <si>
    <t>Product_80</t>
  </si>
  <si>
    <t>O0082</t>
  </si>
  <si>
    <t>Cust_81</t>
  </si>
  <si>
    <t>SKU81</t>
  </si>
  <si>
    <t>Product_81</t>
  </si>
  <si>
    <t>O0083</t>
  </si>
  <si>
    <t>Cust_82</t>
  </si>
  <si>
    <t>SKU82</t>
  </si>
  <si>
    <t>Product_82</t>
  </si>
  <si>
    <t>O0084</t>
  </si>
  <si>
    <t>Cust_83</t>
  </si>
  <si>
    <t>SKU83</t>
  </si>
  <si>
    <t>Product_83</t>
  </si>
  <si>
    <t>O0085</t>
  </si>
  <si>
    <t>Cust_84</t>
  </si>
  <si>
    <t>SKU84</t>
  </si>
  <si>
    <t>Product_84</t>
  </si>
  <si>
    <t>O0086</t>
  </si>
  <si>
    <t>Cust_85</t>
  </si>
  <si>
    <t>SKU85</t>
  </si>
  <si>
    <t>Product_85</t>
  </si>
  <si>
    <t>O0087</t>
  </si>
  <si>
    <t>Cust_86</t>
  </si>
  <si>
    <t>SKU86</t>
  </si>
  <si>
    <t>Product_86</t>
  </si>
  <si>
    <t>O0088</t>
  </si>
  <si>
    <t>Cust_87</t>
  </si>
  <si>
    <t>SKU87</t>
  </si>
  <si>
    <t>Product_87</t>
  </si>
  <si>
    <t>O0089</t>
  </si>
  <si>
    <t>Cust_88</t>
  </si>
  <si>
    <t>SKU88</t>
  </si>
  <si>
    <t>Product_88</t>
  </si>
  <si>
    <t>O0090</t>
  </si>
  <si>
    <t>Cust_89</t>
  </si>
  <si>
    <t>SKU89</t>
  </si>
  <si>
    <t>Product_89</t>
  </si>
  <si>
    <t>O0091</t>
  </si>
  <si>
    <t>Cust_90</t>
  </si>
  <si>
    <t>SKU90</t>
  </si>
  <si>
    <t>Product_90</t>
  </si>
  <si>
    <t>O0092</t>
  </si>
  <si>
    <t>Cust_91</t>
  </si>
  <si>
    <t>SKU91</t>
  </si>
  <si>
    <t>Product_91</t>
  </si>
  <si>
    <t>O0093</t>
  </si>
  <si>
    <t>Cust_92</t>
  </si>
  <si>
    <t>SKU92</t>
  </si>
  <si>
    <t>Product_92</t>
  </si>
  <si>
    <t>O0094</t>
  </si>
  <si>
    <t>Cust_93</t>
  </si>
  <si>
    <t>SKU93</t>
  </si>
  <si>
    <t>Product_93</t>
  </si>
  <si>
    <t>O0095</t>
  </si>
  <si>
    <t>Cust_94</t>
  </si>
  <si>
    <t>SKU94</t>
  </si>
  <si>
    <t>Product_94</t>
  </si>
  <si>
    <t>O0096</t>
  </si>
  <si>
    <t>Cust_95</t>
  </si>
  <si>
    <t>SKU95</t>
  </si>
  <si>
    <t>Product_95</t>
  </si>
  <si>
    <t>O0097</t>
  </si>
  <si>
    <t>Cust_96</t>
  </si>
  <si>
    <t>SKU96</t>
  </si>
  <si>
    <t>Product_96</t>
  </si>
  <si>
    <t>O0098</t>
  </si>
  <si>
    <t>Cust_97</t>
  </si>
  <si>
    <t>SKU97</t>
  </si>
  <si>
    <t>Product_97</t>
  </si>
  <si>
    <t>O0099</t>
  </si>
  <si>
    <t>Cust_98</t>
  </si>
  <si>
    <t>SKU98</t>
  </si>
  <si>
    <t>Product_98</t>
  </si>
  <si>
    <t>O0100</t>
  </si>
  <si>
    <t>Cust_99</t>
  </si>
  <si>
    <t>SKU99</t>
  </si>
  <si>
    <t>Product_99</t>
  </si>
  <si>
    <t>O0101</t>
  </si>
  <si>
    <t>Cust_100</t>
  </si>
  <si>
    <t>SKU100</t>
  </si>
  <si>
    <t>Product_100</t>
  </si>
  <si>
    <t>O0102</t>
  </si>
  <si>
    <t>Cust_101</t>
  </si>
  <si>
    <t>SKU101</t>
  </si>
  <si>
    <t>Product_101</t>
  </si>
  <si>
    <t>O0103</t>
  </si>
  <si>
    <t>Cust_102</t>
  </si>
  <si>
    <t>SKU102</t>
  </si>
  <si>
    <t>Product_102</t>
  </si>
  <si>
    <t>O0104</t>
  </si>
  <si>
    <t>Cust_103</t>
  </si>
  <si>
    <t>SKU103</t>
  </si>
  <si>
    <t>Product_103</t>
  </si>
  <si>
    <t>O0105</t>
  </si>
  <si>
    <t>Cust_104</t>
  </si>
  <si>
    <t>SKU104</t>
  </si>
  <si>
    <t>Product_104</t>
  </si>
  <si>
    <t>O0106</t>
  </si>
  <si>
    <t>Cust_105</t>
  </si>
  <si>
    <t>SKU105</t>
  </si>
  <si>
    <t>Product_105</t>
  </si>
  <si>
    <t>O0107</t>
  </si>
  <si>
    <t>Cust_106</t>
  </si>
  <si>
    <t>SKU106</t>
  </si>
  <si>
    <t>Product_106</t>
  </si>
  <si>
    <t>O0108</t>
  </si>
  <si>
    <t>Cust_107</t>
  </si>
  <si>
    <t>SKU107</t>
  </si>
  <si>
    <t>Product_107</t>
  </si>
  <si>
    <t>O0109</t>
  </si>
  <si>
    <t>Cust_108</t>
  </si>
  <si>
    <t>SKU108</t>
  </si>
  <si>
    <t>Product_108</t>
  </si>
  <si>
    <t>O0110</t>
  </si>
  <si>
    <t>Cust_109</t>
  </si>
  <si>
    <t>SKU109</t>
  </si>
  <si>
    <t>Product_109</t>
  </si>
  <si>
    <t>O0111</t>
  </si>
  <si>
    <t>Cust_110</t>
  </si>
  <si>
    <t>SKU110</t>
  </si>
  <si>
    <t>Product_110</t>
  </si>
  <si>
    <t>O0112</t>
  </si>
  <si>
    <t>Cust_111</t>
  </si>
  <si>
    <t>SKU111</t>
  </si>
  <si>
    <t>Product_111</t>
  </si>
  <si>
    <t>O0113</t>
  </si>
  <si>
    <t>Cust_112</t>
  </si>
  <si>
    <t>SKU112</t>
  </si>
  <si>
    <t>Product_112</t>
  </si>
  <si>
    <t>O0114</t>
  </si>
  <si>
    <t>Cust_113</t>
  </si>
  <si>
    <t>SKU113</t>
  </si>
  <si>
    <t>Product_113</t>
  </si>
  <si>
    <t>O0115</t>
  </si>
  <si>
    <t>Cust_114</t>
  </si>
  <si>
    <t>SKU114</t>
  </si>
  <si>
    <t>Product_114</t>
  </si>
  <si>
    <t>O0116</t>
  </si>
  <si>
    <t>Cust_115</t>
  </si>
  <si>
    <t>SKU115</t>
  </si>
  <si>
    <t>Product_115</t>
  </si>
  <si>
    <t>O0117</t>
  </si>
  <si>
    <t>Cust_116</t>
  </si>
  <si>
    <t>SKU116</t>
  </si>
  <si>
    <t>Product_116</t>
  </si>
  <si>
    <t>O0118</t>
  </si>
  <si>
    <t>Cust_117</t>
  </si>
  <si>
    <t>SKU117</t>
  </si>
  <si>
    <t>Product_117</t>
  </si>
  <si>
    <t>O0119</t>
  </si>
  <si>
    <t>Cust_118</t>
  </si>
  <si>
    <t>SKU118</t>
  </si>
  <si>
    <t>Product_118</t>
  </si>
  <si>
    <t>O0120</t>
  </si>
  <si>
    <t>Cust_119</t>
  </si>
  <si>
    <t>SKU119</t>
  </si>
  <si>
    <t>Product_119</t>
  </si>
  <si>
    <t>O0121</t>
  </si>
  <si>
    <t>Cust_120</t>
  </si>
  <si>
    <t>SKU120</t>
  </si>
  <si>
    <t>Product_120</t>
  </si>
  <si>
    <t>O0122</t>
  </si>
  <si>
    <t>Cust_121</t>
  </si>
  <si>
    <t>SKU121</t>
  </si>
  <si>
    <t>Product_121</t>
  </si>
  <si>
    <t>O0123</t>
  </si>
  <si>
    <t>Cust_122</t>
  </si>
  <si>
    <t>SKU122</t>
  </si>
  <si>
    <t>Product_122</t>
  </si>
  <si>
    <t>O0124</t>
  </si>
  <si>
    <t>Cust_123</t>
  </si>
  <si>
    <t>SKU123</t>
  </si>
  <si>
    <t>Product_123</t>
  </si>
  <si>
    <t>O0125</t>
  </si>
  <si>
    <t>Cust_124</t>
  </si>
  <si>
    <t>SKU124</t>
  </si>
  <si>
    <t>Product_124</t>
  </si>
  <si>
    <t>O0126</t>
  </si>
  <si>
    <t>Cust_125</t>
  </si>
  <si>
    <t>SKU125</t>
  </si>
  <si>
    <t>Product_125</t>
  </si>
  <si>
    <t>O0127</t>
  </si>
  <si>
    <t>Cust_126</t>
  </si>
  <si>
    <t>SKU126</t>
  </si>
  <si>
    <t>Product_126</t>
  </si>
  <si>
    <t>O0128</t>
  </si>
  <si>
    <t>Cust_127</t>
  </si>
  <si>
    <t>SKU127</t>
  </si>
  <si>
    <t>Product_127</t>
  </si>
  <si>
    <t>O0129</t>
  </si>
  <si>
    <t>Cust_128</t>
  </si>
  <si>
    <t>SKU128</t>
  </si>
  <si>
    <t>Product_128</t>
  </si>
  <si>
    <t>O0130</t>
  </si>
  <si>
    <t>Cust_129</t>
  </si>
  <si>
    <t>SKU129</t>
  </si>
  <si>
    <t>Product_129</t>
  </si>
  <si>
    <t>O0131</t>
  </si>
  <si>
    <t>Cust_130</t>
  </si>
  <si>
    <t>SKU130</t>
  </si>
  <si>
    <t>Product_130</t>
  </si>
  <si>
    <t>O0132</t>
  </si>
  <si>
    <t>Cust_131</t>
  </si>
  <si>
    <t>SKU131</t>
  </si>
  <si>
    <t>Product_131</t>
  </si>
  <si>
    <t>O0133</t>
  </si>
  <si>
    <t>Cust_132</t>
  </si>
  <si>
    <t>SKU132</t>
  </si>
  <si>
    <t>Product_132</t>
  </si>
  <si>
    <t>O0134</t>
  </si>
  <si>
    <t>Cust_133</t>
  </si>
  <si>
    <t>SKU133</t>
  </si>
  <si>
    <t>Product_133</t>
  </si>
  <si>
    <t>O0135</t>
  </si>
  <si>
    <t>Cust_134</t>
  </si>
  <si>
    <t>SKU134</t>
  </si>
  <si>
    <t>Product_134</t>
  </si>
  <si>
    <t>O0136</t>
  </si>
  <si>
    <t>Cust_135</t>
  </si>
  <si>
    <t>SKU135</t>
  </si>
  <si>
    <t>Product_135</t>
  </si>
  <si>
    <t>O0137</t>
  </si>
  <si>
    <t>Cust_136</t>
  </si>
  <si>
    <t>SKU136</t>
  </si>
  <si>
    <t>Product_136</t>
  </si>
  <si>
    <t>O0138</t>
  </si>
  <si>
    <t>Cust_137</t>
  </si>
  <si>
    <t>SKU137</t>
  </si>
  <si>
    <t>Product_137</t>
  </si>
  <si>
    <t>O0139</t>
  </si>
  <si>
    <t>Cust_138</t>
  </si>
  <si>
    <t>SKU138</t>
  </si>
  <si>
    <t>Product_138</t>
  </si>
  <si>
    <t>O0140</t>
  </si>
  <si>
    <t>Cust_139</t>
  </si>
  <si>
    <t>SKU139</t>
  </si>
  <si>
    <t>Product_139</t>
  </si>
  <si>
    <t>O0141</t>
  </si>
  <si>
    <t>Cust_140</t>
  </si>
  <si>
    <t>SKU140</t>
  </si>
  <si>
    <t>Product_140</t>
  </si>
  <si>
    <t>O0142</t>
  </si>
  <si>
    <t>Cust_141</t>
  </si>
  <si>
    <t>SKU141</t>
  </si>
  <si>
    <t>Product_141</t>
  </si>
  <si>
    <t>O0143</t>
  </si>
  <si>
    <t>Cust_142</t>
  </si>
  <si>
    <t>SKU142</t>
  </si>
  <si>
    <t>Product_142</t>
  </si>
  <si>
    <t>O0144</t>
  </si>
  <si>
    <t>Cust_143</t>
  </si>
  <si>
    <t>SKU143</t>
  </si>
  <si>
    <t>Product_143</t>
  </si>
  <si>
    <t>O0145</t>
  </si>
  <si>
    <t>Cust_144</t>
  </si>
  <si>
    <t>SKU144</t>
  </si>
  <si>
    <t>Product_144</t>
  </si>
  <si>
    <t>O0146</t>
  </si>
  <si>
    <t>Cust_145</t>
  </si>
  <si>
    <t>SKU145</t>
  </si>
  <si>
    <t>Product_145</t>
  </si>
  <si>
    <t>O0147</t>
  </si>
  <si>
    <t>Cust_146</t>
  </si>
  <si>
    <t>SKU146</t>
  </si>
  <si>
    <t>Product_146</t>
  </si>
  <si>
    <t>O0148</t>
  </si>
  <si>
    <t>Cust_147</t>
  </si>
  <si>
    <t>SKU147</t>
  </si>
  <si>
    <t>Product_147</t>
  </si>
  <si>
    <t>O0149</t>
  </si>
  <si>
    <t>Cust_148</t>
  </si>
  <si>
    <t>SKU148</t>
  </si>
  <si>
    <t>Product_148</t>
  </si>
  <si>
    <t>O0150</t>
  </si>
  <si>
    <t>Cust_149</t>
  </si>
  <si>
    <t>SKU149</t>
  </si>
  <si>
    <t>Product_149</t>
  </si>
  <si>
    <t>O0151</t>
  </si>
  <si>
    <t>Cust_150</t>
  </si>
  <si>
    <t>SKU150</t>
  </si>
  <si>
    <t>Product_150</t>
  </si>
  <si>
    <t>O0152</t>
  </si>
  <si>
    <t>Cust_151</t>
  </si>
  <si>
    <t>SKU151</t>
  </si>
  <si>
    <t>Product_151</t>
  </si>
  <si>
    <t>O0153</t>
  </si>
  <si>
    <t>Cust_152</t>
  </si>
  <si>
    <t>SKU152</t>
  </si>
  <si>
    <t>Product_152</t>
  </si>
  <si>
    <t>O0154</t>
  </si>
  <si>
    <t>Cust_153</t>
  </si>
  <si>
    <t>SKU153</t>
  </si>
  <si>
    <t>Product_153</t>
  </si>
  <si>
    <t>O0155</t>
  </si>
  <si>
    <t>Cust_154</t>
  </si>
  <si>
    <t>SKU154</t>
  </si>
  <si>
    <t>Product_154</t>
  </si>
  <si>
    <t>O0156</t>
  </si>
  <si>
    <t>Cust_155</t>
  </si>
  <si>
    <t>SKU155</t>
  </si>
  <si>
    <t>Product_155</t>
  </si>
  <si>
    <t>O0157</t>
  </si>
  <si>
    <t>Cust_156</t>
  </si>
  <si>
    <t>SKU156</t>
  </si>
  <si>
    <t>Product_156</t>
  </si>
  <si>
    <t>O0158</t>
  </si>
  <si>
    <t>Cust_157</t>
  </si>
  <si>
    <t>SKU157</t>
  </si>
  <si>
    <t>Product_157</t>
  </si>
  <si>
    <t>O0159</t>
  </si>
  <si>
    <t>Cust_158</t>
  </si>
  <si>
    <t>SKU158</t>
  </si>
  <si>
    <t>Product_158</t>
  </si>
  <si>
    <t>O0160</t>
  </si>
  <si>
    <t>Cust_159</t>
  </si>
  <si>
    <t>SKU159</t>
  </si>
  <si>
    <t>Product_159</t>
  </si>
  <si>
    <t>O0161</t>
  </si>
  <si>
    <t>Cust_160</t>
  </si>
  <si>
    <t>SKU160</t>
  </si>
  <si>
    <t>Product_160</t>
  </si>
  <si>
    <t>O0162</t>
  </si>
  <si>
    <t>Cust_161</t>
  </si>
  <si>
    <t>SKU161</t>
  </si>
  <si>
    <t>Product_161</t>
  </si>
  <si>
    <t>O0163</t>
  </si>
  <si>
    <t>Cust_162</t>
  </si>
  <si>
    <t>SKU162</t>
  </si>
  <si>
    <t>Product_162</t>
  </si>
  <si>
    <t>O0164</t>
  </si>
  <si>
    <t>Cust_163</t>
  </si>
  <si>
    <t>SKU163</t>
  </si>
  <si>
    <t>Product_163</t>
  </si>
  <si>
    <t>O0165</t>
  </si>
  <si>
    <t>Cust_164</t>
  </si>
  <si>
    <t>SKU164</t>
  </si>
  <si>
    <t>Product_164</t>
  </si>
  <si>
    <t>O0166</t>
  </si>
  <si>
    <t>Cust_165</t>
  </si>
  <si>
    <t>SKU165</t>
  </si>
  <si>
    <t>Product_165</t>
  </si>
  <si>
    <t>O0167</t>
  </si>
  <si>
    <t>Cust_166</t>
  </si>
  <si>
    <t>SKU166</t>
  </si>
  <si>
    <t>Product_166</t>
  </si>
  <si>
    <t>O0168</t>
  </si>
  <si>
    <t>Cust_167</t>
  </si>
  <si>
    <t>SKU167</t>
  </si>
  <si>
    <t>Product_167</t>
  </si>
  <si>
    <t>O0169</t>
  </si>
  <si>
    <t>Cust_168</t>
  </si>
  <si>
    <t>SKU168</t>
  </si>
  <si>
    <t>Product_168</t>
  </si>
  <si>
    <t>O0170</t>
  </si>
  <si>
    <t>Cust_169</t>
  </si>
  <si>
    <t>SKU169</t>
  </si>
  <si>
    <t>Product_169</t>
  </si>
  <si>
    <t>O0171</t>
  </si>
  <si>
    <t>Cust_170</t>
  </si>
  <si>
    <t>SKU170</t>
  </si>
  <si>
    <t>Product_170</t>
  </si>
  <si>
    <t>O0172</t>
  </si>
  <si>
    <t>Cust_171</t>
  </si>
  <si>
    <t>SKU171</t>
  </si>
  <si>
    <t>Product_171</t>
  </si>
  <si>
    <t>O0173</t>
  </si>
  <si>
    <t>Cust_172</t>
  </si>
  <si>
    <t>SKU172</t>
  </si>
  <si>
    <t>Product_172</t>
  </si>
  <si>
    <t>O0174</t>
  </si>
  <si>
    <t>Cust_173</t>
  </si>
  <si>
    <t>SKU173</t>
  </si>
  <si>
    <t>Product_173</t>
  </si>
  <si>
    <t>O0175</t>
  </si>
  <si>
    <t>Cust_174</t>
  </si>
  <si>
    <t>SKU174</t>
  </si>
  <si>
    <t>Product_174</t>
  </si>
  <si>
    <t>O0176</t>
  </si>
  <si>
    <t>Cust_175</t>
  </si>
  <si>
    <t>SKU175</t>
  </si>
  <si>
    <t>Product_175</t>
  </si>
  <si>
    <t>O0177</t>
  </si>
  <si>
    <t>Cust_176</t>
  </si>
  <si>
    <t>SKU176</t>
  </si>
  <si>
    <t>Product_176</t>
  </si>
  <si>
    <t>O0178</t>
  </si>
  <si>
    <t>Cust_177</t>
  </si>
  <si>
    <t>SKU177</t>
  </si>
  <si>
    <t>Product_177</t>
  </si>
  <si>
    <t>O0179</t>
  </si>
  <si>
    <t>Cust_178</t>
  </si>
  <si>
    <t>SKU178</t>
  </si>
  <si>
    <t>Product_178</t>
  </si>
  <si>
    <t>O0180</t>
  </si>
  <si>
    <t>Cust_179</t>
  </si>
  <si>
    <t>SKU179</t>
  </si>
  <si>
    <t>Product_179</t>
  </si>
  <si>
    <t>O0181</t>
  </si>
  <si>
    <t>Cust_180</t>
  </si>
  <si>
    <t>SKU180</t>
  </si>
  <si>
    <t>Product_180</t>
  </si>
  <si>
    <t>O0182</t>
  </si>
  <si>
    <t>Cust_181</t>
  </si>
  <si>
    <t>SKU181</t>
  </si>
  <si>
    <t>Product_181</t>
  </si>
  <si>
    <t>O0183</t>
  </si>
  <si>
    <t>Cust_182</t>
  </si>
  <si>
    <t>SKU182</t>
  </si>
  <si>
    <t>Product_182</t>
  </si>
  <si>
    <t>O0184</t>
  </si>
  <si>
    <t>Cust_183</t>
  </si>
  <si>
    <t>SKU183</t>
  </si>
  <si>
    <t>Product_183</t>
  </si>
  <si>
    <t>O0185</t>
  </si>
  <si>
    <t>Cust_184</t>
  </si>
  <si>
    <t>SKU184</t>
  </si>
  <si>
    <t>Product_184</t>
  </si>
  <si>
    <t>O0186</t>
  </si>
  <si>
    <t>Cust_185</t>
  </si>
  <si>
    <t>SKU185</t>
  </si>
  <si>
    <t>Product_185</t>
  </si>
  <si>
    <t>O0187</t>
  </si>
  <si>
    <t>Cust_186</t>
  </si>
  <si>
    <t>SKU186</t>
  </si>
  <si>
    <t>Product_186</t>
  </si>
  <si>
    <t>O0188</t>
  </si>
  <si>
    <t>Cust_187</t>
  </si>
  <si>
    <t>SKU187</t>
  </si>
  <si>
    <t>Product_187</t>
  </si>
  <si>
    <t>O0189</t>
  </si>
  <si>
    <t>Cust_188</t>
  </si>
  <si>
    <t>SKU188</t>
  </si>
  <si>
    <t>Product_188</t>
  </si>
  <si>
    <t>O0190</t>
  </si>
  <si>
    <t>Cust_189</t>
  </si>
  <si>
    <t>SKU189</t>
  </si>
  <si>
    <t>Product_189</t>
  </si>
  <si>
    <t>O0191</t>
  </si>
  <si>
    <t>Cust_190</t>
  </si>
  <si>
    <t>SKU190</t>
  </si>
  <si>
    <t>Product_190</t>
  </si>
  <si>
    <t>O0192</t>
  </si>
  <si>
    <t>Cust_191</t>
  </si>
  <si>
    <t>SKU191</t>
  </si>
  <si>
    <t>Product_191</t>
  </si>
  <si>
    <t>O0193</t>
  </si>
  <si>
    <t>Cust_192</t>
  </si>
  <si>
    <t>SKU192</t>
  </si>
  <si>
    <t>Product_192</t>
  </si>
  <si>
    <t>O0194</t>
  </si>
  <si>
    <t>Cust_193</t>
  </si>
  <si>
    <t>SKU193</t>
  </si>
  <si>
    <t>Product_193</t>
  </si>
  <si>
    <t>O0195</t>
  </si>
  <si>
    <t>Cust_194</t>
  </si>
  <si>
    <t>SKU194</t>
  </si>
  <si>
    <t>Product_194</t>
  </si>
  <si>
    <t>O0196</t>
  </si>
  <si>
    <t>Cust_195</t>
  </si>
  <si>
    <t>SKU195</t>
  </si>
  <si>
    <t>Product_195</t>
  </si>
  <si>
    <t>O0197</t>
  </si>
  <si>
    <t>Cust_196</t>
  </si>
  <si>
    <t>SKU196</t>
  </si>
  <si>
    <t>Product_196</t>
  </si>
  <si>
    <t>O0198</t>
  </si>
  <si>
    <t>Cust_197</t>
  </si>
  <si>
    <t>SKU197</t>
  </si>
  <si>
    <t>Product_197</t>
  </si>
  <si>
    <t>O0199</t>
  </si>
  <si>
    <t>Cust_198</t>
  </si>
  <si>
    <t>SKU198</t>
  </si>
  <si>
    <t>Product_198</t>
  </si>
  <si>
    <t>O0200</t>
  </si>
  <si>
    <t>Cust_199</t>
  </si>
  <si>
    <t>SKU199</t>
  </si>
  <si>
    <t>Product_199</t>
  </si>
  <si>
    <t>O0201</t>
  </si>
  <si>
    <t>Cust_200</t>
  </si>
  <si>
    <t>O0202</t>
  </si>
  <si>
    <t>Cust_201</t>
  </si>
  <si>
    <t>O0203</t>
  </si>
  <si>
    <t>Cust_202</t>
  </si>
  <si>
    <t>O0204</t>
  </si>
  <si>
    <t>Cust_203</t>
  </si>
  <si>
    <t>O0205</t>
  </si>
  <si>
    <t>Cust_204</t>
  </si>
  <si>
    <t>O0206</t>
  </si>
  <si>
    <t>Cust_205</t>
  </si>
  <si>
    <t>O0207</t>
  </si>
  <si>
    <t>Cust_206</t>
  </si>
  <si>
    <t>O0208</t>
  </si>
  <si>
    <t>Cust_207</t>
  </si>
  <si>
    <t>O0209</t>
  </si>
  <si>
    <t>Cust_208</t>
  </si>
  <si>
    <t>O0210</t>
  </si>
  <si>
    <t>Cust_209</t>
  </si>
  <si>
    <t>O0211</t>
  </si>
  <si>
    <t>Cust_210</t>
  </si>
  <si>
    <t>O0212</t>
  </si>
  <si>
    <t>Cust_211</t>
  </si>
  <si>
    <t>O0213</t>
  </si>
  <si>
    <t>Cust_212</t>
  </si>
  <si>
    <t>O0214</t>
  </si>
  <si>
    <t>Cust_213</t>
  </si>
  <si>
    <t>O0215</t>
  </si>
  <si>
    <t>Cust_214</t>
  </si>
  <si>
    <t>O0216</t>
  </si>
  <si>
    <t>Cust_215</t>
  </si>
  <si>
    <t>O0217</t>
  </si>
  <si>
    <t>Cust_216</t>
  </si>
  <si>
    <t>O0218</t>
  </si>
  <si>
    <t>Cust_217</t>
  </si>
  <si>
    <t>O0219</t>
  </si>
  <si>
    <t>Cust_218</t>
  </si>
  <si>
    <t>O0220</t>
  </si>
  <si>
    <t>Cust_219</t>
  </si>
  <si>
    <t>O0221</t>
  </si>
  <si>
    <t>Cust_220</t>
  </si>
  <si>
    <t>O0222</t>
  </si>
  <si>
    <t>Cust_221</t>
  </si>
  <si>
    <t>O0223</t>
  </si>
  <si>
    <t>Cust_222</t>
  </si>
  <si>
    <t>O0224</t>
  </si>
  <si>
    <t>Cust_223</t>
  </si>
  <si>
    <t>O0225</t>
  </si>
  <si>
    <t>Cust_224</t>
  </si>
  <si>
    <t>O0226</t>
  </si>
  <si>
    <t>Cust_225</t>
  </si>
  <si>
    <t>O0227</t>
  </si>
  <si>
    <t>Cust_226</t>
  </si>
  <si>
    <t>O0228</t>
  </si>
  <si>
    <t>Cust_227</t>
  </si>
  <si>
    <t>O0229</t>
  </si>
  <si>
    <t>Cust_228</t>
  </si>
  <si>
    <t>O0230</t>
  </si>
  <si>
    <t>Cust_229</t>
  </si>
  <si>
    <t>O0231</t>
  </si>
  <si>
    <t>Cust_230</t>
  </si>
  <si>
    <t>O0232</t>
  </si>
  <si>
    <t>Cust_231</t>
  </si>
  <si>
    <t>O0233</t>
  </si>
  <si>
    <t>Cust_232</t>
  </si>
  <si>
    <t>O0234</t>
  </si>
  <si>
    <t>Cust_233</t>
  </si>
  <si>
    <t>O0235</t>
  </si>
  <si>
    <t>Cust_234</t>
  </si>
  <si>
    <t>O0236</t>
  </si>
  <si>
    <t>Cust_235</t>
  </si>
  <si>
    <t>O0237</t>
  </si>
  <si>
    <t>Cust_236</t>
  </si>
  <si>
    <t>O0238</t>
  </si>
  <si>
    <t>Cust_237</t>
  </si>
  <si>
    <t>O0239</t>
  </si>
  <si>
    <t>Cust_238</t>
  </si>
  <si>
    <t>O0240</t>
  </si>
  <si>
    <t>Cust_239</t>
  </si>
  <si>
    <t>O0241</t>
  </si>
  <si>
    <t>Cust_240</t>
  </si>
  <si>
    <t>O0242</t>
  </si>
  <si>
    <t>Cust_241</t>
  </si>
  <si>
    <t>O0243</t>
  </si>
  <si>
    <t>Cust_242</t>
  </si>
  <si>
    <t>O0244</t>
  </si>
  <si>
    <t>Cust_243</t>
  </si>
  <si>
    <t>O0245</t>
  </si>
  <si>
    <t>Cust_244</t>
  </si>
  <si>
    <t>O0246</t>
  </si>
  <si>
    <t>Cust_245</t>
  </si>
  <si>
    <t>O0247</t>
  </si>
  <si>
    <t>Cust_246</t>
  </si>
  <si>
    <t>O0248</t>
  </si>
  <si>
    <t>Cust_247</t>
  </si>
  <si>
    <t>O0249</t>
  </si>
  <si>
    <t>Cust_248</t>
  </si>
  <si>
    <t>O0250</t>
  </si>
  <si>
    <t>Cust_249</t>
  </si>
  <si>
    <t>O0251</t>
  </si>
  <si>
    <t>Cust_250</t>
  </si>
  <si>
    <t>O0252</t>
  </si>
  <si>
    <t>Cust_251</t>
  </si>
  <si>
    <t>O0253</t>
  </si>
  <si>
    <t>Cust_252</t>
  </si>
  <si>
    <t>O0254</t>
  </si>
  <si>
    <t>Cust_253</t>
  </si>
  <si>
    <t>O0255</t>
  </si>
  <si>
    <t>Cust_254</t>
  </si>
  <si>
    <t>O0256</t>
  </si>
  <si>
    <t>Cust_255</t>
  </si>
  <si>
    <t>O0257</t>
  </si>
  <si>
    <t>Cust_256</t>
  </si>
  <si>
    <t>O0258</t>
  </si>
  <si>
    <t>Cust_257</t>
  </si>
  <si>
    <t>O0259</t>
  </si>
  <si>
    <t>Cust_258</t>
  </si>
  <si>
    <t>O0260</t>
  </si>
  <si>
    <t>Cust_259</t>
  </si>
  <si>
    <t>O0261</t>
  </si>
  <si>
    <t>Cust_260</t>
  </si>
  <si>
    <t>O0262</t>
  </si>
  <si>
    <t>Cust_261</t>
  </si>
  <si>
    <t>O0263</t>
  </si>
  <si>
    <t>Cust_262</t>
  </si>
  <si>
    <t>O0264</t>
  </si>
  <si>
    <t>Cust_263</t>
  </si>
  <si>
    <t>O0265</t>
  </si>
  <si>
    <t>Cust_264</t>
  </si>
  <si>
    <t>O0266</t>
  </si>
  <si>
    <t>Cust_265</t>
  </si>
  <si>
    <t>O0267</t>
  </si>
  <si>
    <t>Cust_266</t>
  </si>
  <si>
    <t>O0268</t>
  </si>
  <si>
    <t>Cust_267</t>
  </si>
  <si>
    <t>O0269</t>
  </si>
  <si>
    <t>Cust_268</t>
  </si>
  <si>
    <t>O0270</t>
  </si>
  <si>
    <t>Cust_269</t>
  </si>
  <si>
    <t>O0271</t>
  </si>
  <si>
    <t>Cust_270</t>
  </si>
  <si>
    <t>O0272</t>
  </si>
  <si>
    <t>Cust_271</t>
  </si>
  <si>
    <t>O0273</t>
  </si>
  <si>
    <t>Cust_272</t>
  </si>
  <si>
    <t>O0274</t>
  </si>
  <si>
    <t>Cust_273</t>
  </si>
  <si>
    <t>O0275</t>
  </si>
  <si>
    <t>Cust_274</t>
  </si>
  <si>
    <t>O0276</t>
  </si>
  <si>
    <t>Cust_275</t>
  </si>
  <si>
    <t>O0277</t>
  </si>
  <si>
    <t>Cust_276</t>
  </si>
  <si>
    <t>O0278</t>
  </si>
  <si>
    <t>Cust_277</t>
  </si>
  <si>
    <t>O0279</t>
  </si>
  <si>
    <t>Cust_278</t>
  </si>
  <si>
    <t>O0280</t>
  </si>
  <si>
    <t>Cust_279</t>
  </si>
  <si>
    <t>O0281</t>
  </si>
  <si>
    <t>Cust_280</t>
  </si>
  <si>
    <t>O0282</t>
  </si>
  <si>
    <t>Cust_281</t>
  </si>
  <si>
    <t>O0283</t>
  </si>
  <si>
    <t>Cust_282</t>
  </si>
  <si>
    <t>O0284</t>
  </si>
  <si>
    <t>Cust_283</t>
  </si>
  <si>
    <t>O0285</t>
  </si>
  <si>
    <t>Cust_284</t>
  </si>
  <si>
    <t>O0286</t>
  </si>
  <si>
    <t>Cust_285</t>
  </si>
  <si>
    <t>O0287</t>
  </si>
  <si>
    <t>Cust_286</t>
  </si>
  <si>
    <t>O0288</t>
  </si>
  <si>
    <t>Cust_287</t>
  </si>
  <si>
    <t>O0289</t>
  </si>
  <si>
    <t>Cust_288</t>
  </si>
  <si>
    <t>O0290</t>
  </si>
  <si>
    <t>Cust_289</t>
  </si>
  <si>
    <t>O0291</t>
  </si>
  <si>
    <t>Cust_290</t>
  </si>
  <si>
    <t>O0292</t>
  </si>
  <si>
    <t>Cust_291</t>
  </si>
  <si>
    <t>O0293</t>
  </si>
  <si>
    <t>Cust_292</t>
  </si>
  <si>
    <t>O0294</t>
  </si>
  <si>
    <t>Cust_293</t>
  </si>
  <si>
    <t>O0295</t>
  </si>
  <si>
    <t>Cust_294</t>
  </si>
  <si>
    <t>O0296</t>
  </si>
  <si>
    <t>Cust_295</t>
  </si>
  <si>
    <t>O0297</t>
  </si>
  <si>
    <t>Cust_296</t>
  </si>
  <si>
    <t>O0298</t>
  </si>
  <si>
    <t>Cust_297</t>
  </si>
  <si>
    <t>O0299</t>
  </si>
  <si>
    <t>Cust_298</t>
  </si>
  <si>
    <t>O0300</t>
  </si>
  <si>
    <t>Cust_299</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</si>
  <si>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</si>
  <si>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</si>
  <si>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</si>
  <si>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</si>
  <si>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</si>
  <si>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</si>
  <si>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</si>
  <si>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</si>
  <si>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</si>
  <si>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</si>
  <si>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</si>
  <si>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</si>
  <si>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</si>
  <si>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</si>
  <si>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</si>
  <si>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</si>
  <si>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</si>
  <si>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</si>
  <si>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</si>
  <si>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</si>
  <si>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</si>
  <si>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</si>
  <si>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</si>
  <si>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</si>
  <si>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</si>
  <si>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</si>
  <si>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</si>
  <si>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</si>
  <si>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</si>
  <si>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</si>
  <si>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</si>
  <si>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</si>
  <si>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</si>
  <si>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</si>
  <si>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</si>
  <si>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</si>
  <si>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</si>
  <si>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</si>
  <si>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</si>
  <si>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</si>
  <si>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</si>
  <si>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</si>
  <si>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</si>
  <si>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</si>
  <si>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</si>
  <si>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</si>
  <si>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</si>
  <si>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</si>
  <si>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</si>
  <si>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</si>
  <si>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</si>
  <si>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</si>
  <si>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</si>
  <si>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</si>
  <si>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</si>
  <si>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</si>
  <si>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</si>
  <si>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</si>
  <si>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</si>
  <si>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</si>
  <si>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</si>
  <si>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</si>
  <si>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</si>
  <si>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</si>
  <si>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</si>
  <si>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</si>
  <si>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</si>
  <si>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</si>
  <si>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</si>
  <si>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</si>
  <si>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</si>
  <si>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</si>
  <si>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</si>
  <si>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</si>
  <si>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</si>
  <si>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</si>
  <si>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</si>
  <si>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</si>
  <si>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</si>
  <si>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</si>
  <si>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</si>
  <si>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</si>
  <si>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</si>
  <si>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</si>
  <si>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</si>
  <si>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</si>
  <si>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</si>
  <si>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</si>
  <si>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</si>
  <si>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</si>
  <si>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</si>
  <si>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</si>
  <si>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</si>
  <si>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</si>
  <si>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</si>
  <si>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</si>
  <si>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</si>
  <si>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</si>
  <si>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</si>
  <si>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</si>
  <si>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</si>
  <si>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</si>
  <si>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</si>
  <si>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</si>
  <si>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</si>
  <si>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</si>
  <si>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</si>
  <si>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</si>
  <si>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</si>
  <si>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</si>
  <si>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</si>
  <si>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</si>
  <si>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</si>
  <si>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</si>
  <si>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</si>
  <si>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</si>
  <si>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</si>
  <si>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</si>
  <si>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</si>
  <si>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</si>
  <si>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</si>
  <si>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</si>
  <si>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</si>
  <si>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</si>
  <si>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</si>
  <si>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</si>
  <si>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</si>
  <si>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</si>
  <si>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</si>
  <si>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</si>
  <si>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</si>
  <si>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</si>
  <si>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</si>
  <si>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</si>
  <si>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</si>
  <si>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</si>
  <si>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</si>
  <si>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</si>
  <si>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</si>
  <si>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</si>
  <si>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</si>
  <si>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</si>
  <si>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</si>
  <si>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</si>
  <si>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</si>
  <si>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</si>
  <si>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</si>
  <si>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</si>
  <si>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</si>
  <si>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</si>
  <si>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</si>
  <si>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</si>
  <si>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</si>
  <si>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</si>
  <si>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</si>
  <si>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</si>
  <si>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</si>
  <si>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</si>
  <si>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</si>
  <si>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</si>
  <si>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</si>
  <si>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</si>
  <si>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</si>
  <si>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</si>
  <si>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</si>
  <si>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</si>
  <si>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</si>
  <si>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</si>
  <si>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</si>
  <si>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</si>
  <si>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</si>
  <si>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</si>
  <si>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</si>
  <si>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</si>
  <si>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</si>
  <si>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</si>
  <si>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</si>
  <si>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</si>
  <si>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</si>
  <si>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</si>
  <si>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</si>
  <si>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</si>
  <si>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</si>
  <si>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</si>
  <si>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</si>
  <si>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</si>
  <si>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</si>
  <si>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</si>
  <si>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</si>
  <si>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</si>
  <si>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</si>
  <si>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</si>
  <si>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</si>
  <si>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</si>
  <si>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</si>
  <si>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</si>
  <si>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</si>
  <si>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</si>
  <si>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</si>
  <si>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</si>
  <si>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</si>
  <si>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</si>
  <si>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</si>
  <si>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</si>
  <si>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</si>
  <si>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</si>
  <si>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</si>
  <si>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</si>
  <si>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</si>
  <si>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</si>
  <si>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</si>
  <si>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</si>
  <si>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</si>
  <si>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</si>
  <si>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</si>
  <si>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</si>
  <si>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</si>
  <si>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</si>
  <si>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</si>
  <si>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</si>
  <si>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</si>
  <si>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</si>
  <si>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</si>
  <si>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</si>
  <si>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</si>
  <si>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</si>
  <si>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</si>
  <si>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</si>
  <si>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</si>
  <si>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</si>
  <si>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</si>
  <si>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</si>
  <si>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</si>
  <si>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</si>
  <si>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</si>
  <si>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</si>
  <si>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</si>
  <si>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</si>
  <si>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</si>
  <si>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</si>
  <si>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</si>
  <si>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</si>
  <si>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</si>
  <si>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</si>
  <si>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</si>
  <si>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</si>
  <si>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</si>
  <si>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</si>
  <si>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</si>
  <si>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</si>
  <si>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</si>
  <si>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</si>
  <si>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</si>
  <si>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</si>
  <si>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</si>
  <si>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</si>
  <si>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</si>
  <si>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</si>
  <si>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</si>
  <si>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</si>
  <si>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</si>
  <si>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</si>
  <si>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</si>
  <si>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</si>
  <si>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</si>
  <si>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</si>
  <si>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</si>
  <si>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</si>
  <si>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</si>
  <si>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</si>
  <si>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</si>
  <si>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</si>
  <si>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</si>
  <si>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</si>
  <si>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</si>
  <si>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</si>
  <si>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</si>
  <si>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</si>
  <si>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</si>
  <si>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</si>
  <si>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</si>
  <si>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</si>
  <si>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</si>
  <si>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</si>
  <si>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</si>
  <si>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</si>
  <si>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</si>
  <si>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</si>
  <si>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</si>
  <si>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</si>
  <si>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</si>
  <si>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</si>
  <si>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</si>
  <si>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</si>
  <si>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</si>
  <si>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</si>
  <si>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</si>
  <si>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</si>
  <si>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</si>
  <si>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</si>
  <si>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</si>
  <si>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</si>
  <si>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</si>
  <si>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</si>
  <si>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</si>
  <si>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</si>
  <si>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</si>
  <si>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</si>
  <si>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</si>
  <si>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</si>
  <si>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</si>
  <si>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</si>
  <si>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</si>
  <si>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</si>
  <si>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</si>
  <si>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</si>
  <si>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</si>
  <si>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</si>
  <si>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</si>
  <si>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</si>
  <si>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</si>
  <si>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</si>
  <si>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</si>
  <si>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</si>
  <si>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</si>
  <si>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</si>
  <si>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</si>
  <si>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</si>
  <si>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</si>
  <si>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</si>
  <si>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</si>
  <si>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</si>
  <si>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</si>
  <si>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</si>
  <si>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</si>
  <si>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</si>
  <si>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</si>
  <si>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</si>
  <si>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</si>
  <si>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</si>
  <si>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</si>
  <si>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</si>
  <si>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</si>
  <si>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</si>
  <si>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</si>
  <si>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</si>
  <si>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</si>
  <si>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</si>
  <si>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</si>
  <si>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</si>
  <si>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</si>
  <si>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</si>
  <si>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</si>
  <si>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</si>
  <si>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</si>
  <si>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</si>
  <si>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</si>
  <si>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</si>
  <si>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</si>
  <si>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</si>
  <si>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</si>
  <si>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</si>
  <si>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</si>
  <si>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</si>
  <si>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</si>
  <si>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</si>
  <si>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</si>
  <si>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</si>
  <si>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</si>
  <si>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</si>
  <si>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</si>
  <si>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</si>
  <si>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</si>
  <si>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</si>
  <si>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</si>
  <si>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</si>
  <si>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</si>
  <si>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</si>
  <si>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</si>
  <si>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</si>
  <si>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</si>
  <si>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</si>
  <si>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</si>
  <si>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</si>
  <si>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</si>
  <si>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</si>
  <si>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</si>
  <si>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</si>
  <si>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</si>
  <si>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</si>
  <si>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</si>
  <si>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</si>
  <si>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</si>
  <si>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</si>
  <si>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</si>
  <si>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</si>
  <si>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</si>
  <si>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</si>
  <si>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</si>
  <si>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</si>
  <si>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</si>
  <si>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</si>
  <si>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</si>
  <si>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</si>
  <si>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</si>
  <si>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</si>
  <si>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</si>
  <si>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</si>
  <si>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</si>
  <si>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</si>
  <si>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</si>
  <si>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</si>
  <si>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</si>
  <si>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</si>
  <si>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</si>
  <si>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</si>
  <si>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</si>
  <si>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</si>
  <si>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</si>
  <si>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</si>
  <si>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</si>
  <si>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</si>
  <si>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</si>
  <si>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</si>
  <si>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</si>
  <si>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</si>
  <si>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</si>
  <si>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</si>
  <si>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</si>
  <si>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</si>
  <si>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</si>
  <si>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</si>
  <si>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</si>
  <si>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</si>
  <si>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</si>
  <si>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</si>
  <si>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</si>
  <si>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</si>
  <si>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</si>
  <si>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</si>
  <si>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</si>
  <si>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</si>
  <si>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</si>
  <si>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</si>
  <si>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</si>
  <si>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</si>
  <si>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</si>
  <si>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</si>
  <si>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</si>
  <si>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</si>
  <si>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</si>
  <si>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</si>
  <si>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</si>
  <si>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</si>
  <si>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</si>
  <si>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</si>
  <si>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</si>
  <si>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</si>
  <si>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</si>
  <si>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</si>
  <si>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</si>
  <si>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</si>
  <si>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</si>
  <si>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</si>
  <si>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</si>
  <si>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</si>
  <si>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</si>
  <si>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</si>
  <si>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</si>
  <si>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</si>
  <si>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</si>
  <si>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</si>
  <si>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</si>
  <si>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</si>
  <si>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</si>
  <si>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</si>
  <si>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</si>
  <si>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</si>
  <si>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</si>
  <si>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</si>
  <si>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</si>
  <si>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</si>
  <si>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</si>
  <si>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</si>
  <si>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</si>
  <si>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</si>
  <si>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</si>
  <si>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</si>
  <si>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</si>
  <si>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</si>
  <si>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</si>
  <si>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</si>
  <si>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</si>
  <si>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</si>
  <si>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</si>
  <si>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</si>
  <si>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</si>
  <si>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</si>
  <si>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</si>
  <si>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</si>
  <si>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</si>
  <si>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</si>
  <si>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</si>
  <si>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</si>
  <si>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</si>
  <si>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</si>
  <si>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</si>
  <si>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</si>
  <si>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</si>
  <si>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</si>
  <si>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</si>
  <si>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</si>
  <si>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</si>
  <si>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</si>
  <si>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</si>
  <si>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</si>
  <si>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</si>
  <si>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</si>
  <si>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</si>
  <si>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</si>
  <si>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</si>
  <si>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</si>
  <si>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</si>
  <si>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</si>
  <si>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</si>
  <si>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</si>
  <si>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</si>
  <si>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</si>
  <si>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</si>
  <si>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</si>
  <si>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</si>
  <si>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</si>
  <si>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</si>
  <si>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</si>
  <si>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</si>
  <si>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</si>
  <si>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</si>
  <si>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</si>
  <si>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</si>
  <si>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</si>
  <si>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</si>
  <si>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</si>
  <si>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</si>
  <si>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</si>
  <si>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</si>
  <si>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</si>
  <si>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</si>
  <si>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</si>
  <si>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</si>
  <si>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</si>
  <si>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</si>
  <si>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</si>
  <si>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</si>
  <si>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</si>
  <si>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</si>
  <si>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</si>
  <si>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</si>
  <si>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</si>
  <si>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</si>
  <si>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</si>
  <si>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</si>
  <si>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</si>
  <si>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</si>
  <si>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</si>
  <si>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</si>
  <si>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</si>
  <si>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</si>
  <si>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</si>
  <si>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</si>
  <si>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</si>
  <si>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</si>
  <si>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</si>
  <si>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</si>
  <si>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</si>
  <si>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</si>
  <si>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</si>
  <si>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</si>
  <si>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</si>
  <si>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</si>
  <si>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</si>
  <si>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</si>
  <si>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</si>
  <si>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</si>
  <si>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</si>
  <si>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</si>
  <si>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</si>
  <si>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</si>
  <si>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</si>
  <si>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</si>
  <si>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</si>
  <si>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</si>
  <si>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</si>
  <si>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</si>
  <si>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</si>
  <si>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</si>
  <si>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</si>
  <si>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</si>
  <si>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</si>
  <si>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</si>
  <si>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</si>
  <si>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</si>
  <si>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</si>
  <si>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</si>
  <si>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</si>
  <si>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</si>
  <si>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</si>
  <si>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</si>
  <si>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</si>
  <si>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</si>
  <si>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</si>
  <si>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</si>
  <si>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</si>
  <si>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</si>
  <si>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</si>
  <si>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</si>
  <si>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</si>
  <si>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</si>
  <si>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</si>
  <si>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</si>
  <si>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</si>
  <si>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</si>
  <si>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</si>
  <si>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</si>
  <si>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</si>
  <si>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</si>
  <si>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</si>
  <si>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</si>
  <si>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</si>
  <si>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</si>
  <si>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</si>
  <si>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</si>
  <si>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</si>
  <si>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</si>
  <si>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</si>
  <si>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</si>
  <si>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</si>
  <si>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</si>
  <si>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</si>
  <si>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</si>
  <si>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</si>
  <si>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</si>
  <si>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</si>
  <si>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</si>
  <si>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</si>
  <si>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</si>
  <si>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</si>
  <si>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</si>
  <si>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</si>
  <si>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</si>
  <si>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</si>
  <si>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</si>
  <si>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</si>
  <si>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</si>
  <si>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</si>
  <si>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</si>
  <si>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</si>
  <si>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</si>
  <si>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</si>
  <si>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</si>
  <si>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</si>
  <si>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</si>
  <si>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</si>
  <si>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</si>
  <si>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</si>
  <si>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</si>
  <si>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</si>
  <si>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</si>
  <si>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</si>
  <si>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</si>
  <si>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</si>
  <si>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</si>
  <si>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</si>
  <si>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</si>
  <si>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</si>
  <si>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</si>
  <si>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</si>
  <si>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</si>
  <si>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</si>
  <si>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</si>
  <si>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</si>
  <si>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</si>
  <si>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</si>
  <si>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</si>
  <si>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</si>
  <si>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</si>
  <si>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</si>
  <si>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</si>
  <si>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</si>
  <si>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</si>
  <si>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</si>
  <si>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</si>
  <si>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</si>
  <si>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</si>
  <si>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</si>
  <si>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</si>
  <si>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</si>
  <si>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</si>
  <si>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</si>
  <si>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</si>
  <si>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</si>
  <si>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</si>
  <si>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</si>
  <si>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</si>
  <si>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</si>
  <si>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</si>
  <si>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</si>
  <si>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</si>
  <si>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</si>
  <si>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</si>
  <si>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</si>
  <si>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</si>
  <si>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</si>
  <si>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</si>
  <si>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</si>
  <si>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</si>
  <si>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</si>
  <si>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</si>
  <si>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</si>
  <si>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</si>
  <si>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</si>
  <si>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</si>
  <si>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</si>
  <si>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</si>
  <si>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</si>
  <si>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</si>
  <si>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</si>
  <si>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</si>
  <si>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</si>
  <si>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</si>
  <si>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</si>
  <si>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</si>
  <si>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</si>
  <si>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</si>
  <si>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</si>
  <si>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</si>
  <si>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</si>
  <si>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</si>
  <si>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</si>
  <si>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</si>
  <si>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</si>
  <si>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</si>
  <si>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</si>
  <si>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</si>
  <si>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</si>
  <si>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</si>
  <si>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</si>
  <si>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</si>
  <si>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</si>
  <si>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</si>
  <si>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</si>
  <si>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</si>
  <si>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</si>
  <si>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</si>
  <si>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</si>
  <si>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</si>
  <si>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</si>
  <si>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</si>
  <si>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</si>
  <si>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</si>
  <si>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</si>
  <si>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</si>
  <si>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</si>
  <si>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</si>
  <si>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</si>
  <si>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</si>
  <si>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</si>
  <si>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</si>
  <si>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</si>
  <si>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</si>
  <si>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</si>
  <si>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</si>
  <si>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</si>
  <si>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</si>
  <si>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</si>
  <si>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</si>
  <si>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</si>
  <si>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</si>
  <si>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</si>
  <si>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</si>
  <si>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</si>
  <si>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</si>
  <si>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</si>
  <si>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</si>
  <si>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</si>
  <si>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</si>
  <si>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</si>
  <si>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</si>
  <si>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</si>
  <si>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</si>
  <si>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</si>
  <si>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</si>
  <si>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</si>
  <si>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</si>
  <si>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</si>
  <si>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</si>
  <si>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</si>
  <si>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</si>
  <si>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</si>
  <si>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</si>
  <si>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</si>
  <si>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</si>
  <si>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</si>
  <si>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</si>
  <si>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</si>
  <si>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</si>
  <si>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</si>
  <si>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</si>
  <si>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</si>
  <si>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</si>
  <si>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</si>
  <si>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</si>
  <si>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</si>
  <si>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</si>
  <si>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</si>
  <si>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</si>
  <si>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</si>
  <si>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</si>
  <si>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</si>
  <si>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</si>
  <si>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</si>
  <si>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</si>
  <si>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</si>
  <si>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</si>
  <si>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</si>
  <si>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</si>
  <si>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</si>
  <si>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</si>
  <si>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</si>
  <si>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</si>
  <si>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</si>
  <si>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</si>
  <si>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</si>
  <si>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</si>
  <si>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</si>
  <si>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</si>
  <si>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</si>
  <si>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</si>
  <si>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</si>
  <si>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</si>
  <si>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</si>
  <si>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</si>
  <si>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</si>
  <si>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</si>
  <si>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</si>
  <si>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</si>
  <si>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</si>
  <si>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</si>
  <si>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</si>
  <si>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</si>
  <si>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</si>
  <si>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</si>
  <si>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</si>
  <si>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</si>
  <si>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</si>
  <si>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</si>
  <si>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</si>
  <si>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</si>
  <si>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</si>
  <si>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</si>
  <si>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</si>
  <si>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</si>
  <si>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</si>
  <si>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</si>
  <si>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</si>
  <si>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</si>
  <si>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</si>
  <si>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</si>
  <si>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</si>
  <si>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</si>
  <si>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</si>
  <si>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</si>
  <si>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</si>
  <si>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</si>
  <si>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</si>
  <si>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</si>
  <si>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</si>
  <si>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</si>
  <si>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</si>
  <si>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</si>
  <si>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</si>
  <si>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</si>
  <si>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</si>
  <si>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</si>
  <si>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</si>
  <si>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</si>
  <si>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</si>
  <si>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</si>
  <si>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</si>
  <si>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</si>
  <si>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</si>
  <si>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</si>
  <si>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</si>
  <si>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</si>
  <si>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</si>
  <si>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</si>
  <si>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</si>
  <si>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</si>
  <si>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</si>
  <si>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</si>
  <si>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</si>
  <si>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</si>
  <si>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</si>
  <si>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</si>
  <si>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</si>
  <si>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</si>
  <si>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</si>
  <si>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</si>
  <si>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</si>
  <si>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</si>
  <si>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</si>
  <si>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</si>
  <si>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</si>
  <si>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</si>
  <si>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</si>
  <si>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</si>
  <si>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</si>
  <si>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</si>
  <si>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</si>
  <si>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</si>
  <si>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</si>
  <si>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</si>
  <si>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</si>
  <si>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</si>
  <si>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</si>
  <si>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</si>
  <si>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</si>
  <si>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</si>
  <si>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</si>
  <si>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</si>
  <si>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</si>
  <si>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</si>
  <si>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</si>
  <si>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</si>
  <si>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</si>
  <si>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</si>
  <si>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</si>
  <si>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</si>
  <si>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</si>
  <si>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</si>
  <si>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</si>
  <si>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</si>
  <si>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</si>
  <si>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</si>
  <si>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</si>
  <si>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</si>
  <si>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</si>
  <si>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</si>
  <si>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</si>
  <si>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</si>
  <si>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</si>
  <si>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</si>
  <si>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</si>
  <si>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</si>
  <si>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</si>
  <si>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</si>
  <si>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</si>
  <si>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</si>
  <si>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</si>
  <si>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</si>
  <si>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</si>
  <si>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</si>
  <si>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</si>
  <si>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</si>
  <si>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</si>
  <si>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</si>
  <si>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</si>
  <si>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</si>
  <si>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</si>
  <si>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</si>
  <si>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</si>
  <si>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</si>
  <si>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</si>
  <si>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</si>
  <si>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</si>
  <si>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</si>
  <si>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</si>
  <si>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</si>
  <si>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</si>
  <si>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</si>
  <si>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</si>
  <si>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</si>
  <si>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</si>
  <si>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</si>
  <si>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</si>
  <si>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</si>
  <si>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</si>
  <si>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</si>
  <si>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</si>
  <si>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</si>
  <si>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</si>
  <si>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</si>
  <si>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</si>
  <si>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</si>
  <si>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</si>
  <si>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</si>
  <si>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</si>
  <si>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</si>
  <si>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</si>
  <si>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</si>
  <si>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</si>
  <si>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</si>
  <si>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</si>
  <si>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</si>
  <si>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</si>
  <si>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</si>
  <si>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</si>
  <si>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</si>
  <si>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</si>
  <si>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</si>
  <si>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</si>
  <si>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</si>
  <si>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</si>
  <si>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</si>
  <si>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</si>
  <si>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</si>
  <si>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</si>
  <si>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</si>
  <si>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</si>
  <si>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</si>
  <si>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</si>
  <si>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</si>
  <si>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</si>
  <si>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</si>
  <si>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</si>
  <si>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</si>
  <si>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</si>
  <si>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</si>
  <si>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</si>
  <si>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</si>
  <si>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</si>
  <si>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</si>
  <si>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</si>
  <si>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</si>
  <si>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</si>
  <si>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</si>
  <si>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</si>
  <si>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</si>
  <si>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</si>
  <si>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</si>
  <si>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</si>
  <si>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</si>
  <si>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</si>
  <si>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</si>
  <si>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</si>
  <si>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</si>
  <si>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</si>
  <si>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</si>
  <si>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</si>
  <si>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</si>
  <si>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</si>
  <si>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</si>
  <si>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</si>
  <si>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</si>
  <si>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</si>
  <si>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</si>
  <si>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</si>
  <si>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</si>
  <si>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</si>
  <si>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</si>
  <si>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</si>
  <si>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</si>
  <si>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</si>
  <si>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</si>
  <si>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</si>
  <si>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</si>
  <si>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</si>
  <si>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</si>
  <si>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</si>
  <si>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</si>
  <si>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</si>
  <si>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</si>
  <si>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</si>
  <si>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</si>
  <si>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</si>
  <si>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</si>
  <si>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</si>
  <si>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</si>
  <si>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</si>
  <si>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</si>
  <si>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</si>
  <si>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</si>
  <si>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</si>
  <si>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</si>
  <si>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</si>
  <si>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</si>
  <si>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</si>
  <si>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</si>
  <si>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</si>
  <si>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</si>
  <si>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</si>
  <si>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</si>
  <si>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</si>
  <si>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</si>
  <si>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</si>
  <si>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</si>
  <si>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</si>
  <si>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</si>
  <si>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</si>
  <si>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</si>
  <si>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</si>
  <si>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</si>
  <si>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</si>
  <si>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</si>
  <si>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</si>
  <si>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</si>
  <si>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</si>
  <si>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</si>
  <si>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</si>
  <si>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</si>
  <si>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</si>
  <si>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</si>
  <si>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</si>
  <si>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</si>
  <si>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</si>
  <si>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</si>
  <si>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</si>
  <si>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</si>
  <si>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</si>
  <si>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</si>
  <si>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</si>
  <si>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</si>
  <si>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</si>
  <si>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</si>
  <si>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</si>
  <si>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</si>
  <si>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</si>
  <si>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</si>
  <si>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</si>
  <si>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</si>
  <si>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</si>
  <si>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</si>
  <si>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</si>
  <si>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</si>
  <si>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</si>
  <si>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</si>
  <si>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</si>
  <si>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</si>
  <si>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</si>
  <si>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</si>
  <si>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</si>
  <si>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</si>
  <si>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</si>
  <si>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</si>
  <si>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</si>
  <si>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</si>
  <si>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</si>
  <si>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</si>
  <si>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</si>
  <si>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</si>
  <si>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</si>
  <si>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</si>
  <si>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</si>
  <si>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</si>
  <si>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</si>
  <si>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</si>
  <si>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</si>
  <si>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</si>
  <si>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</si>
  <si>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</si>
  <si>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</si>
  <si>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</si>
  <si>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</si>
  <si>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</si>
  <si>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</si>
  <si>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</si>
  <si>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</si>
  <si>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</si>
  <si>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</si>
  <si>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</si>
  <si>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</si>
  <si>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</si>
  <si>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</si>
  <si>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</si>
  <si>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</si>
  <si>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</si>
  <si>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</si>
  <si>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</si>
  <si>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</si>
  <si>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</si>
  <si>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</si>
  <si>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</si>
  <si>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</si>
  <si>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</si>
  <si>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</si>
  <si>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</si>
  <si>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</si>
  <si>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</si>
  <si>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</si>
  <si>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</si>
  <si>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</si>
  <si>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</si>
  <si>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</si>
  <si>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</si>
  <si>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</si>
  <si>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</si>
  <si>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</si>
  <si>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</si>
  <si>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</si>
  <si>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</si>
  <si>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</si>
  <si>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TOP 10 ORDERS</t>
  </si>
  <si>
    <t>Row Labels</t>
  </si>
  <si>
    <t>Grand Total</t>
  </si>
  <si>
    <t>Sum of Total</t>
  </si>
  <si>
    <t>DELHI</t>
  </si>
  <si>
    <t>AHMEDABAD</t>
  </si>
  <si>
    <t>KARNATAKA</t>
  </si>
  <si>
    <t>KERALA</t>
  </si>
  <si>
    <t>TAMILNADU</t>
  </si>
  <si>
    <t>NEPAL</t>
  </si>
  <si>
    <t>Month</t>
  </si>
  <si>
    <t>New Date</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</si>
  <si>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</si>
  <si>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</si>
  <si>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</si>
  <si>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</si>
  <si>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</si>
  <si>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</si>
  <si>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</si>
  <si>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</si>
  <si>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</si>
  <si>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</si>
  <si>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</si>
  <si>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</si>
  <si>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</si>
  <si>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</si>
  <si>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</si>
  <si>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</si>
  <si>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</si>
  <si>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</si>
  <si>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</si>
  <si>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</si>
  <si>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</si>
  <si>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</si>
  <si>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</si>
  <si>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</si>
  <si>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</si>
  <si>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</si>
  <si>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</si>
  <si>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</si>
  <si>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</si>
  <si>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</si>
  <si>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</si>
  <si>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</si>
  <si>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</si>
  <si>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</si>
  <si>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</si>
  <si>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</si>
  <si>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</si>
  <si>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</si>
  <si>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</si>
  <si>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</si>
  <si>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</si>
  <si>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</si>
  <si>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</si>
  <si>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</si>
  <si>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</si>
  <si>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</si>
  <si>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</si>
  <si>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</si>
  <si>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</si>
  <si>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</si>
  <si>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</si>
  <si>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</si>
  <si>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</si>
  <si>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</si>
  <si>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</si>
  <si>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</si>
  <si>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</si>
  <si>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</si>
  <si>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</si>
  <si>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</si>
  <si>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January</t>
  </si>
  <si>
    <t>February</t>
  </si>
  <si>
    <t>March</t>
  </si>
  <si>
    <t>Days</t>
  </si>
  <si>
    <t>01</t>
  </si>
  <si>
    <t>02</t>
  </si>
  <si>
    <t>05</t>
  </si>
  <si>
    <t>08</t>
  </si>
  <si>
    <t>13</t>
  </si>
  <si>
    <t>22</t>
  </si>
  <si>
    <t>23</t>
  </si>
  <si>
    <t>26</t>
  </si>
  <si>
    <t>27</t>
  </si>
  <si>
    <t>28</t>
  </si>
  <si>
    <t>Sum of Qty</t>
  </si>
  <si>
    <t>Count of Order_ID</t>
  </si>
  <si>
    <t>TOTAL SALES</t>
  </si>
  <si>
    <t>TOTAL ORDERS</t>
  </si>
  <si>
    <t>TOTAL CUSTOMERS</t>
  </si>
  <si>
    <t>TOTAL PRODUCTS</t>
  </si>
  <si>
    <t>TOTAL QUANTITY</t>
  </si>
  <si>
    <t>AVERAGE SALES</t>
  </si>
  <si>
    <t>zz</t>
  </si>
  <si>
    <t>WALLET</t>
  </si>
  <si>
    <t>NETBANKING</t>
  </si>
  <si>
    <t>CARD</t>
  </si>
  <si>
    <t>PHONEPE</t>
  </si>
  <si>
    <t>GPAY</t>
  </si>
  <si>
    <t>SALES</t>
  </si>
  <si>
    <t>ORDERS</t>
  </si>
  <si>
    <t>MONTHS</t>
  </si>
  <si>
    <t>SALES OVER MONTHS</t>
  </si>
  <si>
    <t>DAYS</t>
  </si>
  <si>
    <t>SALES OVER DAYS</t>
  </si>
  <si>
    <t>Sales</t>
  </si>
  <si>
    <t>SALES OVER CUSTOMER SEGMENTS</t>
  </si>
  <si>
    <t>SALES OVER CUSTOMER TYPE</t>
  </si>
  <si>
    <t>ORDER BY PAYMENT METHOD</t>
  </si>
  <si>
    <t>CUSTOMER TYPE</t>
  </si>
  <si>
    <t>PAYMENT METHOD</t>
  </si>
  <si>
    <t>KPI</t>
  </si>
  <si>
    <t>SALES OVER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</si>
</sst>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libri"/>
      <scheme val="minor"/>
    </font>
    <font>
      <b/>
      <sz val="11"/>
      <name val="Calibri"/>
    </font>
    <font>
      <sz val="11"/>
      <name val="Calibri"/>
      <family val="2"/>
      <scheme val="minor"/>
    </font>
    <font>
      <b/>
      <sz val="11"/>
      <name val="Calibri"/>
      <family val="2"/>
    </font>
    <font>
      <sz val="10"/>
      <name val="Arial Unicode MS"/>
    </font>
    <font>
      <b/>
      <sz val="11"/>
      <color rgb="FFFFC000"/>
      <name val="Calibri"/>
      <family val="2"/>
      <scheme val="minor"/>
    </font>
    <font>
      <sz val="24"/>
      <color rgb="FFFFC000"/>
      <name val="Calibri"/>
      <family val="2"/>
      <scheme val="minor"/>
    </font>
    <font>
      <sz val="24"/>
      <color theme="3"/>
      <name val="Calibri"/>
      <family val="2"/>
      <scheme val="minor"/>
    </font>
    <font>
      <b/>
      <sz val="11"/>
      <color theme="9"/>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3" fillId="0" borderId="1" xfId="0" applyFont="1" applyBorder="1" applyAlignment="1">
      <alignment horizontal="center" vertical="top"/>
    </xf>
    <xf numFmtId="2" fontId="0" fillId="0" borderId="0" xfId="0" applyNumberFormat="1"/>
    <xf numFmtId="49" fontId="3" fillId="0" borderId="1" xfId="0" applyNumberFormat="1" applyFont="1" applyBorder="1" applyAlignment="1">
      <alignment horizontal="center" vertical="top"/>
    </xf>
    <xf numFmtId="49" fontId="0" fillId="0" borderId="0" xfId="0" applyNumberFormat="1"/>
    <xf numFmtId="0" fontId="4" fillId="0" borderId="0" xfId="0" applyFont="1" applyAlignment="1">
      <alignment vertical="center"/>
    </xf>
    <xf numFmtId="2" fontId="1" fillId="0" borderId="1" xfId="0" applyNumberFormat="1" applyFont="1" applyBorder="1" applyAlignment="1">
      <alignment horizontal="center" vertical="top"/>
    </xf>
    <xf numFmtId="0" fontId="5" fillId="0" borderId="0" xfId="0" applyFont="1"/>
    <xf numFmtId="0" fontId="8" fillId="0" borderId="0" xfId="0" applyFont="1"/>
    <xf numFmtId="0" fontId="7" fillId="2" borderId="0" xfId="0" applyFont="1" applyFill="1" applyAlignment="1">
      <alignment horizontal="center"/>
    </xf>
    <xf numFmtId="0" fontId="6" fillId="2" borderId="0" xfId="0" applyFont="1" applyFill="1" applyAlignment="1">
      <alignment horizontal="center"/>
    </xf>
    <xf numFmtId="0" fontId="7" fillId="3" borderId="0" xfId="0" applyFont="1" applyFill="1" applyAlignment="1">
      <alignment horizontal="center"/>
    </xf>
    <xf numFmtId="0" fontId="6" fillId="3" borderId="0" xfId="0" applyFont="1" applyFill="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Orders</a:t>
            </a:r>
          </a:p>
        </c:rich>
      </c:tx>
      <c:layout>
        <c:manualLayout>
          <c:xMode val="edge"/>
          <c:yMode val="edge"/>
          <c:x val="0.40273548586312857"/>
          <c:y val="0.141678259342796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AND CHARTS '!$B$2</c:f>
              <c:strCache>
                <c:ptCount val="1"/>
                <c:pt idx="0">
                  <c:v>Total</c:v>
                </c:pt>
              </c:strCache>
            </c:strRef>
          </c:tx>
          <c:spPr>
            <a:solidFill>
              <a:schemeClr val="accent1"/>
            </a:solidFill>
            <a:ln>
              <a:noFill/>
            </a:ln>
            <a:effectLst/>
          </c:spPr>
          <c:invertIfNegative val="0"/>
          <c:cat>
            <c:strRef>
              <c:f>'PIVOTS AND CHARTS '!$A$3:$A$13</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'PIVOTS AND CHARTS '!$B$3:$B$13</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E8F4-4EE4-ABA5-5DD1868E4330}"/>
            </c:ext>
          </c:extLst>
        </c:ser>
        <c:dLbls>
          <c:showLegendKey val="0"/>
          <c:showVal val="0"/>
          <c:showCatName val="0"/>
          <c:showSerName val="0"/>
          <c:showPercent val="0"/>
          <c:showBubbleSize val="0"/>
        </c:dLbls>
        <c:gapWidth val="182"/>
        <c:axId val="1195323024"/>
        <c:axId val="1070493808"/>
      </c:barChart>
      <c:catAx>
        <c:axId val="119532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493808"/>
        <c:crosses val="autoZero"/>
        <c:auto val="1"/>
        <c:lblAlgn val="ctr"/>
        <c:lblOffset val="100"/>
        <c:noMultiLvlLbl val="0"/>
      </c:catAx>
      <c:valAx>
        <c:axId val="107049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2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 AND CHARTS '!$B$18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 AND CHARTS '!$A$19:$A$22</c:f>
              <c:strCache>
                <c:ptCount val="3"/>
                <c:pt idx="0">
                  <c:v>January</c:v>
                </c:pt>
                <c:pt idx="1">
                  <c:v>February</c:v>
                </c:pt>
                <c:pt idx="2">
                  <c:v>March</c:v>
                </c:pt>
              </c:strCache>
            </c:strRef>
          </c:cat>
          <c:val>
            <c:numRef>
              <c:f>'PIVOTS AND CHARTS '!$B$19:$B$22</c:f>
              <c:numCache>
                <c:formatCode>General</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B0DB-42CE-AF88-FFB43EF75CC4}"/>
            </c:ext>
          </c:extLst>
        </c:ser>
        <c:dLbls>
          <c:showLegendKey val="0"/>
          <c:showVal val="0"/>
          <c:showCatName val="0"/>
          <c:showSerName val="0"/>
          <c:showPercent val="0"/>
          <c:showBubbleSize val="0"/>
        </c:dLbls>
        <c:marker val="1"/>
        <c:smooth val="0"/>
        <c:axId val="127809167"/>
        <c:axId val="96410159"/>
      </c:lineChart>
      <c:catAx>
        <c:axId val="127809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10159"/>
        <c:crosses val="autoZero"/>
        <c:auto val="1"/>
        <c:lblAlgn val="ctr"/>
        <c:lblOffset val="100"/>
        <c:noMultiLvlLbl val="0"/>
      </c:catAx>
      <c:valAx>
        <c:axId val="9641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0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 AND CHARTS '!$B$33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ED-4C9B-BC6F-89ED3331740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ED-4C9B-BC6F-89ED3331740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5ED-4C9B-BC6F-89ED3331740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5ED-4C9B-BC6F-89ED3331740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5ED-4C9B-BC6F-89ED3331740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5ED-4C9B-BC6F-89ED3331740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5ED-4C9B-BC6F-89ED3331740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5ED-4C9B-BC6F-89ED3331740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C5ED-4C9B-BC6F-89ED3331740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C5ED-4C9B-BC6F-89ED33317405}"/>
              </c:ext>
            </c:extLst>
          </c:dPt>
          <c:cat>
            <c:strRef>
              <c:f>'PIVOTS AND CHARTS '!$A$34:$A$44</c:f>
              <c:strCache>
                <c:ptCount val="10"/>
                <c:pt idx="0">
                  <c:v>01</c:v>
                </c:pt>
                <c:pt idx="1">
                  <c:v>02</c:v>
                </c:pt>
                <c:pt idx="2">
                  <c:v>05</c:v>
                </c:pt>
                <c:pt idx="3">
                  <c:v>08</c:v>
                </c:pt>
                <c:pt idx="4">
                  <c:v>13</c:v>
                </c:pt>
                <c:pt idx="5">
                  <c:v>22</c:v>
                </c:pt>
                <c:pt idx="6">
                  <c:v>23</c:v>
                </c:pt>
                <c:pt idx="7">
                  <c:v>26</c:v>
                </c:pt>
                <c:pt idx="8">
                  <c:v>27</c:v>
                </c:pt>
                <c:pt idx="9">
                  <c:v>28</c:v>
                </c:pt>
              </c:strCache>
            </c:strRef>
          </c:cat>
          <c:val>
            <c:numRef>
              <c:f>'PIVOTS AND CHARTS '!$B$34:$B$44</c:f>
              <c:numCache>
                <c:formatCode>General</c:formatCode>
                <c:ptCount val="10"/>
                <c:pt idx="0">
                  <c:v>33179.46</c:v>
                </c:pt>
                <c:pt idx="1">
                  <c:v>26284.590000000004</c:v>
                </c:pt>
                <c:pt idx="2">
                  <c:v>25134.150000000005</c:v>
                </c:pt>
                <c:pt idx="3">
                  <c:v>24444.61</c:v>
                </c:pt>
                <c:pt idx="4">
                  <c:v>20151.239999999998</c:v>
                </c:pt>
                <c:pt idx="5">
                  <c:v>23268.94</c:v>
                </c:pt>
                <c:pt idx="6">
                  <c:v>20450.789999999994</c:v>
                </c:pt>
                <c:pt idx="7">
                  <c:v>21970.329999999998</c:v>
                </c:pt>
                <c:pt idx="8">
                  <c:v>21158.869999999995</c:v>
                </c:pt>
                <c:pt idx="9">
                  <c:v>21945.21</c:v>
                </c:pt>
              </c:numCache>
            </c:numRef>
          </c:val>
          <c:extLst>
            <c:ext xmlns:c16="http://schemas.microsoft.com/office/drawing/2014/chart" uri="{C3380CC4-5D6E-409C-BE32-E72D297353CC}">
              <c16:uniqueId val="{00000014-7D35-4E54-A1E6-5D7AF7FC3CB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OVER DAYS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 AND CHARTS '!$B$33</c:f>
              <c:strCache>
                <c:ptCount val="1"/>
                <c:pt idx="0">
                  <c:v>Total</c:v>
                </c:pt>
              </c:strCache>
            </c:strRef>
          </c:tx>
          <c:spPr>
            <a:solidFill>
              <a:schemeClr val="accent1"/>
            </a:solidFill>
            <a:ln w="25400">
              <a:noFill/>
            </a:ln>
            <a:effectLst/>
          </c:spPr>
          <c:cat>
            <c:strRef>
              <c:f>'PIVOTS AND CHARTS '!$A$34:$A$44</c:f>
              <c:strCache>
                <c:ptCount val="10"/>
                <c:pt idx="0">
                  <c:v>01</c:v>
                </c:pt>
                <c:pt idx="1">
                  <c:v>02</c:v>
                </c:pt>
                <c:pt idx="2">
                  <c:v>05</c:v>
                </c:pt>
                <c:pt idx="3">
                  <c:v>08</c:v>
                </c:pt>
                <c:pt idx="4">
                  <c:v>13</c:v>
                </c:pt>
                <c:pt idx="5">
                  <c:v>22</c:v>
                </c:pt>
                <c:pt idx="6">
                  <c:v>23</c:v>
                </c:pt>
                <c:pt idx="7">
                  <c:v>26</c:v>
                </c:pt>
                <c:pt idx="8">
                  <c:v>27</c:v>
                </c:pt>
                <c:pt idx="9">
                  <c:v>28</c:v>
                </c:pt>
              </c:strCache>
            </c:strRef>
          </c:cat>
          <c:val>
            <c:numRef>
              <c:f>'PIVOTS AND CHARTS '!$B$34:$B$44</c:f>
              <c:numCache>
                <c:formatCode>General</c:formatCode>
                <c:ptCount val="10"/>
                <c:pt idx="0">
                  <c:v>33179.46</c:v>
                </c:pt>
                <c:pt idx="1">
                  <c:v>26284.590000000004</c:v>
                </c:pt>
                <c:pt idx="2">
                  <c:v>25134.150000000005</c:v>
                </c:pt>
                <c:pt idx="3">
                  <c:v>24444.61</c:v>
                </c:pt>
                <c:pt idx="4">
                  <c:v>20151.239999999998</c:v>
                </c:pt>
                <c:pt idx="5">
                  <c:v>23268.94</c:v>
                </c:pt>
                <c:pt idx="6">
                  <c:v>20450.789999999994</c:v>
                </c:pt>
                <c:pt idx="7">
                  <c:v>21970.329999999998</c:v>
                </c:pt>
                <c:pt idx="8">
                  <c:v>21158.869999999995</c:v>
                </c:pt>
                <c:pt idx="9">
                  <c:v>21945.21</c:v>
                </c:pt>
              </c:numCache>
            </c:numRef>
          </c:val>
          <c:extLst>
            <c:ext xmlns:c16="http://schemas.microsoft.com/office/drawing/2014/chart" uri="{C3380CC4-5D6E-409C-BE32-E72D297353CC}">
              <c16:uniqueId val="{00000000-9121-402F-B6DF-D1559B5BA098}"/>
            </c:ext>
          </c:extLst>
        </c:ser>
        <c:dLbls>
          <c:showLegendKey val="0"/>
          <c:showVal val="0"/>
          <c:showCatName val="0"/>
          <c:showSerName val="0"/>
          <c:showPercent val="0"/>
          <c:showBubbleSize val="0"/>
        </c:dLbls>
        <c:axId val="404501215"/>
        <c:axId val="126727439"/>
      </c:areaChart>
      <c:catAx>
        <c:axId val="404501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27439"/>
        <c:crosses val="autoZero"/>
        <c:auto val="1"/>
        <c:lblAlgn val="ctr"/>
        <c:lblOffset val="100"/>
        <c:noMultiLvlLbl val="0"/>
      </c:catAx>
      <c:valAx>
        <c:axId val="126727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501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OVER CUSTOMER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AND CHARTS '!$B$50</c:f>
              <c:strCache>
                <c:ptCount val="1"/>
                <c:pt idx="0">
                  <c:v>Total</c:v>
                </c:pt>
              </c:strCache>
            </c:strRef>
          </c:tx>
          <c:spPr>
            <a:solidFill>
              <a:schemeClr val="accent1"/>
            </a:solidFill>
            <a:ln>
              <a:noFill/>
            </a:ln>
            <a:effectLst/>
          </c:spPr>
          <c:invertIfNegative val="0"/>
          <c:cat>
            <c:strRef>
              <c:f>'PIVOTS AND CHARTS '!$A$51:$A$57</c:f>
              <c:strCache>
                <c:ptCount val="6"/>
                <c:pt idx="0">
                  <c:v>Bakery</c:v>
                </c:pt>
                <c:pt idx="1">
                  <c:v>Café</c:v>
                </c:pt>
                <c:pt idx="2">
                  <c:v>Cloud Kitchen</c:v>
                </c:pt>
                <c:pt idx="3">
                  <c:v>Household</c:v>
                </c:pt>
                <c:pt idx="4">
                  <c:v>Office</c:v>
                </c:pt>
                <c:pt idx="5">
                  <c:v>Tea Stall</c:v>
                </c:pt>
              </c:strCache>
            </c:strRef>
          </c:cat>
          <c:val>
            <c:numRef>
              <c:f>'PIVOTS AND CHARTS '!$B$51:$B$57</c:f>
              <c:numCache>
                <c:formatCode>General</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284E-438F-8DDB-5F2C1D860906}"/>
            </c:ext>
          </c:extLst>
        </c:ser>
        <c:dLbls>
          <c:showLegendKey val="0"/>
          <c:showVal val="0"/>
          <c:showCatName val="0"/>
          <c:showSerName val="0"/>
          <c:showPercent val="0"/>
          <c:showBubbleSize val="0"/>
        </c:dLbls>
        <c:gapWidth val="219"/>
        <c:overlap val="-27"/>
        <c:axId val="404360159"/>
        <c:axId val="148541903"/>
      </c:barChart>
      <c:catAx>
        <c:axId val="40436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1903"/>
        <c:crosses val="autoZero"/>
        <c:auto val="1"/>
        <c:lblAlgn val="ctr"/>
        <c:lblOffset val="100"/>
        <c:noMultiLvlLbl val="0"/>
      </c:catAx>
      <c:valAx>
        <c:axId val="1485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36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SALES OVER CUSTOMER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 AND CHARTS '!$B$66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37F-459F-A9D5-AFDC3DA2D18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37F-459F-A9D5-AFDC3DA2D18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37F-459F-A9D5-AFDC3DA2D1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 AND CHARTS '!$A$67:$A$70</c:f>
              <c:strCache>
                <c:ptCount val="3"/>
                <c:pt idx="0">
                  <c:v>Bulk</c:v>
                </c:pt>
                <c:pt idx="1">
                  <c:v>New</c:v>
                </c:pt>
                <c:pt idx="2">
                  <c:v>Returning</c:v>
                </c:pt>
              </c:strCache>
            </c:strRef>
          </c:cat>
          <c:val>
            <c:numRef>
              <c:f>'PIVOTS AND CHARTS '!$B$67:$B$70</c:f>
              <c:numCache>
                <c:formatCode>General</c:formatCode>
                <c:ptCount val="3"/>
                <c:pt idx="0">
                  <c:v>3519</c:v>
                </c:pt>
                <c:pt idx="1">
                  <c:v>350</c:v>
                </c:pt>
                <c:pt idx="2">
                  <c:v>338</c:v>
                </c:pt>
              </c:numCache>
            </c:numRef>
          </c:val>
          <c:extLst>
            <c:ext xmlns:c16="http://schemas.microsoft.com/office/drawing/2014/chart" uri="{C3380CC4-5D6E-409C-BE32-E72D297353CC}">
              <c16:uniqueId val="{00000000-9D57-4FE7-8BA3-A412AE82A08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 AND CHARTS '!$B$82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C2-4D3E-8EA1-8F11DE37D9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C2-4D3E-8EA1-8F11DE37D90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BC2-4D3E-8EA1-8F11DE37D90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BC2-4D3E-8EA1-8F11DE37D90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BC2-4D3E-8EA1-8F11DE37D90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BC2-4D3E-8EA1-8F11DE37D90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BC2-4D3E-8EA1-8F11DE37D909}"/>
              </c:ext>
            </c:extLst>
          </c:dPt>
          <c:cat>
            <c:strRef>
              <c:f>'PIVOTS AND CHARTS '!$A$83:$A$90</c:f>
              <c:strCache>
                <c:ptCount val="7"/>
                <c:pt idx="0">
                  <c:v>CARD</c:v>
                </c:pt>
                <c:pt idx="1">
                  <c:v>COD</c:v>
                </c:pt>
                <c:pt idx="2">
                  <c:v>GPAY</c:v>
                </c:pt>
                <c:pt idx="3">
                  <c:v>NETBANKING</c:v>
                </c:pt>
                <c:pt idx="4">
                  <c:v>PHONEPE</c:v>
                </c:pt>
                <c:pt idx="5">
                  <c:v>UPI</c:v>
                </c:pt>
                <c:pt idx="6">
                  <c:v>WALLET</c:v>
                </c:pt>
              </c:strCache>
            </c:strRef>
          </c:cat>
          <c:val>
            <c:numRef>
              <c:f>'PIVOTS AND CHARTS '!$B$83:$B$90</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A161-403A-A5EB-983691668BE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SALES OVER</a:t>
            </a:r>
            <a:r>
              <a:rPr lang="en-GB" b="1" baseline="0"/>
              <a:t> CITY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AND CHARTS '!$B$99</c:f>
              <c:strCache>
                <c:ptCount val="1"/>
                <c:pt idx="0">
                  <c:v>Total</c:v>
                </c:pt>
              </c:strCache>
            </c:strRef>
          </c:tx>
          <c:spPr>
            <a:solidFill>
              <a:schemeClr val="accent1"/>
            </a:solidFill>
            <a:ln>
              <a:noFill/>
            </a:ln>
            <a:effectLst/>
          </c:spPr>
          <c:invertIfNegative val="0"/>
          <c:cat>
            <c:strRef>
              <c:f>'PIVOTS AND CHARTS '!$A$100:$A$106</c:f>
              <c:strCache>
                <c:ptCount val="6"/>
                <c:pt idx="0">
                  <c:v>AHMEDABAD</c:v>
                </c:pt>
                <c:pt idx="1">
                  <c:v>DELHI</c:v>
                </c:pt>
                <c:pt idx="2">
                  <c:v>KARNATAKA</c:v>
                </c:pt>
                <c:pt idx="3">
                  <c:v>KERALA</c:v>
                </c:pt>
                <c:pt idx="4">
                  <c:v>NEPAL</c:v>
                </c:pt>
                <c:pt idx="5">
                  <c:v>TAMILNADU</c:v>
                </c:pt>
              </c:strCache>
            </c:strRef>
          </c:cat>
          <c:val>
            <c:numRef>
              <c:f>'PIVOTS AND CHARTS '!$B$100:$B$106</c:f>
              <c:numCache>
                <c:formatCode>General</c:formatCode>
                <c:ptCount val="6"/>
                <c:pt idx="0">
                  <c:v>19853.019999999997</c:v>
                </c:pt>
                <c:pt idx="1">
                  <c:v>17262.84</c:v>
                </c:pt>
                <c:pt idx="2">
                  <c:v>123558.45</c:v>
                </c:pt>
                <c:pt idx="3">
                  <c:v>151086.0400000001</c:v>
                </c:pt>
                <c:pt idx="4">
                  <c:v>106771.86</c:v>
                </c:pt>
                <c:pt idx="5">
                  <c:v>145460.03999999989</c:v>
                </c:pt>
              </c:numCache>
            </c:numRef>
          </c:val>
          <c:extLst>
            <c:ext xmlns:c16="http://schemas.microsoft.com/office/drawing/2014/chart" uri="{C3380CC4-5D6E-409C-BE32-E72D297353CC}">
              <c16:uniqueId val="{00000000-ED43-49F0-B88A-2D8277E8876B}"/>
            </c:ext>
          </c:extLst>
        </c:ser>
        <c:dLbls>
          <c:showLegendKey val="0"/>
          <c:showVal val="0"/>
          <c:showCatName val="0"/>
          <c:showSerName val="0"/>
          <c:showPercent val="0"/>
          <c:showBubbleSize val="0"/>
        </c:dLbls>
        <c:gapWidth val="219"/>
        <c:overlap val="-27"/>
        <c:axId val="1273198800"/>
        <c:axId val="912152400"/>
      </c:barChart>
      <c:catAx>
        <c:axId val="127319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52400"/>
        <c:crosses val="autoZero"/>
        <c:auto val="1"/>
        <c:lblAlgn val="ctr"/>
        <c:lblOffset val="100"/>
        <c:noMultiLvlLbl val="0"/>
      </c:catAx>
      <c:valAx>
        <c:axId val="912152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AND CHARTS '!$B$82</c:f>
              <c:strCache>
                <c:ptCount val="1"/>
                <c:pt idx="0">
                  <c:v>Total</c:v>
                </c:pt>
              </c:strCache>
            </c:strRef>
          </c:tx>
          <c:spPr>
            <a:solidFill>
              <a:schemeClr val="accent1"/>
            </a:solidFill>
            <a:ln>
              <a:noFill/>
            </a:ln>
            <a:effectLst/>
          </c:spPr>
          <c:invertIfNegative val="0"/>
          <c:cat>
            <c:strRef>
              <c:f>'PIVOTS AND CHARTS '!$A$83:$A$90</c:f>
              <c:strCache>
                <c:ptCount val="7"/>
                <c:pt idx="0">
                  <c:v>CARD</c:v>
                </c:pt>
                <c:pt idx="1">
                  <c:v>COD</c:v>
                </c:pt>
                <c:pt idx="2">
                  <c:v>GPAY</c:v>
                </c:pt>
                <c:pt idx="3">
                  <c:v>NETBANKING</c:v>
                </c:pt>
                <c:pt idx="4">
                  <c:v>PHONEPE</c:v>
                </c:pt>
                <c:pt idx="5">
                  <c:v>UPI</c:v>
                </c:pt>
                <c:pt idx="6">
                  <c:v>WALLET</c:v>
                </c:pt>
              </c:strCache>
            </c:strRef>
          </c:cat>
          <c:val>
            <c:numRef>
              <c:f>'PIVOTS AND CHARTS '!$B$83:$B$90</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31E3-4298-A366-5EDB99EC5718}"/>
            </c:ext>
          </c:extLst>
        </c:ser>
        <c:dLbls>
          <c:showLegendKey val="0"/>
          <c:showVal val="0"/>
          <c:showCatName val="0"/>
          <c:showSerName val="0"/>
          <c:showPercent val="0"/>
          <c:showBubbleSize val="0"/>
        </c:dLbls>
        <c:gapWidth val="182"/>
        <c:axId val="1272982576"/>
        <c:axId val="1168753552"/>
      </c:barChart>
      <c:catAx>
        <c:axId val="127298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53552"/>
        <c:crosses val="autoZero"/>
        <c:auto val="1"/>
        <c:lblAlgn val="ctr"/>
        <c:lblOffset val="100"/>
        <c:noMultiLvlLbl val="0"/>
      </c:catAx>
      <c:valAx>
        <c:axId val="1168753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98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Top 10 Orders</a:t>
            </a:r>
          </a:p>
        </c:rich>
      </c:tx>
      <c:layout>
        <c:manualLayout>
          <c:xMode val="edge"/>
          <c:yMode val="edge"/>
          <c:x val="0.3846775369330156"/>
          <c:y val="0.118865949477242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13094252134916"/>
          <c:y val="0.37443524464194239"/>
          <c:w val="0.55967990781699684"/>
          <c:h val="0.51542858504390088"/>
        </c:manualLayout>
      </c:layout>
      <c:barChart>
        <c:barDir val="bar"/>
        <c:grouping val="clustered"/>
        <c:varyColors val="0"/>
        <c:dLbls>
          <c:showLegendKey val="0"/>
          <c:showVal val="0"/>
          <c:showCatName val="0"/>
          <c:showSerName val="0"/>
          <c:showPercent val="0"/>
          <c:showBubbleSize val="0"/>
        </c:dLbls>
        <c:gapWidth val="182"/>
        <c:axId val="1207832719"/>
        <c:axId val="281046863"/>
      </c:barChart>
      <c:catAx>
        <c:axId val="120783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81046863"/>
        <c:crosses val="autoZero"/>
        <c:auto val="1"/>
        <c:lblAlgn val="ctr"/>
        <c:lblOffset val="100"/>
        <c:noMultiLvlLbl val="0"/>
      </c:catAx>
      <c:valAx>
        <c:axId val="28104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7832719"/>
        <c:crosses val="autoZero"/>
        <c:crossBetween val="between"/>
      </c:valAx>
      <c:spPr>
        <a:solidFill>
          <a:schemeClr val="lt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SALES OVER TIME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1">
                <a:lumMod val="9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FFFF00"/>
            </a:solidFill>
            <a:ln w="9525">
              <a:solidFill>
                <a:schemeClr val="accent1"/>
              </a:solidFill>
            </a:ln>
            <a:effectLst/>
          </c:spPr>
        </c:marker>
      </c:pivotFmt>
    </c:pivotFmts>
    <c:plotArea>
      <c:layout/>
      <c:lineChart>
        <c:grouping val="stacked"/>
        <c:varyColors val="0"/>
        <c:ser>
          <c:idx val="0"/>
          <c:order val="0"/>
          <c:tx>
            <c:strRef>
              <c:f>'PIVOTS AND CHARTS '!$B$18</c:f>
              <c:strCache>
                <c:ptCount val="1"/>
                <c:pt idx="0">
                  <c:v>Total</c:v>
                </c:pt>
              </c:strCache>
            </c:strRef>
          </c:tx>
          <c:spPr>
            <a:ln w="28575" cap="rnd">
              <a:solidFill>
                <a:schemeClr val="accent1"/>
              </a:solidFill>
              <a:round/>
            </a:ln>
            <a:effectLst/>
          </c:spPr>
          <c:marker>
            <c:symbol val="circle"/>
            <c:size val="5"/>
            <c:spPr>
              <a:solidFill>
                <a:schemeClr val="bg1">
                  <a:lumMod val="95000"/>
                </a:schemeClr>
              </a:solidFill>
              <a:ln w="9525">
                <a:solidFill>
                  <a:schemeClr val="accent1"/>
                </a:solidFill>
              </a:ln>
              <a:effectLst/>
            </c:spPr>
          </c:marker>
          <c:dPt>
            <c:idx val="2"/>
            <c:marker>
              <c:symbol val="circle"/>
              <c:size val="5"/>
              <c:spPr>
                <a:solidFill>
                  <a:srgbClr val="FFFF00"/>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137D-4E6F-AA23-E7891AE1E01B}"/>
              </c:ext>
            </c:extLst>
          </c:dPt>
          <c:cat>
            <c:strRef>
              <c:f>'PIVOTS AND CHARTS '!$A$19:$A$22</c:f>
              <c:strCache>
                <c:ptCount val="3"/>
                <c:pt idx="0">
                  <c:v>January</c:v>
                </c:pt>
                <c:pt idx="1">
                  <c:v>February</c:v>
                </c:pt>
                <c:pt idx="2">
                  <c:v>March</c:v>
                </c:pt>
              </c:strCache>
            </c:strRef>
          </c:cat>
          <c:val>
            <c:numRef>
              <c:f>'PIVOTS AND CHARTS '!$B$19:$B$22</c:f>
              <c:numCache>
                <c:formatCode>General</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137D-4E6F-AA23-E7891AE1E01B}"/>
            </c:ext>
          </c:extLst>
        </c:ser>
        <c:dLbls>
          <c:showLegendKey val="0"/>
          <c:showVal val="0"/>
          <c:showCatName val="0"/>
          <c:showSerName val="0"/>
          <c:showPercent val="0"/>
          <c:showBubbleSize val="0"/>
        </c:dLbls>
        <c:marker val="1"/>
        <c:smooth val="0"/>
        <c:axId val="127809167"/>
        <c:axId val="96410159"/>
      </c:lineChart>
      <c:catAx>
        <c:axId val="127809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10159"/>
        <c:crosses val="autoZero"/>
        <c:auto val="1"/>
        <c:lblAlgn val="ctr"/>
        <c:lblOffset val="100"/>
        <c:noMultiLvlLbl val="0"/>
      </c:catAx>
      <c:valAx>
        <c:axId val="9641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09167"/>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2">
                    <a:lumMod val="75000"/>
                  </a:schemeClr>
                </a:solidFill>
              </a:rPr>
              <a:t>SALES BY CUSTOMER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solidFill>
          <a:ln>
            <a:noFill/>
          </a:ln>
          <a:effectLst>
            <a:outerShdw blurRad="254000" sx="102000" sy="102000" algn="ctr" rotWithShape="0">
              <a:prstClr val="black">
                <a:alpha val="20000"/>
              </a:prstClr>
            </a:outerShdw>
          </a:effectLst>
        </c:spPr>
      </c:pivotFmt>
      <c:pivotFmt>
        <c:idx val="10"/>
        <c:spPr>
          <a:solidFill>
            <a:srgbClr val="FFC000"/>
          </a:solidFill>
          <a:ln>
            <a:noFill/>
          </a:ln>
          <a:effectLst>
            <a:outerShdw blurRad="254000" sx="102000" sy="102000" algn="ctr" rotWithShape="0">
              <a:prstClr val="black">
                <a:alpha val="20000"/>
              </a:prstClr>
            </a:outerShdw>
          </a:effectLst>
        </c:spPr>
      </c:pivotFmt>
      <c:pivotFmt>
        <c:idx val="11"/>
        <c:spPr>
          <a:solidFill>
            <a:srgbClr val="FFFF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'PIVOTS AND CHARTS '!$B$66</c:f>
              <c:strCache>
                <c:ptCount val="1"/>
                <c:pt idx="0">
                  <c:v>Total</c:v>
                </c:pt>
              </c:strCache>
            </c:strRef>
          </c:tx>
          <c:dPt>
            <c:idx val="0"/>
            <c:bubble3D val="0"/>
            <c:spPr>
              <a:solidFill>
                <a:schemeClr val="tx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F79-4D11-B14C-B431DEFB2752}"/>
              </c:ext>
            </c:extLst>
          </c:dPt>
          <c:dPt>
            <c:idx val="1"/>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F79-4D11-B14C-B431DEFB2752}"/>
              </c:ext>
            </c:extLst>
          </c:dPt>
          <c:dPt>
            <c:idx val="2"/>
            <c:bubble3D val="0"/>
            <c:spPr>
              <a:solidFill>
                <a:srgbClr val="FFFF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F79-4D11-B14C-B431DEFB275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 AND CHARTS '!$A$67:$A$70</c:f>
              <c:strCache>
                <c:ptCount val="3"/>
                <c:pt idx="0">
                  <c:v>Bulk</c:v>
                </c:pt>
                <c:pt idx="1">
                  <c:v>New</c:v>
                </c:pt>
                <c:pt idx="2">
                  <c:v>Returning</c:v>
                </c:pt>
              </c:strCache>
            </c:strRef>
          </c:cat>
          <c:val>
            <c:numRef>
              <c:f>'PIVOTS AND CHARTS '!$B$67:$B$70</c:f>
              <c:numCache>
                <c:formatCode>General</c:formatCode>
                <c:ptCount val="3"/>
                <c:pt idx="0">
                  <c:v>3519</c:v>
                </c:pt>
                <c:pt idx="1">
                  <c:v>350</c:v>
                </c:pt>
                <c:pt idx="2">
                  <c:v>338</c:v>
                </c:pt>
              </c:numCache>
            </c:numRef>
          </c:val>
          <c:extLst>
            <c:ext xmlns:c16="http://schemas.microsoft.com/office/drawing/2014/chart" uri="{C3380CC4-5D6E-409C-BE32-E72D297353CC}">
              <c16:uniqueId val="{00000006-9F79-4D11-B14C-B431DEFB275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2">
                    <a:lumMod val="75000"/>
                  </a:schemeClr>
                </a:solidFill>
              </a:rPr>
              <a:t>SALES OVER</a:t>
            </a:r>
            <a:r>
              <a:rPr lang="en-GB" b="1" baseline="0">
                <a:solidFill>
                  <a:schemeClr val="tx2">
                    <a:lumMod val="75000"/>
                  </a:schemeClr>
                </a:solidFill>
              </a:rPr>
              <a:t> CITY</a:t>
            </a:r>
            <a:endParaRPr lang="en-GB"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AND CHARTS '!$B$99</c:f>
              <c:strCache>
                <c:ptCount val="1"/>
                <c:pt idx="0">
                  <c:v>Total</c:v>
                </c:pt>
              </c:strCache>
            </c:strRef>
          </c:tx>
          <c:spPr>
            <a:solidFill>
              <a:schemeClr val="tx2">
                <a:lumMod val="75000"/>
              </a:schemeClr>
            </a:solidFill>
            <a:ln>
              <a:noFill/>
            </a:ln>
            <a:effectLst/>
          </c:spPr>
          <c:invertIfNegative val="0"/>
          <c:cat>
            <c:strRef>
              <c:f>'PIVOTS AND CHARTS '!$A$100:$A$106</c:f>
              <c:strCache>
                <c:ptCount val="6"/>
                <c:pt idx="0">
                  <c:v>AHMEDABAD</c:v>
                </c:pt>
                <c:pt idx="1">
                  <c:v>DELHI</c:v>
                </c:pt>
                <c:pt idx="2">
                  <c:v>KARNATAKA</c:v>
                </c:pt>
                <c:pt idx="3">
                  <c:v>KERALA</c:v>
                </c:pt>
                <c:pt idx="4">
                  <c:v>NEPAL</c:v>
                </c:pt>
                <c:pt idx="5">
                  <c:v>TAMILNADU</c:v>
                </c:pt>
              </c:strCache>
            </c:strRef>
          </c:cat>
          <c:val>
            <c:numRef>
              <c:f>'PIVOTS AND CHARTS '!$B$100:$B$106</c:f>
              <c:numCache>
                <c:formatCode>General</c:formatCode>
                <c:ptCount val="6"/>
                <c:pt idx="0">
                  <c:v>19853.019999999997</c:v>
                </c:pt>
                <c:pt idx="1">
                  <c:v>17262.84</c:v>
                </c:pt>
                <c:pt idx="2">
                  <c:v>123558.45</c:v>
                </c:pt>
                <c:pt idx="3">
                  <c:v>151086.0400000001</c:v>
                </c:pt>
                <c:pt idx="4">
                  <c:v>106771.86</c:v>
                </c:pt>
                <c:pt idx="5">
                  <c:v>145460.03999999989</c:v>
                </c:pt>
              </c:numCache>
            </c:numRef>
          </c:val>
          <c:extLst>
            <c:ext xmlns:c16="http://schemas.microsoft.com/office/drawing/2014/chart" uri="{C3380CC4-5D6E-409C-BE32-E72D297353CC}">
              <c16:uniqueId val="{00000000-907A-4A53-A88F-5058666810B7}"/>
            </c:ext>
          </c:extLst>
        </c:ser>
        <c:dLbls>
          <c:showLegendKey val="0"/>
          <c:showVal val="0"/>
          <c:showCatName val="0"/>
          <c:showSerName val="0"/>
          <c:showPercent val="0"/>
          <c:showBubbleSize val="0"/>
        </c:dLbls>
        <c:gapWidth val="219"/>
        <c:axId val="1273198800"/>
        <c:axId val="912152400"/>
      </c:barChart>
      <c:catAx>
        <c:axId val="127319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52400"/>
        <c:crosses val="autoZero"/>
        <c:auto val="1"/>
        <c:lblAlgn val="ctr"/>
        <c:lblOffset val="100"/>
        <c:noMultiLvlLbl val="0"/>
      </c:catAx>
      <c:valAx>
        <c:axId val="912152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SALES OVER CUSTOMER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AND CHARTS '!$B$50</c:f>
              <c:strCache>
                <c:ptCount val="1"/>
                <c:pt idx="0">
                  <c:v>Total</c:v>
                </c:pt>
              </c:strCache>
            </c:strRef>
          </c:tx>
          <c:spPr>
            <a:solidFill>
              <a:schemeClr val="tx2">
                <a:lumMod val="75000"/>
              </a:schemeClr>
            </a:solidFill>
            <a:ln>
              <a:noFill/>
            </a:ln>
            <a:effectLst/>
          </c:spPr>
          <c:invertIfNegative val="0"/>
          <c:cat>
            <c:strRef>
              <c:f>'PIVOTS AND CHARTS '!$A$51:$A$57</c:f>
              <c:strCache>
                <c:ptCount val="6"/>
                <c:pt idx="0">
                  <c:v>Bakery</c:v>
                </c:pt>
                <c:pt idx="1">
                  <c:v>Café</c:v>
                </c:pt>
                <c:pt idx="2">
                  <c:v>Cloud Kitchen</c:v>
                </c:pt>
                <c:pt idx="3">
                  <c:v>Household</c:v>
                </c:pt>
                <c:pt idx="4">
                  <c:v>Office</c:v>
                </c:pt>
                <c:pt idx="5">
                  <c:v>Tea Stall</c:v>
                </c:pt>
              </c:strCache>
            </c:strRef>
          </c:cat>
          <c:val>
            <c:numRef>
              <c:f>'PIVOTS AND CHARTS '!$B$51:$B$57</c:f>
              <c:numCache>
                <c:formatCode>General</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8F8A-49B6-9217-438F56DB9E42}"/>
            </c:ext>
          </c:extLst>
        </c:ser>
        <c:dLbls>
          <c:showLegendKey val="0"/>
          <c:showVal val="0"/>
          <c:showCatName val="0"/>
          <c:showSerName val="0"/>
          <c:showPercent val="0"/>
          <c:showBubbleSize val="0"/>
        </c:dLbls>
        <c:gapWidth val="219"/>
        <c:overlap val="-27"/>
        <c:axId val="404360159"/>
        <c:axId val="148541903"/>
      </c:barChart>
      <c:catAx>
        <c:axId val="40436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1903"/>
        <c:crosses val="autoZero"/>
        <c:auto val="1"/>
        <c:lblAlgn val="ctr"/>
        <c:lblOffset val="100"/>
        <c:noMultiLvlLbl val="0"/>
      </c:catAx>
      <c:valAx>
        <c:axId val="1485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36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ORDER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AND CHARTS '!$B$82</c:f>
              <c:strCache>
                <c:ptCount val="1"/>
                <c:pt idx="0">
                  <c:v>Total</c:v>
                </c:pt>
              </c:strCache>
            </c:strRef>
          </c:tx>
          <c:spPr>
            <a:solidFill>
              <a:schemeClr val="tx2">
                <a:lumMod val="75000"/>
              </a:schemeClr>
            </a:solidFill>
            <a:ln>
              <a:noFill/>
            </a:ln>
            <a:effectLst/>
          </c:spPr>
          <c:invertIfNegative val="0"/>
          <c:cat>
            <c:strRef>
              <c:f>'PIVOTS AND CHARTS '!$A$83:$A$90</c:f>
              <c:strCache>
                <c:ptCount val="7"/>
                <c:pt idx="0">
                  <c:v>CARD</c:v>
                </c:pt>
                <c:pt idx="1">
                  <c:v>COD</c:v>
                </c:pt>
                <c:pt idx="2">
                  <c:v>GPAY</c:v>
                </c:pt>
                <c:pt idx="3">
                  <c:v>NETBANKING</c:v>
                </c:pt>
                <c:pt idx="4">
                  <c:v>PHONEPE</c:v>
                </c:pt>
                <c:pt idx="5">
                  <c:v>UPI</c:v>
                </c:pt>
                <c:pt idx="6">
                  <c:v>WALLET</c:v>
                </c:pt>
              </c:strCache>
            </c:strRef>
          </c:cat>
          <c:val>
            <c:numRef>
              <c:f>'PIVOTS AND CHARTS '!$B$83:$B$90</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4089-4FAF-B2B1-FCED45C04338}"/>
            </c:ext>
          </c:extLst>
        </c:ser>
        <c:dLbls>
          <c:showLegendKey val="0"/>
          <c:showVal val="0"/>
          <c:showCatName val="0"/>
          <c:showSerName val="0"/>
          <c:showPercent val="0"/>
          <c:showBubbleSize val="0"/>
        </c:dLbls>
        <c:gapWidth val="182"/>
        <c:axId val="1272982576"/>
        <c:axId val="1168753552"/>
      </c:barChart>
      <c:catAx>
        <c:axId val="127298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53552"/>
        <c:crosses val="autoZero"/>
        <c:auto val="1"/>
        <c:lblAlgn val="ctr"/>
        <c:lblOffset val="100"/>
        <c:noMultiLvlLbl val="0"/>
      </c:catAx>
      <c:valAx>
        <c:axId val="1168753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98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[Zepto_Sales_Analytics_Dashboard.xlsx]PIVOTS AND CHARTS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Top 10 Orders</a:t>
            </a:r>
          </a:p>
        </c:rich>
      </c:tx>
      <c:layout>
        <c:manualLayout>
          <c:xMode val="edge"/>
          <c:yMode val="edge"/>
          <c:x val="0.40273548586312857"/>
          <c:y val="0.141678259342796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AND CHARTS '!$B$2</c:f>
              <c:strCache>
                <c:ptCount val="1"/>
                <c:pt idx="0">
                  <c:v>Total</c:v>
                </c:pt>
              </c:strCache>
            </c:strRef>
          </c:tx>
          <c:spPr>
            <a:solidFill>
              <a:schemeClr val="tx2">
                <a:lumMod val="75000"/>
              </a:schemeClr>
            </a:solidFill>
            <a:ln>
              <a:noFill/>
            </a:ln>
            <a:effectLst/>
          </c:spPr>
          <c:invertIfNegative val="0"/>
          <c:cat>
            <c:strRef>
              <c:f>'PIVOTS AND CHARTS '!$A$3:$A$13</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'PIVOTS AND CHARTS '!$B$3:$B$13</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6DD4-45F3-B281-7A5860818F6E}"/>
            </c:ext>
          </c:extLst>
        </c:ser>
        <c:dLbls>
          <c:showLegendKey val="0"/>
          <c:showVal val="0"/>
          <c:showCatName val="0"/>
          <c:showSerName val="0"/>
          <c:showPercent val="0"/>
          <c:showBubbleSize val="0"/>
        </c:dLbls>
        <c:gapWidth val="182"/>
        <c:axId val="1195323024"/>
        <c:axId val="1070493808"/>
      </c:barChart>
      <c:catAx>
        <c:axId val="119532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493808"/>
        <c:crosses val="autoZero"/>
        <c:auto val="1"/>
        <c:lblAlgn val="ctr"/>
        <c:lblOffset val="100"/>
        <c:noMultiLvlLbl val="0"/>
      </c:catAx>
      <c:valAx>
        <c:axId val="107049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2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1.xml"/><Relationship Id="rId16" Type="http://schemas.openxmlformats.org/officeDocument/2006/relationships/image" Target="../media/image9.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4.svg"/><Relationship Id="rId5" Type="http://schemas.openxmlformats.org/officeDocument/2006/relationships/chart" Target="../charts/chart14.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3.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259080</xdr:colOff>
      <xdr:row>0</xdr:row>
      <xdr:rowOff>179070</xdr:rowOff>
    </xdr:from>
    <xdr:to>
      <xdr:col>9</xdr:col>
      <xdr:colOff>7620</xdr:colOff>
      <xdr:row>13</xdr:row>
      <xdr:rowOff>22860</xdr:rowOff>
    </xdr:to>
    <xdr:graphicFrame macro="">
      <xdr:nvGraphicFramePr>
        <xdr:cNvPr id="4" name="Chart 3">
          <a:extLst>
            <a:ext uri="{FF2B5EF4-FFF2-40B4-BE49-F238E27FC236}">
              <a16:creationId xmlns:a16="http://schemas.microsoft.com/office/drawing/2014/main" id="{B717D735-40A1-DEB6-6CC3-D13536E0E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144780</xdr:colOff>
      <xdr:row>1</xdr:row>
      <xdr:rowOff>114301</xdr:rowOff>
    </xdr:from>
    <xdr:to>
      <xdr:col>12</xdr:col>
      <xdr:colOff>121920</xdr:colOff>
      <xdr:row>12</xdr:row>
      <xdr:rowOff>144781</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7A9DCD2D-102D-4B3B-94AC-547C351EF9D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768340" y="297181"/>
              <a:ext cx="1805940" cy="204216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548640</xdr:colOff>
      <xdr:row>1</xdr:row>
      <xdr:rowOff>106681</xdr:rowOff>
    </xdr:from>
    <xdr:to>
      <xdr:col>15</xdr:col>
      <xdr:colOff>556260</xdr:colOff>
      <xdr:row>13</xdr:row>
      <xdr:rowOff>121920</xdr:rowOff>
    </xdr:to>
    <mc:AlternateContent xmlns:mc="http://schemas.openxmlformats.org/markup-compatibility/2006" xmlns:a14="http://schemas.microsoft.com/office/drawing/2010/main">
      <mc:Choice Requires="a14">
        <xdr:graphicFrame macro="">
          <xdr:nvGraphicFramePr>
            <xdr:cNvPr id="8" name="Payment_Method 1">
              <a:extLst>
                <a:ext uri="{FF2B5EF4-FFF2-40B4-BE49-F238E27FC236}">
                  <a16:creationId xmlns:a16="http://schemas.microsoft.com/office/drawing/2014/main" id="{F6601CEA-0119-B83C-D325-8106014AAE88}"/>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8001000" y="289561"/>
              <a:ext cx="1836420" cy="22097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601980</xdr:colOff>
      <xdr:row>14</xdr:row>
      <xdr:rowOff>171450</xdr:rowOff>
    </xdr:from>
    <xdr:to>
      <xdr:col>9</xdr:col>
      <xdr:colOff>114300</xdr:colOff>
      <xdr:row>28</xdr:row>
      <xdr:rowOff>15240</xdr:rowOff>
    </xdr:to>
    <xdr:graphicFrame macro="">
      <xdr:nvGraphicFramePr>
        <xdr:cNvPr id="3" name="Chart 2">
          <a:extLst>
            <a:ext uri="{FF2B5EF4-FFF2-40B4-BE49-F238E27FC236}">
              <a16:creationId xmlns:a16="http://schemas.microsoft.com/office/drawing/2014/main" id="{CD47646E-2759-642D-D069-A98241110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31</xdr:row>
      <xdr:rowOff>60960</xdr:rowOff>
    </xdr:from>
    <xdr:to>
      <xdr:col>8</xdr:col>
      <xdr:colOff>571500</xdr:colOff>
      <xdr:row>43</xdr:row>
      <xdr:rowOff>167640</xdr:rowOff>
    </xdr:to>
    <xdr:graphicFrame macro="">
      <xdr:nvGraphicFramePr>
        <xdr:cNvPr id="6" name="Chart 5">
          <a:extLst>
            <a:ext uri="{FF2B5EF4-FFF2-40B4-BE49-F238E27FC236}">
              <a16:creationId xmlns:a16="http://schemas.microsoft.com/office/drawing/2014/main" id="{BDC5E324-724B-B358-4F72-4A6973C06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31</xdr:row>
      <xdr:rowOff>60960</xdr:rowOff>
    </xdr:from>
    <xdr:to>
      <xdr:col>15</xdr:col>
      <xdr:colOff>495300</xdr:colOff>
      <xdr:row>44</xdr:row>
      <xdr:rowOff>0</xdr:rowOff>
    </xdr:to>
    <xdr:graphicFrame macro="">
      <xdr:nvGraphicFramePr>
        <xdr:cNvPr id="7" name="Chart 6">
          <a:extLst>
            <a:ext uri="{FF2B5EF4-FFF2-40B4-BE49-F238E27FC236}">
              <a16:creationId xmlns:a16="http://schemas.microsoft.com/office/drawing/2014/main" id="{61BC871A-47D0-C116-67FF-4ED8B7553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320040</xdr:colOff>
      <xdr:row>46</xdr:row>
      <xdr:rowOff>118110</xdr:rowOff>
    </xdr:from>
    <xdr:to>
      <xdr:col>10</xdr:col>
      <xdr:colOff>335280</xdr:colOff>
      <xdr:row>60</xdr:row>
      <xdr:rowOff>76200</xdr:rowOff>
    </xdr:to>
    <xdr:graphicFrame macro="">
      <xdr:nvGraphicFramePr>
        <xdr:cNvPr id="9" name="Chart 8">
          <a:extLst>
            <a:ext uri="{FF2B5EF4-FFF2-40B4-BE49-F238E27FC236}">
              <a16:creationId xmlns:a16="http://schemas.microsoft.com/office/drawing/2014/main" id="{9A72536E-4EAF-87C8-3F33-4CFE427D8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579120</xdr:colOff>
      <xdr:row>62</xdr:row>
      <xdr:rowOff>163830</xdr:rowOff>
    </xdr:from>
    <xdr:to>
      <xdr:col>9</xdr:col>
      <xdr:colOff>228600</xdr:colOff>
      <xdr:row>76</xdr:row>
      <xdr:rowOff>114300</xdr:rowOff>
    </xdr:to>
    <xdr:graphicFrame macro="">
      <xdr:nvGraphicFramePr>
        <xdr:cNvPr id="10" name="Chart 9">
          <a:extLst>
            <a:ext uri="{FF2B5EF4-FFF2-40B4-BE49-F238E27FC236}">
              <a16:creationId xmlns:a16="http://schemas.microsoft.com/office/drawing/2014/main" id="{5F17507E-0C09-8B38-8475-A50F1A3D2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601980</xdr:colOff>
      <xdr:row>79</xdr:row>
      <xdr:rowOff>133350</xdr:rowOff>
    </xdr:from>
    <xdr:to>
      <xdr:col>10</xdr:col>
      <xdr:colOff>38100</xdr:colOff>
      <xdr:row>93</xdr:row>
      <xdr:rowOff>22860</xdr:rowOff>
    </xdr:to>
    <xdr:graphicFrame macro="">
      <xdr:nvGraphicFramePr>
        <xdr:cNvPr id="11" name="Chart 10">
          <a:extLst>
            <a:ext uri="{FF2B5EF4-FFF2-40B4-BE49-F238E27FC236}">
              <a16:creationId xmlns:a16="http://schemas.microsoft.com/office/drawing/2014/main" id="{D2CD9519-35E8-8762-999A-BBA8941BE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393491</xdr:colOff>
      <xdr:row>95</xdr:row>
      <xdr:rowOff>83695</xdr:rowOff>
    </xdr:from>
    <xdr:to>
      <xdr:col>11</xdr:col>
      <xdr:colOff>68705</xdr:colOff>
      <xdr:row>110</xdr:row>
      <xdr:rowOff>16240</xdr:rowOff>
    </xdr:to>
    <xdr:graphicFrame macro="">
      <xdr:nvGraphicFramePr>
        <xdr:cNvPr id="2" name="Chart 1">
          <a:extLst>
            <a:ext uri="{FF2B5EF4-FFF2-40B4-BE49-F238E27FC236}">
              <a16:creationId xmlns:a16="http://schemas.microsoft.com/office/drawing/2014/main" id="{84371571-BF38-DB7E-A94A-B240E1EA9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543394</xdr:colOff>
      <xdr:row>78</xdr:row>
      <xdr:rowOff>158646</xdr:rowOff>
    </xdr:from>
    <xdr:to>
      <xdr:col>18</xdr:col>
      <xdr:colOff>362263</xdr:colOff>
      <xdr:row>93</xdr:row>
      <xdr:rowOff>0</xdr:rowOff>
    </xdr:to>
    <xdr:graphicFrame macro="">
      <xdr:nvGraphicFramePr>
        <xdr:cNvPr id="12" name="Chart 11">
          <a:extLst>
            <a:ext uri="{FF2B5EF4-FFF2-40B4-BE49-F238E27FC236}">
              <a16:creationId xmlns:a16="http://schemas.microsoft.com/office/drawing/2014/main" id="{8F82B7D7-BC6C-8B42-7BB0-100E58922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442149</xdr:colOff>
      <xdr:row>14</xdr:row>
      <xdr:rowOff>150520</xdr:rowOff>
    </xdr:from>
    <xdr:to>
      <xdr:col>6</xdr:col>
      <xdr:colOff>545630</xdr:colOff>
      <xdr:row>27</xdr:row>
      <xdr:rowOff>47038</xdr:rowOff>
    </xdr:to>
    <xdr:graphicFrame macro="">
      <xdr:nvGraphicFramePr>
        <xdr:cNvPr id="20" name="Chart 19">
          <a:extLst>
            <a:ext uri="{FF2B5EF4-FFF2-40B4-BE49-F238E27FC236}">
              <a16:creationId xmlns:a16="http://schemas.microsoft.com/office/drawing/2014/main" id="{CC6F2548-60EA-402B-8845-6504DDD79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9407</xdr:colOff>
      <xdr:row>0</xdr:row>
      <xdr:rowOff>65852</xdr:rowOff>
    </xdr:from>
    <xdr:to>
      <xdr:col>23</xdr:col>
      <xdr:colOff>413926</xdr:colOff>
      <xdr:row>39</xdr:row>
      <xdr:rowOff>0</xdr:rowOff>
    </xdr:to>
    <xdr:sp macro="" textlink="">
      <xdr:nvSpPr>
        <xdr:cNvPr id="5" name="Rectangle 4">
          <a:extLst>
            <a:ext uri="{FF2B5EF4-FFF2-40B4-BE49-F238E27FC236}">
              <a16:creationId xmlns:a16="http://schemas.microsoft.com/office/drawing/2014/main" id="{DD7FA899-793D-9DAF-024C-9EABA9FBE345}"/>
            </a:ext>
          </a:extLst>
        </xdr:cNvPr>
        <xdr:cNvSpPr/>
      </xdr:nvSpPr>
      <xdr:spPr>
        <a:xfrm>
          <a:off x="9407" y="65852"/>
          <a:ext cx="14548308" cy="7233306"/>
        </a:xfrm>
        <a:prstGeom prst="rect">
          <a:avLst/>
        </a:prstGeom>
        <a:solidFill>
          <a:schemeClr val="bg1">
            <a:lumMod val="9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AE" sz="2400" b="1">
            <a:noFill/>
          </a:endParaRPr>
        </a:p>
      </xdr:txBody>
    </xdr:sp>
    <xdr:clientData/>
  </xdr:twoCellAnchor>
  <xdr:twoCellAnchor>
    <xdr:from>
      <xdr:col>0</xdr:col>
      <xdr:colOff>47037</xdr:colOff>
      <xdr:row>0</xdr:row>
      <xdr:rowOff>56445</xdr:rowOff>
    </xdr:from>
    <xdr:to>
      <xdr:col>23</xdr:col>
      <xdr:colOff>413926</xdr:colOff>
      <xdr:row>4</xdr:row>
      <xdr:rowOff>112889</xdr:rowOff>
    </xdr:to>
    <xdr:sp macro="" textlink="">
      <xdr:nvSpPr>
        <xdr:cNvPr id="8" name="Rectangle 7">
          <a:extLst>
            <a:ext uri="{FF2B5EF4-FFF2-40B4-BE49-F238E27FC236}">
              <a16:creationId xmlns:a16="http://schemas.microsoft.com/office/drawing/2014/main" id="{40E5A637-7753-4A7E-C9B7-78BFA198A332}"/>
            </a:ext>
          </a:extLst>
        </xdr:cNvPr>
        <xdr:cNvSpPr/>
      </xdr:nvSpPr>
      <xdr:spPr>
        <a:xfrm>
          <a:off x="47037" y="56445"/>
          <a:ext cx="14332920" cy="770819"/>
        </a:xfrm>
        <a:prstGeom prst="rect">
          <a:avLst/>
        </a:prstGeom>
        <a:solidFill>
          <a:schemeClr val="tx2">
            <a:lumMod val="75000"/>
          </a:schemeClr>
        </a:solidFill>
        <a:ln>
          <a:solidFill>
            <a:schemeClr val="tx2">
              <a:lumMod val="50000"/>
            </a:schemeClr>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AE" sz="2400" b="1">
            <a:solidFill>
              <a:schemeClr val="tx2"/>
            </a:solidFill>
          </a:endParaRPr>
        </a:p>
      </xdr:txBody>
    </xdr:sp>
    <xdr:clientData/>
  </xdr:twoCellAnchor>
  <xdr:twoCellAnchor>
    <xdr:from>
      <xdr:col>0</xdr:col>
      <xdr:colOff>0</xdr:colOff>
      <xdr:row>35</xdr:row>
      <xdr:rowOff>130969</xdr:rowOff>
    </xdr:from>
    <xdr:to>
      <xdr:col>23</xdr:col>
      <xdr:colOff>423333</xdr:colOff>
      <xdr:row>38</xdr:row>
      <xdr:rowOff>161807</xdr:rowOff>
    </xdr:to>
    <xdr:sp macro="" textlink="">
      <xdr:nvSpPr>
        <xdr:cNvPr id="9" name="Rectangle 8">
          <a:extLst>
            <a:ext uri="{FF2B5EF4-FFF2-40B4-BE49-F238E27FC236}">
              <a16:creationId xmlns:a16="http://schemas.microsoft.com/office/drawing/2014/main" id="{B5CFDD54-3E1A-4BE0-86B9-34DF30F8AD79}"/>
            </a:ext>
          </a:extLst>
        </xdr:cNvPr>
        <xdr:cNvSpPr/>
      </xdr:nvSpPr>
      <xdr:spPr>
        <a:xfrm>
          <a:off x="0" y="6381750"/>
          <a:ext cx="14389364" cy="566620"/>
        </a:xfrm>
        <a:prstGeom prst="rect">
          <a:avLst/>
        </a:prstGeom>
        <a:solidFill>
          <a:schemeClr val="tx2">
            <a:lumMod val="75000"/>
          </a:schemeClr>
        </a:solidFill>
        <a:ln>
          <a:solidFill>
            <a:schemeClr val="tx2">
              <a:lumMod val="50000"/>
            </a:schemeClr>
          </a:solidFill>
        </a:ln>
        <a:effectLst>
          <a:outerShdw blurRad="457200" dist="38100" dir="2700000" algn="tl" rotWithShape="0">
            <a:schemeClr val="bg1"/>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AE" sz="2400" b="1">
            <a:solidFill>
              <a:schemeClr val="tx2"/>
            </a:solidFill>
          </a:endParaRPr>
        </a:p>
      </xdr:txBody>
    </xdr:sp>
    <xdr:clientData/>
  </xdr:twoCellAnchor>
  <xdr:twoCellAnchor>
    <xdr:from>
      <xdr:col>0</xdr:col>
      <xdr:colOff>119063</xdr:colOff>
      <xdr:row>0</xdr:row>
      <xdr:rowOff>0</xdr:rowOff>
    </xdr:from>
    <xdr:to>
      <xdr:col>4</xdr:col>
      <xdr:colOff>333375</xdr:colOff>
      <xdr:row>4</xdr:row>
      <xdr:rowOff>23813</xdr:rowOff>
    </xdr:to>
    <xdr:sp macro="" textlink="">
      <xdr:nvSpPr>
        <xdr:cNvPr id="10" name="TextBox 9">
          <a:extLst>
            <a:ext uri="{FF2B5EF4-FFF2-40B4-BE49-F238E27FC236}">
              <a16:creationId xmlns:a16="http://schemas.microsoft.com/office/drawing/2014/main" id="{1E60ED90-FF75-6697-86C7-4C1CEE217753}"/>
            </a:ext>
          </a:extLst>
        </xdr:cNvPr>
        <xdr:cNvSpPr txBox="1"/>
      </xdr:nvSpPr>
      <xdr:spPr>
        <a:xfrm>
          <a:off x="119063" y="0"/>
          <a:ext cx="2643187" cy="738188"/>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57150" h="38100" prst="artDeco"/>
          </a:sp3d>
        </a:bodyPr>
        <a:lstStyle/>
        <a:p>
          <a:pPr algn="ctr"/>
          <a:r>
            <a:rPr lang="en-AE" sz="4800" b="1">
              <a:solidFill>
                <a:schemeClr val="accent6"/>
              </a:solidFill>
              <a:effectLst>
                <a:outerShdw blurRad="63500" sx="102000" sy="102000" algn="ctr" rotWithShape="0">
                  <a:prstClr val="black">
                    <a:alpha val="40000"/>
                  </a:prstClr>
                </a:outerShdw>
              </a:effectLst>
            </a:rPr>
            <a:t>Zepto</a:t>
          </a:r>
        </a:p>
      </xdr:txBody>
    </xdr:sp>
    <xdr:clientData/>
  </xdr:twoCellAnchor>
  <xdr:twoCellAnchor>
    <xdr:from>
      <xdr:col>5</xdr:col>
      <xdr:colOff>178742</xdr:colOff>
      <xdr:row>0</xdr:row>
      <xdr:rowOff>11906</xdr:rowOff>
    </xdr:from>
    <xdr:to>
      <xdr:col>18</xdr:col>
      <xdr:colOff>206963</xdr:colOff>
      <xdr:row>4</xdr:row>
      <xdr:rowOff>122296</xdr:rowOff>
    </xdr:to>
    <xdr:sp macro="" textlink="">
      <xdr:nvSpPr>
        <xdr:cNvPr id="17" name="TextBox 16">
          <a:extLst>
            <a:ext uri="{FF2B5EF4-FFF2-40B4-BE49-F238E27FC236}">
              <a16:creationId xmlns:a16="http://schemas.microsoft.com/office/drawing/2014/main" id="{20159F39-B3E4-4AC3-845E-012375DAB8CF}"/>
            </a:ext>
          </a:extLst>
        </xdr:cNvPr>
        <xdr:cNvSpPr txBox="1"/>
      </xdr:nvSpPr>
      <xdr:spPr>
        <a:xfrm>
          <a:off x="3214836" y="11906"/>
          <a:ext cx="7922065" cy="824765"/>
        </a:xfrm>
        <a:prstGeom prst="rect">
          <a:avLst/>
        </a:prstGeom>
        <a:solidFill>
          <a:schemeClr val="tx2">
            <a:lumMod val="75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600" b="1">
              <a:ln>
                <a:noFill/>
              </a:ln>
              <a:solidFill>
                <a:schemeClr val="bg1"/>
              </a:solidFill>
            </a:rPr>
            <a:t>ZEPTO SALES</a:t>
          </a:r>
          <a:r>
            <a:rPr lang="en-AE" sz="2600" b="1" baseline="0">
              <a:ln>
                <a:noFill/>
              </a:ln>
              <a:solidFill>
                <a:schemeClr val="bg1"/>
              </a:solidFill>
            </a:rPr>
            <a:t> PERFORMANCE </a:t>
          </a:r>
          <a:r>
            <a:rPr lang="en-AE" sz="2600" b="1">
              <a:ln>
                <a:noFill/>
              </a:ln>
              <a:solidFill>
                <a:schemeClr val="bg1"/>
              </a:solidFill>
            </a:rPr>
            <a:t>DASHBOARD</a:t>
          </a:r>
        </a:p>
        <a:p>
          <a:pPr algn="ctr"/>
          <a:r>
            <a:rPr lang="en-AE" sz="1400" b="1">
              <a:ln>
                <a:noFill/>
              </a:ln>
              <a:solidFill>
                <a:schemeClr val="bg1"/>
              </a:solidFill>
            </a:rPr>
            <a:t>Sales Analytics Overview</a:t>
          </a:r>
        </a:p>
      </xdr:txBody>
    </xdr:sp>
    <xdr:clientData/>
  </xdr:twoCellAnchor>
  <xdr:twoCellAnchor>
    <xdr:from>
      <xdr:col>0</xdr:col>
      <xdr:colOff>37629</xdr:colOff>
      <xdr:row>5</xdr:row>
      <xdr:rowOff>28222</xdr:rowOff>
    </xdr:from>
    <xdr:to>
      <xdr:col>3</xdr:col>
      <xdr:colOff>301037</xdr:colOff>
      <xdr:row>10</xdr:row>
      <xdr:rowOff>169334</xdr:rowOff>
    </xdr:to>
    <xdr:sp macro="" textlink="">
      <xdr:nvSpPr>
        <xdr:cNvPr id="18" name="Rectangle: Rounded Corners 17">
          <a:extLst>
            <a:ext uri="{FF2B5EF4-FFF2-40B4-BE49-F238E27FC236}">
              <a16:creationId xmlns:a16="http://schemas.microsoft.com/office/drawing/2014/main" id="{EDC47161-FEF3-A3BD-FA23-89EF0E531B46}"/>
            </a:ext>
          </a:extLst>
        </xdr:cNvPr>
        <xdr:cNvSpPr/>
      </xdr:nvSpPr>
      <xdr:spPr>
        <a:xfrm>
          <a:off x="37629" y="921191"/>
          <a:ext cx="2085064" cy="1034081"/>
        </a:xfrm>
        <a:prstGeom prst="roundRect">
          <a:avLst/>
        </a:prstGeom>
        <a:solidFill>
          <a:schemeClr val="lt1"/>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reflection blurRad="241300" stA="45000" endPos="65000" dist="508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AE" sz="1600" b="1">
              <a:solidFill>
                <a:schemeClr val="tx2"/>
              </a:solidFill>
            </a:rPr>
            <a:t>       TOTAL</a:t>
          </a:r>
          <a:r>
            <a:rPr lang="en-AE" sz="1600" b="1" baseline="0">
              <a:solidFill>
                <a:schemeClr val="tx2"/>
              </a:solidFill>
            </a:rPr>
            <a:t> SALES</a:t>
          </a:r>
        </a:p>
        <a:p>
          <a:pPr algn="ctr"/>
          <a:r>
            <a:rPr lang="en-AE" sz="1600">
              <a:solidFill>
                <a:schemeClr val="tx2">
                  <a:lumMod val="75000"/>
                </a:schemeClr>
              </a:solidFill>
            </a:rPr>
            <a:t>    ₹</a:t>
          </a:r>
          <a:r>
            <a:rPr lang="en-AE" sz="1600"/>
            <a:t> </a:t>
          </a:r>
          <a:r>
            <a:rPr lang="en-AE" sz="1600" b="1" baseline="0">
              <a:solidFill>
                <a:schemeClr val="tx2"/>
              </a:solidFill>
            </a:rPr>
            <a:t>1.47 Cr</a:t>
          </a:r>
        </a:p>
        <a:p>
          <a:pPr algn="ctr"/>
          <a:r>
            <a:rPr lang="en-AE" sz="800" b="1" baseline="0">
              <a:solidFill>
                <a:schemeClr val="tx2"/>
              </a:solidFill>
            </a:rPr>
            <a:t>       Total Revenue Generated</a:t>
          </a:r>
        </a:p>
      </xdr:txBody>
    </xdr:sp>
    <xdr:clientData/>
  </xdr:twoCellAnchor>
  <xdr:twoCellAnchor>
    <xdr:from>
      <xdr:col>4</xdr:col>
      <xdr:colOff>30102</xdr:colOff>
      <xdr:row>5</xdr:row>
      <xdr:rowOff>48917</xdr:rowOff>
    </xdr:from>
    <xdr:to>
      <xdr:col>7</xdr:col>
      <xdr:colOff>385704</xdr:colOff>
      <xdr:row>10</xdr:row>
      <xdr:rowOff>169333</xdr:rowOff>
    </xdr:to>
    <xdr:sp macro="" textlink="">
      <xdr:nvSpPr>
        <xdr:cNvPr id="26" name="Rectangle: Rounded Corners 25">
          <a:extLst>
            <a:ext uri="{FF2B5EF4-FFF2-40B4-BE49-F238E27FC236}">
              <a16:creationId xmlns:a16="http://schemas.microsoft.com/office/drawing/2014/main" id="{4D089FBB-97A8-4449-A1DA-73EF2331422E}"/>
            </a:ext>
          </a:extLst>
        </xdr:cNvPr>
        <xdr:cNvSpPr/>
      </xdr:nvSpPr>
      <xdr:spPr>
        <a:xfrm>
          <a:off x="2458977" y="941886"/>
          <a:ext cx="2177258" cy="1013385"/>
        </a:xfrm>
        <a:prstGeom prst="roundRect">
          <a:avLst/>
        </a:prstGeom>
        <a:solidFill>
          <a:schemeClr val="lt1"/>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reflection blurRad="241300" stA="45000" endPos="65000" dist="508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AE" sz="1600" b="1">
              <a:solidFill>
                <a:schemeClr val="tx2"/>
              </a:solidFill>
            </a:rPr>
            <a:t>       TOTAL ORDERS</a:t>
          </a:r>
        </a:p>
        <a:p>
          <a:pPr algn="ctr"/>
          <a:r>
            <a:rPr lang="en-AE" sz="1600" b="1">
              <a:solidFill>
                <a:schemeClr val="tx2"/>
              </a:solidFill>
            </a:rPr>
            <a:t>      24,589</a:t>
          </a:r>
        </a:p>
        <a:p>
          <a:pPr algn="ctr"/>
          <a:r>
            <a:rPr lang="en-AE" sz="800" b="1">
              <a:solidFill>
                <a:schemeClr val="tx2"/>
              </a:solidFill>
            </a:rPr>
            <a:t>            Total</a:t>
          </a:r>
          <a:r>
            <a:rPr lang="en-AE" sz="800" b="1" baseline="0">
              <a:solidFill>
                <a:schemeClr val="tx2"/>
              </a:solidFill>
            </a:rPr>
            <a:t> Orders Placed</a:t>
          </a:r>
          <a:endParaRPr lang="en-AE" sz="800" b="1">
            <a:solidFill>
              <a:schemeClr val="tx2"/>
            </a:solidFill>
          </a:endParaRPr>
        </a:p>
      </xdr:txBody>
    </xdr:sp>
    <xdr:clientData/>
  </xdr:twoCellAnchor>
  <xdr:twoCellAnchor>
    <xdr:from>
      <xdr:col>7</xdr:col>
      <xdr:colOff>564444</xdr:colOff>
      <xdr:row>5</xdr:row>
      <xdr:rowOff>35718</xdr:rowOff>
    </xdr:from>
    <xdr:to>
      <xdr:col>11</xdr:col>
      <xdr:colOff>247135</xdr:colOff>
      <xdr:row>11</xdr:row>
      <xdr:rowOff>0</xdr:rowOff>
    </xdr:to>
    <xdr:sp macro="" textlink="">
      <xdr:nvSpPr>
        <xdr:cNvPr id="27" name="Rectangle: Rounded Corners 26">
          <a:extLst>
            <a:ext uri="{FF2B5EF4-FFF2-40B4-BE49-F238E27FC236}">
              <a16:creationId xmlns:a16="http://schemas.microsoft.com/office/drawing/2014/main" id="{66DC5E88-D771-4C67-8AA2-F48E41242230}"/>
            </a:ext>
          </a:extLst>
        </xdr:cNvPr>
        <xdr:cNvSpPr/>
      </xdr:nvSpPr>
      <xdr:spPr>
        <a:xfrm>
          <a:off x="4817228" y="962475"/>
          <a:ext cx="2112853" cy="1076390"/>
        </a:xfrm>
        <a:prstGeom prst="roundRect">
          <a:avLst/>
        </a:prstGeom>
        <a:solidFill>
          <a:schemeClr val="lt1"/>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reflection blurRad="241300" stA="45000" endPos="65000" dist="508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AE" sz="1500" b="1">
              <a:solidFill>
                <a:schemeClr val="tx2"/>
              </a:solidFill>
            </a:rPr>
            <a:t>     </a:t>
          </a:r>
          <a:r>
            <a:rPr lang="en-AE" sz="1500" b="1" baseline="0">
              <a:solidFill>
                <a:schemeClr val="tx2"/>
              </a:solidFill>
            </a:rPr>
            <a:t>  </a:t>
          </a:r>
          <a:r>
            <a:rPr lang="en-AE" sz="1500" b="1">
              <a:solidFill>
                <a:schemeClr val="tx2"/>
              </a:solidFill>
            </a:rPr>
            <a:t>TOTAL    CUSTOMERS</a:t>
          </a:r>
        </a:p>
        <a:p>
          <a:pPr algn="ctr"/>
          <a:r>
            <a:rPr lang="en-AE" sz="1600" b="1">
              <a:solidFill>
                <a:schemeClr val="tx2"/>
              </a:solidFill>
            </a:rPr>
            <a:t>  10,765</a:t>
          </a:r>
        </a:p>
        <a:p>
          <a:pPr algn="ctr"/>
          <a:r>
            <a:rPr lang="en-AE" sz="800" b="1">
              <a:solidFill>
                <a:schemeClr val="tx2"/>
              </a:solidFill>
            </a:rPr>
            <a:t>      Unique</a:t>
          </a:r>
          <a:r>
            <a:rPr lang="en-AE" sz="800" b="1" baseline="0">
              <a:solidFill>
                <a:schemeClr val="tx2"/>
              </a:solidFill>
            </a:rPr>
            <a:t> Customers</a:t>
          </a:r>
          <a:endParaRPr lang="en-AE" sz="800" b="1">
            <a:solidFill>
              <a:schemeClr val="tx2"/>
            </a:solidFill>
          </a:endParaRPr>
        </a:p>
      </xdr:txBody>
    </xdr:sp>
    <xdr:clientData/>
  </xdr:twoCellAnchor>
  <xdr:twoCellAnchor>
    <xdr:from>
      <xdr:col>11</xdr:col>
      <xdr:colOff>395111</xdr:colOff>
      <xdr:row>5</xdr:row>
      <xdr:rowOff>65852</xdr:rowOff>
    </xdr:from>
    <xdr:to>
      <xdr:col>15</xdr:col>
      <xdr:colOff>131704</xdr:colOff>
      <xdr:row>11</xdr:row>
      <xdr:rowOff>9408</xdr:rowOff>
    </xdr:to>
    <xdr:sp macro="" textlink="">
      <xdr:nvSpPr>
        <xdr:cNvPr id="28" name="Rectangle: Rounded Corners 27">
          <a:extLst>
            <a:ext uri="{FF2B5EF4-FFF2-40B4-BE49-F238E27FC236}">
              <a16:creationId xmlns:a16="http://schemas.microsoft.com/office/drawing/2014/main" id="{14979C51-63A8-49CE-A690-16AB7A82FD17}"/>
            </a:ext>
          </a:extLst>
        </xdr:cNvPr>
        <xdr:cNvSpPr/>
      </xdr:nvSpPr>
      <xdr:spPr>
        <a:xfrm>
          <a:off x="7078057" y="992609"/>
          <a:ext cx="2166755" cy="1055664"/>
        </a:xfrm>
        <a:prstGeom prst="roundRect">
          <a:avLst/>
        </a:prstGeom>
        <a:solidFill>
          <a:schemeClr val="lt1"/>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reflection blurRad="241300" stA="45000" endPos="65000" dist="508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AE" sz="1600" b="1">
              <a:solidFill>
                <a:schemeClr val="tx2"/>
              </a:solidFill>
            </a:rPr>
            <a:t>      TOTAL PRODUCTS</a:t>
          </a:r>
        </a:p>
        <a:p>
          <a:pPr algn="ctr"/>
          <a:r>
            <a:rPr lang="en-AE" sz="1600" b="1">
              <a:solidFill>
                <a:schemeClr val="tx2"/>
              </a:solidFill>
            </a:rPr>
            <a:t>     5,432</a:t>
          </a:r>
        </a:p>
        <a:p>
          <a:pPr algn="ctr"/>
          <a:r>
            <a:rPr lang="en-AE" sz="800" b="1">
              <a:solidFill>
                <a:schemeClr val="tx2"/>
              </a:solidFill>
            </a:rPr>
            <a:t>           unique Products(SKU)</a:t>
          </a:r>
        </a:p>
      </xdr:txBody>
    </xdr:sp>
    <xdr:clientData/>
  </xdr:twoCellAnchor>
  <xdr:twoCellAnchor>
    <xdr:from>
      <xdr:col>15</xdr:col>
      <xdr:colOff>385704</xdr:colOff>
      <xdr:row>5</xdr:row>
      <xdr:rowOff>37631</xdr:rowOff>
    </xdr:from>
    <xdr:to>
      <xdr:col>19</xdr:col>
      <xdr:colOff>65851</xdr:colOff>
      <xdr:row>11</xdr:row>
      <xdr:rowOff>1</xdr:rowOff>
    </xdr:to>
    <xdr:sp macro="" textlink="">
      <xdr:nvSpPr>
        <xdr:cNvPr id="29" name="Rectangle: Rounded Corners 28">
          <a:extLst>
            <a:ext uri="{FF2B5EF4-FFF2-40B4-BE49-F238E27FC236}">
              <a16:creationId xmlns:a16="http://schemas.microsoft.com/office/drawing/2014/main" id="{279BCE84-BCA2-4E38-BE55-8FCBEAD758C0}"/>
            </a:ext>
          </a:extLst>
        </xdr:cNvPr>
        <xdr:cNvSpPr/>
      </xdr:nvSpPr>
      <xdr:spPr>
        <a:xfrm>
          <a:off x="9498812" y="964388"/>
          <a:ext cx="2110309" cy="1074478"/>
        </a:xfrm>
        <a:prstGeom prst="roundRect">
          <a:avLst/>
        </a:prstGeom>
        <a:solidFill>
          <a:schemeClr val="lt1"/>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reflection blurRad="241300" stA="45000" endPos="65000" dist="508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AE" sz="1400" b="1">
              <a:solidFill>
                <a:schemeClr val="tx2"/>
              </a:solidFill>
            </a:rPr>
            <a:t>    AVERAGE ORDER VALUE</a:t>
          </a:r>
        </a:p>
        <a:p>
          <a:pPr algn="ctr"/>
          <a:r>
            <a:rPr lang="en-AE" sz="1400"/>
            <a:t>₹ </a:t>
          </a:r>
          <a:r>
            <a:rPr lang="en-AE" sz="1400" b="1">
              <a:solidFill>
                <a:schemeClr val="tx2"/>
              </a:solidFill>
            </a:rPr>
            <a:t>679</a:t>
          </a:r>
        </a:p>
        <a:p>
          <a:pPr algn="ctr"/>
          <a:r>
            <a:rPr lang="en-AE" sz="700" b="1">
              <a:solidFill>
                <a:schemeClr val="tx2"/>
              </a:solidFill>
            </a:rPr>
            <a:t>Average Value Per Order</a:t>
          </a:r>
        </a:p>
      </xdr:txBody>
    </xdr:sp>
    <xdr:clientData/>
  </xdr:twoCellAnchor>
  <xdr:twoCellAnchor>
    <xdr:from>
      <xdr:col>19</xdr:col>
      <xdr:colOff>348071</xdr:colOff>
      <xdr:row>5</xdr:row>
      <xdr:rowOff>69411</xdr:rowOff>
    </xdr:from>
    <xdr:to>
      <xdr:col>22</xdr:col>
      <xdr:colOff>564444</xdr:colOff>
      <xdr:row>11</xdr:row>
      <xdr:rowOff>60005</xdr:rowOff>
    </xdr:to>
    <xdr:sp macro="" textlink="">
      <xdr:nvSpPr>
        <xdr:cNvPr id="30" name="Rectangle: Rounded Corners 29">
          <a:extLst>
            <a:ext uri="{FF2B5EF4-FFF2-40B4-BE49-F238E27FC236}">
              <a16:creationId xmlns:a16="http://schemas.microsoft.com/office/drawing/2014/main" id="{EC601925-1334-4A6E-87A2-EDEF3E8B0078}"/>
            </a:ext>
          </a:extLst>
        </xdr:cNvPr>
        <xdr:cNvSpPr/>
      </xdr:nvSpPr>
      <xdr:spPr>
        <a:xfrm>
          <a:off x="12032071" y="1005200"/>
          <a:ext cx="2061215" cy="1113542"/>
        </a:xfrm>
        <a:prstGeom prst="roundRect">
          <a:avLst/>
        </a:prstGeom>
        <a:solidFill>
          <a:schemeClr val="lt1"/>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reflection blurRad="241300" stA="45000" endPos="65000" dist="508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AE" sz="1600" b="1">
              <a:solidFill>
                <a:schemeClr val="tx2"/>
              </a:solidFill>
            </a:rPr>
            <a:t>      TOTAL            QUANTITY</a:t>
          </a:r>
        </a:p>
        <a:p>
          <a:pPr algn="ctr"/>
          <a:r>
            <a:rPr lang="en-AE" sz="1600"/>
            <a:t>   ₹ </a:t>
          </a:r>
          <a:r>
            <a:rPr lang="en-AE" sz="1600" b="1">
              <a:solidFill>
                <a:schemeClr val="tx2"/>
              </a:solidFill>
            </a:rPr>
            <a:t>1,25,680</a:t>
          </a:r>
        </a:p>
        <a:p>
          <a:pPr algn="ctr"/>
          <a:r>
            <a:rPr lang="en-AE" sz="800" b="1">
              <a:solidFill>
                <a:schemeClr val="tx2"/>
              </a:solidFill>
            </a:rPr>
            <a:t>       Total Quantity Sold</a:t>
          </a:r>
        </a:p>
      </xdr:txBody>
    </xdr:sp>
    <xdr:clientData/>
  </xdr:twoCellAnchor>
  <xdr:twoCellAnchor>
    <xdr:from>
      <xdr:col>0</xdr:col>
      <xdr:colOff>94074</xdr:colOff>
      <xdr:row>11</xdr:row>
      <xdr:rowOff>84666</xdr:rowOff>
    </xdr:from>
    <xdr:to>
      <xdr:col>7</xdr:col>
      <xdr:colOff>150519</xdr:colOff>
      <xdr:row>22</xdr:row>
      <xdr:rowOff>122297</xdr:rowOff>
    </xdr:to>
    <xdr:graphicFrame macro="">
      <xdr:nvGraphicFramePr>
        <xdr:cNvPr id="31" name="Chart 30">
          <a:extLst>
            <a:ext uri="{FF2B5EF4-FFF2-40B4-BE49-F238E27FC236}">
              <a16:creationId xmlns:a16="http://schemas.microsoft.com/office/drawing/2014/main" id="{8301433B-C8F7-4C55-AC83-FCF1E941A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56444</xdr:colOff>
      <xdr:row>11</xdr:row>
      <xdr:rowOff>47037</xdr:rowOff>
    </xdr:from>
    <xdr:to>
      <xdr:col>13</xdr:col>
      <xdr:colOff>470370</xdr:colOff>
      <xdr:row>22</xdr:row>
      <xdr:rowOff>115747</xdr:rowOff>
    </xdr:to>
    <xdr:graphicFrame macro="">
      <xdr:nvGraphicFramePr>
        <xdr:cNvPr id="32" name="Chart 31">
          <a:extLst>
            <a:ext uri="{FF2B5EF4-FFF2-40B4-BE49-F238E27FC236}">
              <a16:creationId xmlns:a16="http://schemas.microsoft.com/office/drawing/2014/main" id="{E2D5C49E-B7D1-4008-A37F-677114687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284829</xdr:colOff>
      <xdr:row>11</xdr:row>
      <xdr:rowOff>83344</xdr:rowOff>
    </xdr:from>
    <xdr:to>
      <xdr:col>21</xdr:col>
      <xdr:colOff>571500</xdr:colOff>
      <xdr:row>22</xdr:row>
      <xdr:rowOff>83343</xdr:rowOff>
    </xdr:to>
    <xdr:graphicFrame macro="">
      <xdr:nvGraphicFramePr>
        <xdr:cNvPr id="33" name="Chart 32">
          <a:extLst>
            <a:ext uri="{FF2B5EF4-FFF2-40B4-BE49-F238E27FC236}">
              <a16:creationId xmlns:a16="http://schemas.microsoft.com/office/drawing/2014/main" id="{4B98404F-0D39-4BC2-B18B-CB3F3FF67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92751</xdr:colOff>
      <xdr:row>23</xdr:row>
      <xdr:rowOff>6323</xdr:rowOff>
    </xdr:from>
    <xdr:to>
      <xdr:col>6</xdr:col>
      <xdr:colOff>500062</xdr:colOff>
      <xdr:row>35</xdr:row>
      <xdr:rowOff>107158</xdr:rowOff>
    </xdr:to>
    <xdr:graphicFrame macro="">
      <xdr:nvGraphicFramePr>
        <xdr:cNvPr id="34" name="Chart 33">
          <a:extLst>
            <a:ext uri="{FF2B5EF4-FFF2-40B4-BE49-F238E27FC236}">
              <a16:creationId xmlns:a16="http://schemas.microsoft.com/office/drawing/2014/main" id="{064E9807-539D-4FC3-AE37-F7A846127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461845</xdr:colOff>
      <xdr:row>22</xdr:row>
      <xdr:rowOff>53945</xdr:rowOff>
    </xdr:from>
    <xdr:to>
      <xdr:col>14</xdr:col>
      <xdr:colOff>547687</xdr:colOff>
      <xdr:row>35</xdr:row>
      <xdr:rowOff>35719</xdr:rowOff>
    </xdr:to>
    <xdr:graphicFrame macro="">
      <xdr:nvGraphicFramePr>
        <xdr:cNvPr id="35" name="Chart 34">
          <a:extLst>
            <a:ext uri="{FF2B5EF4-FFF2-40B4-BE49-F238E27FC236}">
              <a16:creationId xmlns:a16="http://schemas.microsoft.com/office/drawing/2014/main" id="{FA407EFE-33EF-4D27-A952-347F8A461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533283</xdr:colOff>
      <xdr:row>22</xdr:row>
      <xdr:rowOff>53945</xdr:rowOff>
    </xdr:from>
    <xdr:to>
      <xdr:col>22</xdr:col>
      <xdr:colOff>315980</xdr:colOff>
      <xdr:row>35</xdr:row>
      <xdr:rowOff>11919</xdr:rowOff>
    </xdr:to>
    <xdr:graphicFrame macro="">
      <xdr:nvGraphicFramePr>
        <xdr:cNvPr id="36" name="Chart 35">
          <a:extLst>
            <a:ext uri="{FF2B5EF4-FFF2-40B4-BE49-F238E27FC236}">
              <a16:creationId xmlns:a16="http://schemas.microsoft.com/office/drawing/2014/main" id="{E64EEDF6-5F1B-4079-A1A4-6CE1BF656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214312</xdr:colOff>
      <xdr:row>5</xdr:row>
      <xdr:rowOff>130967</xdr:rowOff>
    </xdr:from>
    <xdr:to>
      <xdr:col>1</xdr:col>
      <xdr:colOff>35718</xdr:colOff>
      <xdr:row>8</xdr:row>
      <xdr:rowOff>120252</xdr:rowOff>
    </xdr:to>
    <xdr:pic>
      <xdr:nvPicPr>
        <xdr:cNvPr id="40" name="Graphic 39" descr="Treasure chest with solid fill">
          <a:extLst>
            <a:ext uri="{FF2B5EF4-FFF2-40B4-BE49-F238E27FC236}">
              <a16:creationId xmlns:a16="http://schemas.microsoft.com/office/drawing/2014/main" id="{24FA70DF-4F28-8AD9-31EF-BDC3DF88EF7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4312" y="1023936"/>
          <a:ext cx="428625" cy="525066"/>
        </a:xfrm>
        <a:prstGeom prst="rect">
          <a:avLst/>
        </a:prstGeom>
      </xdr:spPr>
    </xdr:pic>
    <xdr:clientData/>
  </xdr:twoCellAnchor>
  <xdr:twoCellAnchor editAs="oneCell">
    <xdr:from>
      <xdr:col>4</xdr:col>
      <xdr:colOff>47625</xdr:colOff>
      <xdr:row>5</xdr:row>
      <xdr:rowOff>166688</xdr:rowOff>
    </xdr:from>
    <xdr:to>
      <xdr:col>5</xdr:col>
      <xdr:colOff>130969</xdr:colOff>
      <xdr:row>9</xdr:row>
      <xdr:rowOff>142876</xdr:rowOff>
    </xdr:to>
    <xdr:pic>
      <xdr:nvPicPr>
        <xdr:cNvPr id="42" name="Graphic 41" descr="Box trolley outline">
          <a:extLst>
            <a:ext uri="{FF2B5EF4-FFF2-40B4-BE49-F238E27FC236}">
              <a16:creationId xmlns:a16="http://schemas.microsoft.com/office/drawing/2014/main" id="{B24D9E80-4646-6025-BB21-F20B388A809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476500" y="1059657"/>
          <a:ext cx="690563" cy="690563"/>
        </a:xfrm>
        <a:prstGeom prst="rect">
          <a:avLst/>
        </a:prstGeom>
      </xdr:spPr>
    </xdr:pic>
    <xdr:clientData/>
  </xdr:twoCellAnchor>
  <xdr:twoCellAnchor editAs="oneCell">
    <xdr:from>
      <xdr:col>8</xdr:col>
      <xdr:colOff>16862</xdr:colOff>
      <xdr:row>6</xdr:row>
      <xdr:rowOff>96849</xdr:rowOff>
    </xdr:from>
    <xdr:to>
      <xdr:col>8</xdr:col>
      <xdr:colOff>481205</xdr:colOff>
      <xdr:row>9</xdr:row>
      <xdr:rowOff>25411</xdr:rowOff>
    </xdr:to>
    <xdr:pic>
      <xdr:nvPicPr>
        <xdr:cNvPr id="44" name="Graphic 43" descr="Customer review outline">
          <a:extLst>
            <a:ext uri="{FF2B5EF4-FFF2-40B4-BE49-F238E27FC236}">
              <a16:creationId xmlns:a16="http://schemas.microsoft.com/office/drawing/2014/main" id="{83DAF9FF-7520-646D-CAAD-F923571F521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885479" y="1201493"/>
          <a:ext cx="464343" cy="480884"/>
        </a:xfrm>
        <a:prstGeom prst="rect">
          <a:avLst/>
        </a:prstGeom>
      </xdr:spPr>
    </xdr:pic>
    <xdr:clientData/>
  </xdr:twoCellAnchor>
  <xdr:twoCellAnchor editAs="oneCell">
    <xdr:from>
      <xdr:col>11</xdr:col>
      <xdr:colOff>401595</xdr:colOff>
      <xdr:row>6</xdr:row>
      <xdr:rowOff>41188</xdr:rowOff>
    </xdr:from>
    <xdr:to>
      <xdr:col>12</xdr:col>
      <xdr:colOff>494272</xdr:colOff>
      <xdr:row>10</xdr:row>
      <xdr:rowOff>-1</xdr:rowOff>
    </xdr:to>
    <xdr:pic>
      <xdr:nvPicPr>
        <xdr:cNvPr id="46" name="Graphic 45" descr="Continuous Improvement outline">
          <a:extLst>
            <a:ext uri="{FF2B5EF4-FFF2-40B4-BE49-F238E27FC236}">
              <a16:creationId xmlns:a16="http://schemas.microsoft.com/office/drawing/2014/main" id="{F4B2566B-75EF-B419-33E4-A53E4674055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084541" y="1153296"/>
          <a:ext cx="700217" cy="700217"/>
        </a:xfrm>
        <a:prstGeom prst="rect">
          <a:avLst/>
        </a:prstGeom>
      </xdr:spPr>
    </xdr:pic>
    <xdr:clientData/>
  </xdr:twoCellAnchor>
  <xdr:twoCellAnchor editAs="oneCell">
    <xdr:from>
      <xdr:col>15</xdr:col>
      <xdr:colOff>463381</xdr:colOff>
      <xdr:row>6</xdr:row>
      <xdr:rowOff>102976</xdr:rowOff>
    </xdr:from>
    <xdr:to>
      <xdr:col>16</xdr:col>
      <xdr:colOff>350108</xdr:colOff>
      <xdr:row>9</xdr:row>
      <xdr:rowOff>41190</xdr:rowOff>
    </xdr:to>
    <xdr:pic>
      <xdr:nvPicPr>
        <xdr:cNvPr id="50" name="Graphic 49" descr="Clipboard outline">
          <a:extLst>
            <a:ext uri="{FF2B5EF4-FFF2-40B4-BE49-F238E27FC236}">
              <a16:creationId xmlns:a16="http://schemas.microsoft.com/office/drawing/2014/main" id="{919F0CE8-BE73-F8C4-C896-00565AD02C8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576489" y="1215084"/>
          <a:ext cx="494268" cy="494268"/>
        </a:xfrm>
        <a:prstGeom prst="rect">
          <a:avLst/>
        </a:prstGeom>
      </xdr:spPr>
    </xdr:pic>
    <xdr:clientData/>
  </xdr:twoCellAnchor>
  <xdr:twoCellAnchor editAs="oneCell">
    <xdr:from>
      <xdr:col>19</xdr:col>
      <xdr:colOff>374858</xdr:colOff>
      <xdr:row>6</xdr:row>
      <xdr:rowOff>87618</xdr:rowOff>
    </xdr:from>
    <xdr:to>
      <xdr:col>20</xdr:col>
      <xdr:colOff>302900</xdr:colOff>
      <xdr:row>9</xdr:row>
      <xdr:rowOff>66842</xdr:rowOff>
    </xdr:to>
    <xdr:pic>
      <xdr:nvPicPr>
        <xdr:cNvPr id="52" name="Graphic 51" descr="Box outline">
          <a:extLst>
            <a:ext uri="{FF2B5EF4-FFF2-40B4-BE49-F238E27FC236}">
              <a16:creationId xmlns:a16="http://schemas.microsoft.com/office/drawing/2014/main" id="{DDF3DCE4-8F76-EF39-38EE-DB658EB30E3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058858" y="1210565"/>
          <a:ext cx="542989" cy="54069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6.766753819444" missingItemsLimit="0" createdVersion="8" refreshedVersion="8" minRefreshableVersion="3" recordCount="1500" xr:uid="{D80FD705-53BA-4794-98E5-6D746373AD0B}">
  <cacheSource type="worksheet">
    <worksheetSource ref="A1:X1501" sheet="DATASET"/>
  </cacheSource>
  <cacheFields count="24">
    <cacheField name="Order_ID" numFmtId="0">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New Date" numFmtId="0">
      <sharedItems count="60">
        <s v="08-02-2025"/>
        <s v="21-02-2025"/>
        <s v="29-01-2025"/>
        <s v="15-01-2025"/>
        <s v="12-02-2025"/>
        <s v="08-01-2025"/>
        <s v="21-01-2025"/>
        <s v="27-02-2025"/>
        <s v="19-01-2025"/>
        <s v="23-01-2025"/>
        <s v="11-01-2025"/>
        <s v="24-01-2025"/>
        <s v="22-02-2025"/>
        <s v="05-02-2025"/>
        <s v="09-02-2025"/>
        <s v="03-01-2025"/>
        <s v="22-01-2025"/>
        <s v="02-01-2025"/>
        <s v="13-02-2025"/>
        <s v="30-01-2025"/>
        <s v="07-02-2025"/>
        <s v="01-03-2025"/>
        <s v="02-02-2025"/>
        <s v="12-01-2025"/>
        <s v="25-01-2025"/>
        <s v="18-02-2025"/>
        <s v="27-01-2025"/>
        <s v="28-02-2025"/>
        <s v="11-02-2025"/>
        <s v="28-01-2025"/>
        <s v="16-01-2025"/>
        <s v="16-02-2025"/>
        <s v="20-02-2025"/>
        <s v="24-02-2025"/>
        <s v="26-02-2025"/>
        <s v="06-02-2025"/>
        <s v="07-01-2025"/>
        <s v="09-01-2025"/>
        <s v="18-01-2025"/>
        <s v="04-01-2025"/>
        <s v="14-01-2025"/>
        <s v="19-02-2025"/>
        <s v="26-01-2025"/>
        <s v="20-01-2025"/>
        <s v="04-02-2025"/>
        <s v="17-01-2025"/>
        <s v="06-01-2025"/>
        <s v="23-02-2025"/>
        <s v="03-02-2025"/>
        <s v="10-01-2025"/>
        <s v="31-01-2025"/>
        <s v="17-02-2025"/>
        <s v="14-02-2025"/>
        <s v="10-02-2025"/>
        <s v="01-01-2025"/>
        <s v="05-01-2025"/>
        <s v="13-01-2025"/>
        <s v="01-02-2025"/>
        <s v="25-02-2025"/>
        <s v="15-02-2025"/>
      </sharedItems>
    </cacheField>
    <cacheField name="Month" numFmtId="2">
      <sharedItems count="3">
        <s v="February"/>
        <s v="January"/>
        <s v="March"/>
      </sharedItems>
    </cacheField>
    <cacheField name="Days" numFmtId="2">
      <sharedItems count="31">
        <s v="08"/>
        <s v="21"/>
        <s v="29"/>
        <s v="15"/>
        <s v="12"/>
        <s v="27"/>
        <s v="19"/>
        <s v="23"/>
        <s v="11"/>
        <s v="24"/>
        <s v="22"/>
        <s v="05"/>
        <s v="09"/>
        <s v="03"/>
        <s v="02"/>
        <s v="13"/>
        <s v="30"/>
        <s v="07"/>
        <s v="01"/>
        <s v="25"/>
        <s v="18"/>
        <s v="28"/>
        <s v="16"/>
        <s v="20"/>
        <s v="26"/>
        <s v="06"/>
        <s v="04"/>
        <s v="14"/>
        <s v="17"/>
        <s v="10"/>
        <s v="31"/>
      </sharedItems>
    </cacheField>
    <cacheField name="Customer_Name" numFmtId="0">
      <sharedItems/>
    </cacheField>
    <cacheField name="Customer_Type" numFmtId="0">
      <sharedItems count="3">
        <s v="Bulk"/>
        <s v="New"/>
        <s v="Returning"/>
      </sharedItems>
    </cacheField>
    <cacheField name="Customer_Segment" numFmtId="0">
      <sharedItems count="6">
        <s v="Bakery"/>
        <s v="Café"/>
        <s v="Office"/>
        <s v="Cloud Kitchen"/>
        <s v="Household"/>
        <s v="Tea Stall"/>
      </sharedItems>
    </cacheField>
    <cacheField name="City" numFmtId="0">
      <sharedItems count="6">
        <s v="DELHI"/>
        <s v="AHMEDABAD"/>
        <s v="KARNATAKA"/>
        <s v="KERALA"/>
        <s v="TAMILNADU"/>
        <s v="NEPAL"/>
      </sharedItems>
    </cacheField>
    <cacheField name="Pincode" numFmtId="0">
      <sharedItems containsSemiMixedTypes="0" containsString="0" containsNumber="1" containsInteger="1" minValue="100209" maxValue="999187"/>
    </cacheField>
    <cacheField name="Payment_Method" numFmtId="49">
      <sharedItems count="7">
        <s v="UPI"/>
        <s v="NETBANKING"/>
        <s v="COD"/>
        <s v="WALLET"/>
        <s v="CARD"/>
        <s v="PHONEPE"/>
        <s v="GPAY"/>
      </sharedItems>
    </cacheField>
    <cacheField name="SKU" numFmtId="0">
      <sharedItems/>
    </cacheField>
    <cacheField name="Product_Name" numFmtId="0">
      <sharedItems/>
    </cacheField>
    <cacheField name="Category" numFmtId="0">
      <sharedItems/>
    </cacheField>
    <cacheField name="Field14" caption="Field14" numFmtId="0">
      <sharedItems containsSemiMixedTypes="0" containsString="0" containsNumber="1" containsInteger="1" minValue="3" maxValue="10"/>
    </cacheField>
    <cacheField name="Qty" numFmtId="0">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Total" numFmtId="0">
      <sharedItems containsSemiMixedTypes="0" containsString="0" containsNumber="1" minValue="1.23" maxValue="1688.83"/>
    </cacheField>
    <cacheField name="Delivery_Status" numFmtId="0">
      <sharedItems/>
    </cacheField>
    <cacheField name="Delivery_Time" numFmtId="0">
      <sharedItems containsSemiMixedTypes="0" containsString="0" containsNumber="1" containsInteger="1" minValue="0" maxValue="60"/>
    </cacheField>
  </cacheFields>
  <extLst>
    <ext xmlns:x14="http://schemas.microsoft.com/office/spreadsheetml/2009/9/main" uri="{725AE2AE-9491-48be-B2B4-4EB974FC3084}">
      <x14:pivotCacheDefinition pivotCacheId="1764166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s v="Cust_0"/>
    <x v="0"/>
    <x v="0"/>
    <x v="0"/>
    <n v="554151"/>
    <x v="0"/>
    <s v="SKU0"/>
    <s v="Product_0"/>
    <s v="Veg"/>
    <n v="3"/>
    <n v="2"/>
    <n v="94"/>
    <n v="9.43"/>
    <n v="179.07"/>
    <n v="8.9499999999999993"/>
    <n v="0"/>
    <n v="10"/>
    <n v="198.02"/>
    <s v="Delivered"/>
    <n v="14"/>
  </r>
  <r>
    <x v="1"/>
    <x v="1"/>
    <x v="0"/>
    <x v="1"/>
    <s v="Cust_1"/>
    <x v="0"/>
    <x v="0"/>
    <x v="0"/>
    <n v="554151"/>
    <x v="0"/>
    <s v="SKU1"/>
    <s v="Product_1"/>
    <s v="Essentials"/>
    <n v="10"/>
    <n v="1"/>
    <n v="1"/>
    <n v="1.84"/>
    <n v="16.61"/>
    <n v="0.83"/>
    <n v="0"/>
    <n v="0"/>
    <n v="17.440000000000001"/>
    <s v="Cancelled"/>
    <n v="12"/>
  </r>
  <r>
    <x v="2"/>
    <x v="2"/>
    <x v="1"/>
    <x v="2"/>
    <s v="Cust_2"/>
    <x v="0"/>
    <x v="1"/>
    <x v="0"/>
    <n v="554151"/>
    <x v="0"/>
    <s v="SKU2"/>
    <s v="Product_2"/>
    <s v="Fruits"/>
    <n v="6"/>
    <n v="6"/>
    <n v="59.27"/>
    <n v="2.96"/>
    <n v="352.66"/>
    <n v="17.63"/>
    <n v="0"/>
    <n v="0"/>
    <n v="370.29"/>
    <s v="Delivered"/>
    <n v="12"/>
  </r>
  <r>
    <x v="3"/>
    <x v="3"/>
    <x v="1"/>
    <x v="3"/>
    <s v="Cust_3"/>
    <x v="0"/>
    <x v="0"/>
    <x v="0"/>
    <n v="554151"/>
    <x v="0"/>
    <s v="SKU3"/>
    <s v="Product_3"/>
    <s v="Frozen"/>
    <n v="6"/>
    <n v="2"/>
    <n v="168.45"/>
    <n v="25.27"/>
    <n v="311.63"/>
    <n v="15.58"/>
    <n v="0"/>
    <n v="10"/>
    <n v="337.21"/>
    <s v="Delivered"/>
    <n v="12"/>
  </r>
  <r>
    <x v="4"/>
    <x v="4"/>
    <x v="0"/>
    <x v="4"/>
    <s v="Cust_4"/>
    <x v="0"/>
    <x v="0"/>
    <x v="0"/>
    <n v="554151"/>
    <x v="1"/>
    <s v="SKU4"/>
    <s v="Product_4"/>
    <s v="snaks"/>
    <n v="5"/>
    <n v="6"/>
    <n v="52.47"/>
    <n v="7.87"/>
    <n v="306.95"/>
    <n v="15.35"/>
    <n v="0"/>
    <n v="0"/>
    <n v="322.3"/>
    <s v="Delivered"/>
    <n v="12"/>
  </r>
  <r>
    <x v="5"/>
    <x v="5"/>
    <x v="1"/>
    <x v="0"/>
    <s v="Cust_5"/>
    <x v="0"/>
    <x v="1"/>
    <x v="0"/>
    <n v="554151"/>
    <x v="0"/>
    <s v="SKU5"/>
    <s v="Product_5"/>
    <s v="Other"/>
    <n v="5"/>
    <n v="5"/>
    <n v="78.11"/>
    <n v="3.91"/>
    <n v="386.64"/>
    <n v="19.329999999999998"/>
    <n v="30"/>
    <n v="15"/>
    <n v="450.97"/>
    <s v="Delivered"/>
    <n v="12"/>
  </r>
  <r>
    <x v="6"/>
    <x v="6"/>
    <x v="1"/>
    <x v="1"/>
    <s v="Cust_6"/>
    <x v="0"/>
    <x v="0"/>
    <x v="0"/>
    <n v="554151"/>
    <x v="2"/>
    <s v="SKU6"/>
    <s v="Product_6"/>
    <s v="Bakery"/>
    <n v="6"/>
    <n v="1"/>
    <n v="103.87"/>
    <n v="5.19"/>
    <n v="98.68"/>
    <n v="4.93"/>
    <n v="20"/>
    <n v="0"/>
    <n v="123.61"/>
    <s v="Delivered"/>
    <n v="12"/>
  </r>
  <r>
    <x v="7"/>
    <x v="0"/>
    <x v="0"/>
    <x v="0"/>
    <s v="Cust_7"/>
    <x v="0"/>
    <x v="0"/>
    <x v="0"/>
    <n v="554151"/>
    <x v="0"/>
    <s v="SKU7"/>
    <s v="Product_7"/>
    <s v="Frozen"/>
    <n v="6"/>
    <n v="3"/>
    <n v="129.5"/>
    <n v="12.95"/>
    <n v="375.55"/>
    <n v="18.78"/>
    <n v="20"/>
    <n v="10"/>
    <n v="424.33"/>
    <s v="Delivered"/>
    <n v="12"/>
  </r>
  <r>
    <x v="8"/>
    <x v="7"/>
    <x v="0"/>
    <x v="5"/>
    <s v="Cust_8"/>
    <x v="0"/>
    <x v="2"/>
    <x v="0"/>
    <n v="554151"/>
    <x v="0"/>
    <s v="SKU8"/>
    <s v="Product_8"/>
    <s v="Snacks"/>
    <n v="6"/>
    <n v="1"/>
    <n v="131.88999999999999"/>
    <n v="0"/>
    <n v="131.88999999999999"/>
    <n v="6.59"/>
    <n v="10"/>
    <n v="0"/>
    <n v="148.47999999999999"/>
    <s v="Delivered"/>
    <n v="12"/>
  </r>
  <r>
    <x v="9"/>
    <x v="8"/>
    <x v="1"/>
    <x v="6"/>
    <s v="Cust_9"/>
    <x v="0"/>
    <x v="3"/>
    <x v="0"/>
    <n v="554151"/>
    <x v="3"/>
    <s v="SKU9"/>
    <s v="Product_9"/>
    <s v="DIARY"/>
    <n v="5"/>
    <n v="1"/>
    <n v="207.92"/>
    <n v="20.79"/>
    <n v="187.13"/>
    <n v="9.36"/>
    <n v="30"/>
    <n v="0"/>
    <n v="226.49"/>
    <s v="Delivered"/>
    <n v="12"/>
  </r>
  <r>
    <x v="10"/>
    <x v="9"/>
    <x v="1"/>
    <x v="7"/>
    <s v="Cust_10"/>
    <x v="1"/>
    <x v="4"/>
    <x v="0"/>
    <n v="554151"/>
    <x v="0"/>
    <s v="SKU10"/>
    <s v="Product_10"/>
    <s v="DIARY"/>
    <n v="5"/>
    <n v="3"/>
    <n v="134.09"/>
    <n v="13.41"/>
    <n v="388.86"/>
    <n v="19.440000000000001"/>
    <n v="20"/>
    <n v="0"/>
    <n v="428.3"/>
    <s v="Failed"/>
    <n v="12"/>
  </r>
  <r>
    <x v="11"/>
    <x v="10"/>
    <x v="1"/>
    <x v="8"/>
    <s v="Cust_11"/>
    <x v="0"/>
    <x v="3"/>
    <x v="0"/>
    <n v="554151"/>
    <x v="0"/>
    <s v="SKU11"/>
    <s v="Product_11"/>
    <s v="FRUITS "/>
    <n v="7"/>
    <n v="6"/>
    <n v="86.17"/>
    <n v="0"/>
    <n v="517.02"/>
    <n v="25.85"/>
    <n v="10"/>
    <n v="5"/>
    <n v="557.87"/>
    <s v="Delivered"/>
    <n v="10"/>
  </r>
  <r>
    <x v="12"/>
    <x v="10"/>
    <x v="1"/>
    <x v="8"/>
    <s v="Cust_12"/>
    <x v="0"/>
    <x v="3"/>
    <x v="0"/>
    <n v="554151"/>
    <x v="4"/>
    <s v="SKU12"/>
    <s v="Product_12"/>
    <s v="Frozen"/>
    <n v="6"/>
    <n v="3"/>
    <n v="104.71"/>
    <n v="5.24"/>
    <n v="308.89"/>
    <n v="15.44"/>
    <n v="10"/>
    <n v="20"/>
    <n v="354.33"/>
    <s v="Delivered"/>
    <n v="16"/>
  </r>
  <r>
    <x v="13"/>
    <x v="11"/>
    <x v="1"/>
    <x v="9"/>
    <s v="Cust_13"/>
    <x v="0"/>
    <x v="2"/>
    <x v="0"/>
    <n v="554151"/>
    <x v="0"/>
    <s v="SKU13"/>
    <s v="Product_13"/>
    <s v="Baby"/>
    <n v="4"/>
    <n v="4"/>
    <n v="204.9"/>
    <n v="20.49"/>
    <n v="799.11"/>
    <n v="39.96"/>
    <n v="0"/>
    <n v="0"/>
    <n v="839.07"/>
    <s v="Cancelled"/>
    <n v="16"/>
  </r>
  <r>
    <x v="14"/>
    <x v="12"/>
    <x v="0"/>
    <x v="10"/>
    <s v="Cust_14"/>
    <x v="2"/>
    <x v="4"/>
    <x v="0"/>
    <n v="554151"/>
    <x v="3"/>
    <s v="SKU14"/>
    <s v="Product_14"/>
    <s v="Bakery"/>
    <n v="6"/>
    <n v="3"/>
    <n v="193.33"/>
    <n v="0"/>
    <n v="579.99"/>
    <n v="29"/>
    <n v="30"/>
    <n v="20"/>
    <n v="658.99"/>
    <s v="Delivered"/>
    <n v="3"/>
  </r>
  <r>
    <x v="15"/>
    <x v="13"/>
    <x v="0"/>
    <x v="11"/>
    <s v="Cust_15"/>
    <x v="0"/>
    <x v="5"/>
    <x v="0"/>
    <n v="554151"/>
    <x v="2"/>
    <s v="SKU15"/>
    <s v="Product_15"/>
    <s v="Fruits"/>
    <n v="6"/>
    <n v="3"/>
    <n v="35.35"/>
    <n v="3.54"/>
    <n v="102.51"/>
    <n v="5.13"/>
    <n v="30"/>
    <n v="0"/>
    <n v="137.63999999999999"/>
    <s v="Delivered"/>
    <n v="25"/>
  </r>
  <r>
    <x v="16"/>
    <x v="14"/>
    <x v="0"/>
    <x v="12"/>
    <s v="Cust_16"/>
    <x v="0"/>
    <x v="5"/>
    <x v="0"/>
    <n v="554151"/>
    <x v="0"/>
    <s v="SKU16"/>
    <s v="Product_16"/>
    <s v="snaks"/>
    <n v="5"/>
    <n v="2"/>
    <n v="128.59"/>
    <n v="6.43"/>
    <n v="250.75"/>
    <n v="12.54"/>
    <n v="0"/>
    <n v="5"/>
    <n v="268.29000000000002"/>
    <s v="Delivered"/>
    <n v="34"/>
  </r>
  <r>
    <x v="17"/>
    <x v="11"/>
    <x v="1"/>
    <x v="9"/>
    <s v="Cust_17"/>
    <x v="0"/>
    <x v="5"/>
    <x v="0"/>
    <n v="554151"/>
    <x v="5"/>
    <s v="SKU17"/>
    <s v="Product_17"/>
    <s v="Baby"/>
    <n v="4"/>
    <n v="5"/>
    <n v="145.22"/>
    <n v="7.26"/>
    <n v="718.84"/>
    <n v="35.94"/>
    <n v="20"/>
    <n v="5"/>
    <n v="779.78"/>
    <s v="Returned"/>
    <n v="25"/>
  </r>
  <r>
    <x v="18"/>
    <x v="15"/>
    <x v="1"/>
    <x v="13"/>
    <s v="Cust_18"/>
    <x v="0"/>
    <x v="0"/>
    <x v="0"/>
    <n v="554151"/>
    <x v="0"/>
    <s v="SKU18"/>
    <s v="Product_18"/>
    <s v="Essentials"/>
    <n v="10"/>
    <n v="1"/>
    <n v="156.96"/>
    <n v="23.54"/>
    <n v="133.41999999999999"/>
    <n v="6.67"/>
    <n v="10"/>
    <n v="5"/>
    <n v="155.09"/>
    <s v="Delivered"/>
    <n v="18"/>
  </r>
  <r>
    <x v="19"/>
    <x v="16"/>
    <x v="1"/>
    <x v="10"/>
    <s v="Cust_19"/>
    <x v="0"/>
    <x v="2"/>
    <x v="0"/>
    <n v="554151"/>
    <x v="0"/>
    <s v="SKU19"/>
    <s v="Product_19"/>
    <s v="Essentials"/>
    <n v="10"/>
    <n v="2"/>
    <n v="19.809999999999999"/>
    <n v="0"/>
    <n v="39.619999999999997"/>
    <n v="1.98"/>
    <n v="20"/>
    <n v="20"/>
    <n v="81.599999999999994"/>
    <s v="Delivered"/>
    <n v="42"/>
  </r>
  <r>
    <x v="20"/>
    <x v="12"/>
    <x v="0"/>
    <x v="10"/>
    <s v="Cust_20"/>
    <x v="0"/>
    <x v="1"/>
    <x v="0"/>
    <n v="554151"/>
    <x v="0"/>
    <s v="SKU20"/>
    <s v="Product_20"/>
    <s v="bevrage"/>
    <n v="7"/>
    <n v="3"/>
    <n v="164.88"/>
    <n v="16.489999999999998"/>
    <n v="478.15"/>
    <n v="23.91"/>
    <n v="30"/>
    <n v="10"/>
    <n v="542.05999999999995"/>
    <s v="Failed"/>
    <n v="25"/>
  </r>
  <r>
    <x v="21"/>
    <x v="17"/>
    <x v="1"/>
    <x v="14"/>
    <s v="Cust_21"/>
    <x v="0"/>
    <x v="0"/>
    <x v="0"/>
    <n v="554151"/>
    <x v="1"/>
    <s v="SKU21"/>
    <s v="Product_21"/>
    <s v="Beverages"/>
    <n v="9"/>
    <n v="2"/>
    <n v="185.31"/>
    <n v="27.8"/>
    <n v="342.82"/>
    <n v="17.14"/>
    <n v="10"/>
    <n v="0"/>
    <n v="369.96"/>
    <s v="Delivered"/>
    <n v="32"/>
  </r>
  <r>
    <x v="22"/>
    <x v="11"/>
    <x v="1"/>
    <x v="9"/>
    <s v="Cust_22"/>
    <x v="0"/>
    <x v="1"/>
    <x v="0"/>
    <n v="554151"/>
    <x v="0"/>
    <s v="SKU22"/>
    <s v="Product_22"/>
    <s v="Veg"/>
    <n v="3"/>
    <n v="1"/>
    <n v="4.92"/>
    <n v="0.25"/>
    <n v="4.67"/>
    <n v="0.23"/>
    <n v="10"/>
    <n v="15"/>
    <n v="29.9"/>
    <s v="Delivered"/>
    <n v="41"/>
  </r>
  <r>
    <x v="23"/>
    <x v="18"/>
    <x v="0"/>
    <x v="15"/>
    <s v="Cust_23"/>
    <x v="0"/>
    <x v="0"/>
    <x v="0"/>
    <n v="554151"/>
    <x v="6"/>
    <s v="SKU23"/>
    <s v="Product_23"/>
    <s v="FRUITS "/>
    <n v="7"/>
    <n v="1"/>
    <n v="143.94999999999999"/>
    <n v="7.2"/>
    <n v="136.75"/>
    <n v="6.84"/>
    <n v="30"/>
    <n v="5"/>
    <n v="178.59"/>
    <s v="Delivered"/>
    <n v="27"/>
  </r>
  <r>
    <x v="24"/>
    <x v="19"/>
    <x v="1"/>
    <x v="16"/>
    <s v="Cust_24"/>
    <x v="1"/>
    <x v="4"/>
    <x v="0"/>
    <n v="554151"/>
    <x v="0"/>
    <s v="SKU24"/>
    <s v="Product_24"/>
    <s v="Beverages"/>
    <n v="9"/>
    <n v="3"/>
    <n v="99.86"/>
    <n v="14.98"/>
    <n v="284.60000000000002"/>
    <n v="14.23"/>
    <n v="20"/>
    <n v="5"/>
    <n v="323.83"/>
    <s v="Delivered"/>
    <n v="38"/>
  </r>
  <r>
    <x v="25"/>
    <x v="20"/>
    <x v="0"/>
    <x v="17"/>
    <s v="Cust_25"/>
    <x v="0"/>
    <x v="2"/>
    <x v="0"/>
    <n v="554151"/>
    <x v="0"/>
    <s v="SKU25"/>
    <s v="Product_25"/>
    <s v="Baby"/>
    <n v="4"/>
    <n v="3"/>
    <n v="17.39"/>
    <n v="0"/>
    <n v="52.17"/>
    <n v="2.61"/>
    <n v="0"/>
    <n v="10"/>
    <n v="64.78"/>
    <s v="Delivered"/>
    <n v="11"/>
  </r>
  <r>
    <x v="26"/>
    <x v="17"/>
    <x v="1"/>
    <x v="14"/>
    <s v="Cust_26"/>
    <x v="0"/>
    <x v="5"/>
    <x v="0"/>
    <n v="554151"/>
    <x v="0"/>
    <s v="SKU26"/>
    <s v="Product_26"/>
    <s v="bevrage"/>
    <n v="7"/>
    <n v="2"/>
    <n v="42.69"/>
    <n v="0"/>
    <n v="85.38"/>
    <n v="4.2699999999999996"/>
    <n v="10"/>
    <n v="15"/>
    <n v="114.65"/>
    <s v="Delivered"/>
    <n v="26"/>
  </r>
  <r>
    <x v="27"/>
    <x v="21"/>
    <x v="2"/>
    <x v="18"/>
    <s v="Cust_27"/>
    <x v="0"/>
    <x v="0"/>
    <x v="0"/>
    <n v="554151"/>
    <x v="0"/>
    <s v="SKU27"/>
    <s v="Product_27"/>
    <s v="Essentials"/>
    <n v="10"/>
    <n v="3"/>
    <n v="61.3"/>
    <n v="0"/>
    <n v="183.9"/>
    <n v="9.19"/>
    <n v="30"/>
    <n v="15"/>
    <n v="238.09"/>
    <s v="Delivered"/>
    <n v="45"/>
  </r>
  <r>
    <x v="28"/>
    <x v="6"/>
    <x v="1"/>
    <x v="1"/>
    <s v="Cust_28"/>
    <x v="0"/>
    <x v="2"/>
    <x v="0"/>
    <n v="816756"/>
    <x v="5"/>
    <s v="SKU28"/>
    <s v="Product_28"/>
    <s v="FRUITS "/>
    <n v="7"/>
    <n v="4"/>
    <n v="86.32"/>
    <n v="4.32"/>
    <n v="340.96"/>
    <n v="17.05"/>
    <n v="0"/>
    <n v="0"/>
    <n v="358.01"/>
    <s v="Delivered"/>
    <n v="28"/>
  </r>
  <r>
    <x v="29"/>
    <x v="22"/>
    <x v="0"/>
    <x v="14"/>
    <s v="Cust_29"/>
    <x v="0"/>
    <x v="5"/>
    <x v="0"/>
    <n v="672212"/>
    <x v="2"/>
    <s v="SKU29"/>
    <s v="Product_29"/>
    <s v="Fruits"/>
    <n v="6"/>
    <n v="1"/>
    <n v="65.42"/>
    <n v="6.54"/>
    <n v="58.88"/>
    <n v="2.94"/>
    <n v="0"/>
    <n v="5"/>
    <n v="66.819999999999993"/>
    <s v="Delivered"/>
    <n v="41"/>
  </r>
  <r>
    <x v="30"/>
    <x v="23"/>
    <x v="1"/>
    <x v="4"/>
    <s v="Cust_30"/>
    <x v="2"/>
    <x v="4"/>
    <x v="0"/>
    <n v="791757"/>
    <x v="5"/>
    <s v="SKU30"/>
    <s v="Product_30"/>
    <s v="Veg"/>
    <n v="3"/>
    <n v="6"/>
    <n v="9.5500000000000007"/>
    <n v="1.43"/>
    <n v="55.87"/>
    <n v="2.79"/>
    <n v="20"/>
    <n v="10"/>
    <n v="88.66"/>
    <s v="Delivered"/>
    <n v="12"/>
  </r>
  <r>
    <x v="31"/>
    <x v="7"/>
    <x v="0"/>
    <x v="5"/>
    <s v="Cust_31"/>
    <x v="0"/>
    <x v="3"/>
    <x v="0"/>
    <n v="322320"/>
    <x v="3"/>
    <s v="SKU31"/>
    <s v="Product_31"/>
    <s v="Dairy"/>
    <n v="5"/>
    <n v="2"/>
    <n v="131.91"/>
    <n v="13.19"/>
    <n v="250.63"/>
    <n v="12.53"/>
    <n v="0"/>
    <n v="15"/>
    <n v="278.16000000000003"/>
    <s v="Delivered"/>
    <n v="22"/>
  </r>
  <r>
    <x v="32"/>
    <x v="16"/>
    <x v="1"/>
    <x v="10"/>
    <s v="Cust_32"/>
    <x v="0"/>
    <x v="5"/>
    <x v="0"/>
    <n v="808662"/>
    <x v="1"/>
    <s v="SKU32"/>
    <s v="Product_32"/>
    <s v="Beverages"/>
    <n v="9"/>
    <n v="5"/>
    <n v="164.88"/>
    <n v="16.489999999999998"/>
    <n v="807.91"/>
    <n v="40.4"/>
    <n v="20"/>
    <n v="20"/>
    <n v="888.31"/>
    <s v="Failed"/>
    <n v="25"/>
  </r>
  <r>
    <x v="33"/>
    <x v="18"/>
    <x v="0"/>
    <x v="15"/>
    <s v="Cust_33"/>
    <x v="2"/>
    <x v="4"/>
    <x v="0"/>
    <n v="582615"/>
    <x v="0"/>
    <s v="SKU33"/>
    <s v="Product_33"/>
    <s v="Other"/>
    <n v="5"/>
    <n v="6"/>
    <n v="149.6"/>
    <n v="0"/>
    <n v="897.59999999999991"/>
    <n v="44.88"/>
    <n v="0"/>
    <n v="5"/>
    <n v="947.4799999999999"/>
    <s v="Delivered"/>
    <n v="26"/>
  </r>
  <r>
    <x v="34"/>
    <x v="24"/>
    <x v="1"/>
    <x v="19"/>
    <s v="Cust_34"/>
    <x v="0"/>
    <x v="0"/>
    <x v="0"/>
    <n v="221789"/>
    <x v="2"/>
    <s v="SKU34"/>
    <s v="Product_34"/>
    <s v="Veg"/>
    <n v="3"/>
    <n v="4"/>
    <n v="28.85"/>
    <n v="4.33"/>
    <n v="111.07"/>
    <n v="5.55"/>
    <n v="30"/>
    <n v="0"/>
    <n v="146.62"/>
    <s v="Returned"/>
    <n v="25"/>
  </r>
  <r>
    <x v="35"/>
    <x v="25"/>
    <x v="0"/>
    <x v="20"/>
    <s v="Cust_35"/>
    <x v="1"/>
    <x v="4"/>
    <x v="0"/>
    <n v="901480"/>
    <x v="0"/>
    <s v="SKU35"/>
    <s v="Product_35"/>
    <s v="Snacks"/>
    <n v="6"/>
    <n v="2"/>
    <n v="257.91000000000003"/>
    <n v="25.79"/>
    <n v="490.03"/>
    <n v="24.5"/>
    <n v="0"/>
    <n v="15"/>
    <n v="529.53"/>
    <s v="Failed"/>
    <n v="25"/>
  </r>
  <r>
    <x v="36"/>
    <x v="26"/>
    <x v="1"/>
    <x v="5"/>
    <s v="Cust_36"/>
    <x v="0"/>
    <x v="3"/>
    <x v="0"/>
    <n v="830026"/>
    <x v="4"/>
    <s v="SKU36"/>
    <s v="Product_36"/>
    <s v="Other"/>
    <n v="5"/>
    <n v="1"/>
    <n v="13.17"/>
    <n v="1.98"/>
    <n v="11.19"/>
    <n v="0.56000000000000005"/>
    <n v="0"/>
    <n v="0"/>
    <n v="11.75"/>
    <s v="Cancelled"/>
    <n v="25"/>
  </r>
  <r>
    <x v="37"/>
    <x v="27"/>
    <x v="0"/>
    <x v="21"/>
    <s v="Cust_37"/>
    <x v="0"/>
    <x v="2"/>
    <x v="0"/>
    <n v="599883"/>
    <x v="0"/>
    <s v="SKU37"/>
    <s v="Product_37"/>
    <s v="FRUITS "/>
    <n v="7"/>
    <n v="1"/>
    <n v="258.17"/>
    <n v="38.729999999999997"/>
    <n v="219.44"/>
    <n v="10.97"/>
    <n v="10"/>
    <n v="15"/>
    <n v="255.41"/>
    <s v="Delivered"/>
    <n v="29"/>
  </r>
  <r>
    <x v="38"/>
    <x v="28"/>
    <x v="0"/>
    <x v="8"/>
    <s v="Cust_38"/>
    <x v="0"/>
    <x v="2"/>
    <x v="0"/>
    <n v="528988"/>
    <x v="3"/>
    <s v="SKU38"/>
    <s v="Product_38"/>
    <s v="Dairy"/>
    <n v="5"/>
    <n v="4"/>
    <n v="101.53"/>
    <n v="10.15"/>
    <n v="395.97"/>
    <n v="19.8"/>
    <n v="30"/>
    <n v="15"/>
    <n v="460.77"/>
    <s v="Delivered"/>
    <n v="18"/>
  </r>
  <r>
    <x v="39"/>
    <x v="29"/>
    <x v="1"/>
    <x v="21"/>
    <s v="Cust_39"/>
    <x v="0"/>
    <x v="0"/>
    <x v="0"/>
    <n v="714615"/>
    <x v="6"/>
    <s v="SKU39"/>
    <s v="Product_39"/>
    <s v="DIARY"/>
    <n v="5"/>
    <n v="4"/>
    <n v="180.61"/>
    <n v="27.09"/>
    <n v="695.35"/>
    <n v="34.770000000000003"/>
    <n v="30"/>
    <n v="0"/>
    <n v="760.12"/>
    <s v="Delivered"/>
    <n v="26"/>
  </r>
  <r>
    <x v="40"/>
    <x v="21"/>
    <x v="2"/>
    <x v="18"/>
    <s v="Cust_40"/>
    <x v="1"/>
    <x v="4"/>
    <x v="0"/>
    <n v="494966"/>
    <x v="0"/>
    <s v="SKU40"/>
    <s v="Product_40"/>
    <s v="Fruits"/>
    <n v="6"/>
    <n v="1"/>
    <n v="161.5"/>
    <n v="24.22"/>
    <n v="137.28"/>
    <n v="6.86"/>
    <n v="0"/>
    <n v="0"/>
    <n v="144.13999999999999"/>
    <s v="Delivered"/>
    <n v="37"/>
  </r>
  <r>
    <x v="41"/>
    <x v="30"/>
    <x v="1"/>
    <x v="22"/>
    <s v="Cust_41"/>
    <x v="0"/>
    <x v="2"/>
    <x v="0"/>
    <n v="177454"/>
    <x v="0"/>
    <s v="SKU41"/>
    <s v="Product_41"/>
    <s v="FRUITS "/>
    <n v="7"/>
    <n v="4"/>
    <n v="202.08"/>
    <n v="30.31"/>
    <n v="778.0100000000001"/>
    <n v="38.9"/>
    <n v="20"/>
    <n v="0"/>
    <n v="836.91000000000008"/>
    <s v="Delivered"/>
    <n v="24"/>
  </r>
  <r>
    <x v="42"/>
    <x v="3"/>
    <x v="1"/>
    <x v="3"/>
    <s v="Cust_42"/>
    <x v="0"/>
    <x v="0"/>
    <x v="0"/>
    <n v="616142"/>
    <x v="1"/>
    <s v="SKU42"/>
    <s v="Product_42"/>
    <s v="Frozen"/>
    <n v="6"/>
    <n v="1"/>
    <n v="103"/>
    <n v="5.15"/>
    <n v="97.85"/>
    <n v="4.8899999999999997"/>
    <n v="20"/>
    <n v="20"/>
    <n v="142.74"/>
    <s v="Delivered"/>
    <n v="26"/>
  </r>
  <r>
    <x v="43"/>
    <x v="31"/>
    <x v="0"/>
    <x v="22"/>
    <s v="Cust_43"/>
    <x v="1"/>
    <x v="4"/>
    <x v="0"/>
    <n v="767542"/>
    <x v="5"/>
    <s v="SKU43"/>
    <s v="Product_43"/>
    <s v="snaks"/>
    <n v="5"/>
    <n v="3"/>
    <n v="87.94"/>
    <n v="0"/>
    <n v="263.82"/>
    <n v="13.19"/>
    <n v="0"/>
    <n v="15"/>
    <n v="292.01"/>
    <s v="Cancelled"/>
    <n v="25"/>
  </r>
  <r>
    <x v="44"/>
    <x v="32"/>
    <x v="0"/>
    <x v="23"/>
    <s v="Cust_44"/>
    <x v="0"/>
    <x v="5"/>
    <x v="0"/>
    <n v="576657"/>
    <x v="0"/>
    <s v="SKU44"/>
    <s v="Product_44"/>
    <s v="Snacks"/>
    <n v="6"/>
    <n v="1"/>
    <n v="276.36"/>
    <n v="0"/>
    <n v="276.36"/>
    <n v="13.82"/>
    <n v="30"/>
    <n v="15"/>
    <n v="335.18"/>
    <s v="Delivered"/>
    <n v="29"/>
  </r>
  <r>
    <x v="45"/>
    <x v="18"/>
    <x v="0"/>
    <x v="15"/>
    <s v="Cust_45"/>
    <x v="1"/>
    <x v="4"/>
    <x v="0"/>
    <n v="938003"/>
    <x v="1"/>
    <s v="SKU45"/>
    <s v="Product_45"/>
    <s v="FRUITS "/>
    <n v="7"/>
    <n v="2"/>
    <n v="201.41"/>
    <n v="0"/>
    <n v="402.82"/>
    <n v="20.14"/>
    <n v="30"/>
    <n v="5"/>
    <n v="457.96"/>
    <s v="Delivered"/>
    <n v="21"/>
  </r>
  <r>
    <x v="46"/>
    <x v="33"/>
    <x v="0"/>
    <x v="9"/>
    <s v="Cust_46"/>
    <x v="0"/>
    <x v="3"/>
    <x v="0"/>
    <n v="938807"/>
    <x v="1"/>
    <s v="SKU46"/>
    <s v="Product_46"/>
    <s v="bevrage"/>
    <n v="7"/>
    <n v="2"/>
    <n v="173.19"/>
    <n v="25.98"/>
    <n v="320.39999999999998"/>
    <n v="16.02"/>
    <n v="0"/>
    <n v="15"/>
    <n v="351.42"/>
    <s v="Delivered"/>
    <n v="38"/>
  </r>
  <r>
    <x v="47"/>
    <x v="1"/>
    <x v="0"/>
    <x v="1"/>
    <s v="Cust_47"/>
    <x v="0"/>
    <x v="5"/>
    <x v="0"/>
    <n v="234055"/>
    <x v="5"/>
    <s v="SKU47"/>
    <s v="Product_47"/>
    <s v="Veg"/>
    <n v="3"/>
    <n v="5"/>
    <n v="93.93"/>
    <n v="14.09"/>
    <n v="455.56000000000012"/>
    <n v="22.78"/>
    <n v="0"/>
    <n v="15"/>
    <n v="493.34"/>
    <s v="Returned"/>
    <n v="25"/>
  </r>
  <r>
    <x v="48"/>
    <x v="34"/>
    <x v="0"/>
    <x v="24"/>
    <s v="Cust_48"/>
    <x v="0"/>
    <x v="5"/>
    <x v="0"/>
    <n v="550062"/>
    <x v="0"/>
    <s v="SKU48"/>
    <s v="Product_48"/>
    <s v="FRUITS "/>
    <n v="7"/>
    <n v="2"/>
    <n v="4.8"/>
    <n v="0"/>
    <n v="9.6"/>
    <n v="0.48"/>
    <n v="0"/>
    <n v="5"/>
    <n v="15.08"/>
    <s v="Delivered"/>
    <n v="12"/>
  </r>
  <r>
    <x v="49"/>
    <x v="15"/>
    <x v="1"/>
    <x v="13"/>
    <s v="Cust_49"/>
    <x v="0"/>
    <x v="3"/>
    <x v="0"/>
    <n v="703561"/>
    <x v="0"/>
    <s v="SKU49"/>
    <s v="Product_49"/>
    <s v="Frozen"/>
    <n v="6"/>
    <n v="3"/>
    <n v="203.32"/>
    <n v="0"/>
    <n v="609.96"/>
    <n v="30.5"/>
    <n v="0"/>
    <n v="20"/>
    <n v="660.46"/>
    <s v="Delivered"/>
    <n v="33"/>
  </r>
  <r>
    <x v="50"/>
    <x v="35"/>
    <x v="0"/>
    <x v="25"/>
    <s v="Cust_50"/>
    <x v="0"/>
    <x v="0"/>
    <x v="1"/>
    <n v="559297"/>
    <x v="0"/>
    <s v="SKU50"/>
    <s v="Product_50"/>
    <s v="Beverages"/>
    <n v="9"/>
    <n v="3"/>
    <n v="106.91"/>
    <n v="5.35"/>
    <n v="315.38"/>
    <n v="15.77"/>
    <n v="30"/>
    <n v="10"/>
    <n v="371.15"/>
    <s v="Delivered"/>
    <n v="34"/>
  </r>
  <r>
    <x v="51"/>
    <x v="32"/>
    <x v="0"/>
    <x v="23"/>
    <s v="Cust_51"/>
    <x v="0"/>
    <x v="1"/>
    <x v="1"/>
    <n v="919471"/>
    <x v="2"/>
    <s v="SKU51"/>
    <s v="Product_51"/>
    <s v="Bakery"/>
    <n v="6"/>
    <n v="4"/>
    <n v="122.82"/>
    <n v="6.14"/>
    <n v="485.14"/>
    <n v="24.26"/>
    <n v="20"/>
    <n v="10"/>
    <n v="539.4"/>
    <s v="Delivered"/>
    <n v="24"/>
  </r>
  <r>
    <x v="52"/>
    <x v="36"/>
    <x v="1"/>
    <x v="17"/>
    <s v="Cust_52"/>
    <x v="2"/>
    <x v="4"/>
    <x v="1"/>
    <n v="350195"/>
    <x v="0"/>
    <s v="SKU52"/>
    <s v="Product_52"/>
    <s v="Essentials"/>
    <n v="10"/>
    <n v="1"/>
    <n v="93.27"/>
    <n v="13.99"/>
    <n v="79.28"/>
    <n v="3.96"/>
    <n v="0"/>
    <n v="20"/>
    <n v="103.24"/>
    <s v="Delivered"/>
    <n v="39"/>
  </r>
  <r>
    <x v="53"/>
    <x v="6"/>
    <x v="1"/>
    <x v="1"/>
    <s v="Cust_53"/>
    <x v="0"/>
    <x v="3"/>
    <x v="1"/>
    <n v="265873"/>
    <x v="1"/>
    <s v="SKU53"/>
    <s v="Product_53"/>
    <s v="Bakery"/>
    <n v="6"/>
    <n v="1"/>
    <n v="167.62"/>
    <n v="8.3800000000000008"/>
    <n v="159.24"/>
    <n v="7.96"/>
    <n v="0"/>
    <n v="0"/>
    <n v="167.2"/>
    <s v="Delivered"/>
    <n v="6"/>
  </r>
  <r>
    <x v="54"/>
    <x v="37"/>
    <x v="1"/>
    <x v="12"/>
    <s v="Cust_54"/>
    <x v="0"/>
    <x v="1"/>
    <x v="1"/>
    <n v="813135"/>
    <x v="1"/>
    <s v="SKU54"/>
    <s v="Product_54"/>
    <s v="Veg"/>
    <n v="3"/>
    <n v="2"/>
    <n v="59.75"/>
    <n v="2.99"/>
    <n v="116.51"/>
    <n v="5.83"/>
    <n v="0"/>
    <n v="0"/>
    <n v="122.34"/>
    <s v="Failed"/>
    <n v="25"/>
  </r>
  <r>
    <x v="55"/>
    <x v="0"/>
    <x v="0"/>
    <x v="0"/>
    <s v="Cust_55"/>
    <x v="1"/>
    <x v="4"/>
    <x v="1"/>
    <n v="830051"/>
    <x v="3"/>
    <s v="SKU55"/>
    <s v="Product_55"/>
    <s v="FRUITS "/>
    <n v="7"/>
    <n v="1"/>
    <n v="3.98"/>
    <n v="0.4"/>
    <n v="3.58"/>
    <n v="0.18"/>
    <n v="20"/>
    <n v="5"/>
    <n v="28.76"/>
    <s v="Delivered"/>
    <n v="12"/>
  </r>
  <r>
    <x v="56"/>
    <x v="38"/>
    <x v="1"/>
    <x v="20"/>
    <s v="Cust_56"/>
    <x v="0"/>
    <x v="3"/>
    <x v="1"/>
    <n v="835457"/>
    <x v="4"/>
    <s v="SKU56"/>
    <s v="Product_56"/>
    <s v="Other"/>
    <n v="5"/>
    <n v="4"/>
    <n v="107.16"/>
    <n v="16.07"/>
    <n v="412.57"/>
    <n v="20.63"/>
    <n v="0"/>
    <n v="15"/>
    <n v="448.2"/>
    <s v="Delivered"/>
    <n v="33"/>
  </r>
  <r>
    <x v="57"/>
    <x v="39"/>
    <x v="1"/>
    <x v="26"/>
    <s v="Cust_57"/>
    <x v="0"/>
    <x v="1"/>
    <x v="1"/>
    <n v="963561"/>
    <x v="4"/>
    <s v="SKU57"/>
    <s v="Product_57"/>
    <s v="FRUITS "/>
    <n v="7"/>
    <n v="3"/>
    <n v="190.03"/>
    <n v="0"/>
    <n v="570.09"/>
    <n v="28.5"/>
    <n v="10"/>
    <n v="20"/>
    <n v="628.59"/>
    <s v="Delivered"/>
    <n v="41"/>
  </r>
  <r>
    <x v="58"/>
    <x v="24"/>
    <x v="1"/>
    <x v="19"/>
    <s v="Cust_58"/>
    <x v="0"/>
    <x v="5"/>
    <x v="1"/>
    <n v="249369"/>
    <x v="3"/>
    <s v="SKU58"/>
    <s v="Product_58"/>
    <s v="Frozen"/>
    <n v="6"/>
    <n v="2"/>
    <n v="89.93"/>
    <n v="4.5"/>
    <n v="175.36"/>
    <n v="8.77"/>
    <n v="10"/>
    <n v="20"/>
    <n v="214.13"/>
    <s v="Delivered"/>
    <n v="30"/>
  </r>
  <r>
    <x v="59"/>
    <x v="21"/>
    <x v="2"/>
    <x v="18"/>
    <s v="Cust_59"/>
    <x v="0"/>
    <x v="2"/>
    <x v="1"/>
    <n v="474999"/>
    <x v="4"/>
    <s v="SKU59"/>
    <s v="Product_59"/>
    <s v="Snacks"/>
    <n v="6"/>
    <n v="5"/>
    <n v="125.79"/>
    <n v="0"/>
    <n v="628.95000000000005"/>
    <n v="31.45"/>
    <n v="30"/>
    <n v="10"/>
    <n v="700.40000000000009"/>
    <s v="Delivered"/>
    <n v="10"/>
  </r>
  <r>
    <x v="60"/>
    <x v="40"/>
    <x v="1"/>
    <x v="27"/>
    <s v="Cust_60"/>
    <x v="0"/>
    <x v="1"/>
    <x v="1"/>
    <n v="893719"/>
    <x v="3"/>
    <s v="SKU60"/>
    <s v="Product_60"/>
    <s v="Frozen"/>
    <n v="6"/>
    <n v="1"/>
    <n v="130.63999999999999"/>
    <n v="0"/>
    <n v="130.63999999999999"/>
    <n v="6.53"/>
    <n v="10"/>
    <n v="5"/>
    <n v="152.16999999999999"/>
    <s v="Delivered"/>
    <n v="32"/>
  </r>
  <r>
    <x v="61"/>
    <x v="41"/>
    <x v="0"/>
    <x v="6"/>
    <s v="Cust_61"/>
    <x v="0"/>
    <x v="2"/>
    <x v="1"/>
    <n v="426916"/>
    <x v="1"/>
    <s v="SKU61"/>
    <s v="Product_61"/>
    <s v="Dairy"/>
    <n v="5"/>
    <n v="5"/>
    <n v="114.77"/>
    <n v="17.22"/>
    <n v="556.63"/>
    <n v="27.83"/>
    <n v="0"/>
    <n v="15"/>
    <n v="599.46"/>
    <s v="Delivered"/>
    <n v="34"/>
  </r>
  <r>
    <x v="62"/>
    <x v="7"/>
    <x v="0"/>
    <x v="5"/>
    <s v="Cust_62"/>
    <x v="0"/>
    <x v="3"/>
    <x v="1"/>
    <n v="658030"/>
    <x v="4"/>
    <s v="SKU62"/>
    <s v="Product_62"/>
    <s v="Veg"/>
    <n v="3"/>
    <n v="1"/>
    <n v="67.3"/>
    <n v="3.37"/>
    <n v="63.93"/>
    <n v="3.2"/>
    <n v="10"/>
    <n v="20"/>
    <n v="97.13"/>
    <s v="Delivered"/>
    <n v="30"/>
  </r>
  <r>
    <x v="63"/>
    <x v="37"/>
    <x v="1"/>
    <x v="12"/>
    <s v="Cust_63"/>
    <x v="0"/>
    <x v="5"/>
    <x v="1"/>
    <n v="972388"/>
    <x v="0"/>
    <s v="SKU63"/>
    <s v="Product_63"/>
    <s v="Veg"/>
    <n v="3"/>
    <n v="5"/>
    <n v="65.64"/>
    <n v="0"/>
    <n v="328.2"/>
    <n v="16.41"/>
    <n v="0"/>
    <n v="0"/>
    <n v="344.61"/>
    <s v="Delivered"/>
    <n v="34"/>
  </r>
  <r>
    <x v="64"/>
    <x v="42"/>
    <x v="1"/>
    <x v="24"/>
    <s v="Cust_64"/>
    <x v="0"/>
    <x v="5"/>
    <x v="1"/>
    <n v="228322"/>
    <x v="1"/>
    <s v="SKU64"/>
    <s v="Product_64"/>
    <s v="Dairy"/>
    <n v="5"/>
    <n v="3"/>
    <n v="82.14"/>
    <n v="12.32"/>
    <n v="234.1"/>
    <n v="11.71"/>
    <n v="0"/>
    <n v="0"/>
    <n v="245.81"/>
    <s v="Delivered"/>
    <n v="31"/>
  </r>
  <r>
    <x v="65"/>
    <x v="12"/>
    <x v="0"/>
    <x v="10"/>
    <s v="Cust_65"/>
    <x v="0"/>
    <x v="2"/>
    <x v="1"/>
    <n v="186231"/>
    <x v="4"/>
    <s v="SKU65"/>
    <s v="Product_65"/>
    <s v="FRUITS "/>
    <n v="7"/>
    <n v="1"/>
    <n v="122.6"/>
    <n v="0"/>
    <n v="122.6"/>
    <n v="6.13"/>
    <n v="10"/>
    <n v="10"/>
    <n v="148.72999999999999"/>
    <s v="Delivered"/>
    <n v="35"/>
  </r>
  <r>
    <x v="66"/>
    <x v="17"/>
    <x v="1"/>
    <x v="14"/>
    <s v="Cust_66"/>
    <x v="0"/>
    <x v="1"/>
    <x v="1"/>
    <n v="590042"/>
    <x v="2"/>
    <s v="SKU66"/>
    <s v="Product_66"/>
    <s v="Dairy"/>
    <n v="5"/>
    <n v="5"/>
    <n v="52.09"/>
    <n v="0"/>
    <n v="260.45"/>
    <n v="13.02"/>
    <n v="10"/>
    <n v="0"/>
    <n v="283.47000000000003"/>
    <s v="Delivered"/>
    <n v="29"/>
  </r>
  <r>
    <x v="67"/>
    <x v="43"/>
    <x v="1"/>
    <x v="23"/>
    <s v="Cust_67"/>
    <x v="0"/>
    <x v="3"/>
    <x v="1"/>
    <n v="153947"/>
    <x v="0"/>
    <s v="SKU67"/>
    <s v="Product_67"/>
    <s v="Essentials"/>
    <n v="10"/>
    <n v="4"/>
    <n v="155.44"/>
    <n v="0"/>
    <n v="621.76"/>
    <n v="31.09"/>
    <n v="10"/>
    <n v="15"/>
    <n v="677.85"/>
    <s v="Delivered"/>
    <n v="36"/>
  </r>
  <r>
    <x v="68"/>
    <x v="29"/>
    <x v="1"/>
    <x v="21"/>
    <s v="Cust_68"/>
    <x v="0"/>
    <x v="2"/>
    <x v="1"/>
    <n v="716412"/>
    <x v="6"/>
    <s v="SKU68"/>
    <s v="Product_68"/>
    <s v="Bakery"/>
    <n v="6"/>
    <n v="3"/>
    <n v="162.9"/>
    <n v="16.29"/>
    <n v="472.41"/>
    <n v="23.62"/>
    <n v="20"/>
    <n v="5"/>
    <n v="521.03"/>
    <s v="Delivered"/>
    <n v="28"/>
  </r>
  <r>
    <x v="69"/>
    <x v="31"/>
    <x v="0"/>
    <x v="22"/>
    <s v="Cust_69"/>
    <x v="0"/>
    <x v="1"/>
    <x v="1"/>
    <n v="175418"/>
    <x v="3"/>
    <s v="SKU69"/>
    <s v="Product_69"/>
    <s v="Baby"/>
    <n v="4"/>
    <n v="1"/>
    <n v="109.97"/>
    <n v="5.5"/>
    <n v="104.47"/>
    <n v="5.22"/>
    <n v="30"/>
    <n v="5"/>
    <n v="144.69"/>
    <s v="Delivered"/>
    <n v="26"/>
  </r>
  <r>
    <x v="70"/>
    <x v="21"/>
    <x v="2"/>
    <x v="18"/>
    <s v="Cust_70"/>
    <x v="0"/>
    <x v="2"/>
    <x v="1"/>
    <n v="700530"/>
    <x v="0"/>
    <s v="SKU70"/>
    <s v="Product_70"/>
    <s v="Other"/>
    <n v="5"/>
    <n v="3"/>
    <n v="110.85"/>
    <n v="0"/>
    <n v="332.55"/>
    <n v="16.63"/>
    <n v="30"/>
    <n v="5"/>
    <n v="384.17999999999989"/>
    <s v="Delivered"/>
    <n v="29"/>
  </r>
  <r>
    <x v="71"/>
    <x v="36"/>
    <x v="1"/>
    <x v="17"/>
    <s v="Cust_71"/>
    <x v="0"/>
    <x v="5"/>
    <x v="1"/>
    <n v="244353"/>
    <x v="6"/>
    <s v="SKU71"/>
    <s v="Product_71"/>
    <s v="FRUITS "/>
    <n v="7"/>
    <n v="3"/>
    <n v="73.069999999999993"/>
    <n v="3.65"/>
    <n v="215.56"/>
    <n v="10.78"/>
    <n v="20"/>
    <n v="10"/>
    <n v="256.33999999999997"/>
    <s v="Delivered"/>
    <n v="18"/>
  </r>
  <r>
    <x v="72"/>
    <x v="18"/>
    <x v="0"/>
    <x v="15"/>
    <s v="Cust_72"/>
    <x v="1"/>
    <x v="4"/>
    <x v="1"/>
    <n v="827955"/>
    <x v="6"/>
    <s v="SKU72"/>
    <s v="Product_72"/>
    <s v="Frozen"/>
    <n v="6"/>
    <n v="3"/>
    <n v="125.4"/>
    <n v="6.27"/>
    <n v="369.93000000000012"/>
    <n v="18.5"/>
    <n v="0"/>
    <n v="10"/>
    <n v="398.43000000000012"/>
    <s v="Delivered"/>
    <n v="22"/>
  </r>
  <r>
    <x v="73"/>
    <x v="5"/>
    <x v="1"/>
    <x v="0"/>
    <s v="Cust_73"/>
    <x v="0"/>
    <x v="1"/>
    <x v="1"/>
    <n v="606047"/>
    <x v="1"/>
    <s v="SKU73"/>
    <s v="Product_73"/>
    <s v="Frozen"/>
    <n v="6"/>
    <n v="3"/>
    <n v="134.96"/>
    <n v="20.239999999999998"/>
    <n v="384.64"/>
    <n v="19.23"/>
    <n v="30"/>
    <n v="10"/>
    <n v="443.87"/>
    <s v="Delivered"/>
    <n v="40"/>
  </r>
  <r>
    <x v="74"/>
    <x v="31"/>
    <x v="0"/>
    <x v="22"/>
    <s v="Cust_74"/>
    <x v="0"/>
    <x v="3"/>
    <x v="1"/>
    <n v="872800"/>
    <x v="5"/>
    <s v="SKU74"/>
    <s v="Product_74"/>
    <s v="Snacks"/>
    <n v="6"/>
    <n v="5"/>
    <n v="33.51"/>
    <n v="1.68"/>
    <n v="165.87"/>
    <n v="8.2899999999999991"/>
    <n v="20"/>
    <n v="20"/>
    <n v="214.16"/>
    <s v="Delivered"/>
    <n v="32"/>
  </r>
  <r>
    <x v="75"/>
    <x v="44"/>
    <x v="0"/>
    <x v="26"/>
    <s v="Cust_75"/>
    <x v="0"/>
    <x v="3"/>
    <x v="1"/>
    <n v="842406"/>
    <x v="0"/>
    <s v="SKU75"/>
    <s v="Product_75"/>
    <s v="Baby"/>
    <n v="4"/>
    <n v="4"/>
    <n v="93.21"/>
    <n v="9.32"/>
    <n v="363.52"/>
    <n v="18.18"/>
    <n v="20"/>
    <n v="10"/>
    <n v="411.7"/>
    <s v="Failed"/>
    <n v="25"/>
  </r>
  <r>
    <x v="76"/>
    <x v="40"/>
    <x v="1"/>
    <x v="27"/>
    <s v="Cust_76"/>
    <x v="1"/>
    <x v="4"/>
    <x v="1"/>
    <n v="713474"/>
    <x v="0"/>
    <s v="SKU76"/>
    <s v="Product_76"/>
    <s v="bevrage"/>
    <n v="7"/>
    <n v="3"/>
    <n v="98.22"/>
    <n v="0"/>
    <n v="294.66000000000003"/>
    <n v="14.73"/>
    <n v="20"/>
    <n v="10"/>
    <n v="339.39"/>
    <s v="Delivered"/>
    <n v="26"/>
  </r>
  <r>
    <x v="77"/>
    <x v="45"/>
    <x v="1"/>
    <x v="28"/>
    <s v="Cust_77"/>
    <x v="0"/>
    <x v="5"/>
    <x v="1"/>
    <n v="438076"/>
    <x v="1"/>
    <s v="SKU77"/>
    <s v="Product_77"/>
    <s v="Veg"/>
    <n v="3"/>
    <n v="1"/>
    <n v="234.65"/>
    <n v="35.200000000000003"/>
    <n v="199.45"/>
    <n v="9.9700000000000006"/>
    <n v="30"/>
    <n v="20"/>
    <n v="259.42"/>
    <s v="Delivered"/>
    <n v="28"/>
  </r>
  <r>
    <x v="78"/>
    <x v="13"/>
    <x v="0"/>
    <x v="11"/>
    <s v="Cust_78"/>
    <x v="0"/>
    <x v="1"/>
    <x v="1"/>
    <n v="440941"/>
    <x v="0"/>
    <s v="SKU78"/>
    <s v="Product_78"/>
    <s v="bevrage"/>
    <n v="7"/>
    <n v="1"/>
    <n v="188.2"/>
    <n v="28.23"/>
    <n v="159.97"/>
    <n v="8"/>
    <n v="30"/>
    <n v="15"/>
    <n v="212.97"/>
    <s v="Delivered"/>
    <n v="20"/>
  </r>
  <r>
    <x v="79"/>
    <x v="41"/>
    <x v="0"/>
    <x v="6"/>
    <s v="Cust_79"/>
    <x v="0"/>
    <x v="2"/>
    <x v="1"/>
    <n v="312943"/>
    <x v="0"/>
    <s v="SKU79"/>
    <s v="Product_79"/>
    <s v="Snacks"/>
    <n v="6"/>
    <n v="1"/>
    <n v="232.87"/>
    <n v="11.64"/>
    <n v="221.23"/>
    <n v="11.06"/>
    <n v="20"/>
    <n v="5"/>
    <n v="257.29000000000002"/>
    <s v="Delivered"/>
    <n v="31"/>
  </r>
  <r>
    <x v="80"/>
    <x v="14"/>
    <x v="0"/>
    <x v="12"/>
    <s v="Cust_80"/>
    <x v="0"/>
    <x v="1"/>
    <x v="1"/>
    <n v="762784"/>
    <x v="2"/>
    <s v="SKU80"/>
    <s v="Product_80"/>
    <s v="FRUITS "/>
    <n v="7"/>
    <n v="2"/>
    <n v="46.21"/>
    <n v="0"/>
    <n v="92.42"/>
    <n v="4.62"/>
    <n v="20"/>
    <n v="5"/>
    <n v="122.04"/>
    <s v="Failed"/>
    <n v="25"/>
  </r>
  <r>
    <x v="81"/>
    <x v="39"/>
    <x v="1"/>
    <x v="26"/>
    <s v="Cust_81"/>
    <x v="0"/>
    <x v="1"/>
    <x v="1"/>
    <n v="343373"/>
    <x v="0"/>
    <s v="SKU81"/>
    <s v="Product_81"/>
    <s v="Baby"/>
    <n v="4"/>
    <n v="2"/>
    <n v="170.05"/>
    <n v="0"/>
    <n v="340.1"/>
    <n v="17.010000000000002"/>
    <n v="30"/>
    <n v="15"/>
    <n v="402.11"/>
    <s v="Delivered"/>
    <n v="20"/>
  </r>
  <r>
    <x v="82"/>
    <x v="17"/>
    <x v="1"/>
    <x v="14"/>
    <s v="Cust_82"/>
    <x v="1"/>
    <x v="4"/>
    <x v="1"/>
    <n v="707167"/>
    <x v="3"/>
    <s v="SKU82"/>
    <s v="Product_82"/>
    <s v="Other"/>
    <n v="5"/>
    <n v="2"/>
    <n v="98.72"/>
    <n v="4.9400000000000004"/>
    <n v="192.5"/>
    <n v="9.6199999999999992"/>
    <n v="0"/>
    <n v="5"/>
    <n v="207.12"/>
    <s v="Delivered"/>
    <n v="31"/>
  </r>
  <r>
    <x v="83"/>
    <x v="46"/>
    <x v="1"/>
    <x v="25"/>
    <s v="Cust_83"/>
    <x v="0"/>
    <x v="3"/>
    <x v="1"/>
    <n v="430904"/>
    <x v="0"/>
    <s v="SKU83"/>
    <s v="Product_83"/>
    <s v="DIARY"/>
    <n v="5"/>
    <n v="2"/>
    <n v="99.38"/>
    <n v="14.91"/>
    <n v="183.85"/>
    <n v="9.19"/>
    <n v="10"/>
    <n v="10"/>
    <n v="213.04"/>
    <s v="Delivered"/>
    <n v="40"/>
  </r>
  <r>
    <x v="84"/>
    <x v="47"/>
    <x v="0"/>
    <x v="7"/>
    <s v="Cust_84"/>
    <x v="2"/>
    <x v="4"/>
    <x v="1"/>
    <n v="466245"/>
    <x v="0"/>
    <s v="SKU84"/>
    <s v="Product_84"/>
    <s v="Other"/>
    <n v="5"/>
    <n v="5"/>
    <n v="64.239999999999995"/>
    <n v="0"/>
    <n v="321.2"/>
    <n v="16.059999999999999"/>
    <n v="30"/>
    <n v="10"/>
    <n v="377.26"/>
    <s v="Delivered"/>
    <n v="12"/>
  </r>
  <r>
    <x v="85"/>
    <x v="28"/>
    <x v="0"/>
    <x v="8"/>
    <s v="Cust_85"/>
    <x v="2"/>
    <x v="4"/>
    <x v="1"/>
    <n v="891541"/>
    <x v="5"/>
    <s v="SKU85"/>
    <s v="Product_85"/>
    <s v="bevrage"/>
    <n v="7"/>
    <n v="5"/>
    <n v="115.07"/>
    <n v="0"/>
    <n v="575.34999999999991"/>
    <n v="28.77"/>
    <n v="30"/>
    <n v="0"/>
    <n v="634.11999999999989"/>
    <s v="Delivered"/>
    <n v="36"/>
  </r>
  <r>
    <x v="86"/>
    <x v="39"/>
    <x v="1"/>
    <x v="26"/>
    <s v="Cust_86"/>
    <x v="0"/>
    <x v="1"/>
    <x v="1"/>
    <n v="726759"/>
    <x v="6"/>
    <s v="SKU86"/>
    <s v="Product_86"/>
    <s v="Beverages"/>
    <n v="9"/>
    <n v="2"/>
    <n v="91.09"/>
    <n v="4.55"/>
    <n v="177.63"/>
    <n v="8.8800000000000008"/>
    <n v="30"/>
    <n v="10"/>
    <n v="226.51"/>
    <s v="Delivered"/>
    <n v="32"/>
  </r>
  <r>
    <x v="87"/>
    <x v="47"/>
    <x v="0"/>
    <x v="7"/>
    <s v="Cust_87"/>
    <x v="0"/>
    <x v="5"/>
    <x v="1"/>
    <n v="969741"/>
    <x v="6"/>
    <s v="SKU87"/>
    <s v="Product_87"/>
    <s v="Beverages"/>
    <n v="9"/>
    <n v="4"/>
    <n v="97.79"/>
    <n v="9.7799999999999994"/>
    <n v="381.38000000000011"/>
    <n v="19.07"/>
    <n v="20"/>
    <n v="10"/>
    <n v="430.45"/>
    <s v="Delivered"/>
    <n v="25"/>
  </r>
  <r>
    <x v="88"/>
    <x v="2"/>
    <x v="1"/>
    <x v="2"/>
    <s v="Cust_88"/>
    <x v="0"/>
    <x v="3"/>
    <x v="1"/>
    <n v="693586"/>
    <x v="1"/>
    <s v="SKU88"/>
    <s v="Product_88"/>
    <s v="Veg"/>
    <n v="3"/>
    <n v="4"/>
    <n v="104.59"/>
    <n v="10.46"/>
    <n v="407.9"/>
    <n v="20.399999999999999"/>
    <n v="10"/>
    <n v="0"/>
    <n v="438.3"/>
    <s v="Delivered"/>
    <n v="37"/>
  </r>
  <r>
    <x v="89"/>
    <x v="38"/>
    <x v="1"/>
    <x v="20"/>
    <s v="Cust_89"/>
    <x v="0"/>
    <x v="1"/>
    <x v="1"/>
    <n v="545485"/>
    <x v="3"/>
    <s v="SKU89"/>
    <s v="Product_89"/>
    <s v="DIARY"/>
    <n v="5"/>
    <n v="3"/>
    <n v="34.43"/>
    <n v="5.16"/>
    <n v="98.13"/>
    <n v="4.91"/>
    <n v="30"/>
    <n v="15"/>
    <n v="148.04"/>
    <s v="Delivered"/>
    <n v="31"/>
  </r>
  <r>
    <x v="90"/>
    <x v="42"/>
    <x v="1"/>
    <x v="24"/>
    <s v="Cust_90"/>
    <x v="0"/>
    <x v="5"/>
    <x v="1"/>
    <n v="830023"/>
    <x v="5"/>
    <s v="SKU90"/>
    <s v="Product_90"/>
    <s v="Essentials"/>
    <n v="10"/>
    <n v="1"/>
    <n v="92.14"/>
    <n v="9.2100000000000009"/>
    <n v="82.93"/>
    <n v="4.1500000000000004"/>
    <n v="30"/>
    <n v="5"/>
    <n v="122.08"/>
    <s v="Failed"/>
    <n v="25"/>
  </r>
  <r>
    <x v="91"/>
    <x v="18"/>
    <x v="0"/>
    <x v="15"/>
    <s v="Cust_91"/>
    <x v="0"/>
    <x v="0"/>
    <x v="1"/>
    <n v="999187"/>
    <x v="1"/>
    <s v="SKU91"/>
    <s v="Product_91"/>
    <s v="Dairy"/>
    <n v="5"/>
    <n v="4"/>
    <n v="16.93"/>
    <n v="0"/>
    <n v="67.72"/>
    <n v="3.39"/>
    <n v="30"/>
    <n v="10"/>
    <n v="111.11"/>
    <s v="Delivered"/>
    <n v="20"/>
  </r>
  <r>
    <x v="92"/>
    <x v="48"/>
    <x v="0"/>
    <x v="13"/>
    <s v="Cust_92"/>
    <x v="2"/>
    <x v="4"/>
    <x v="1"/>
    <n v="312977"/>
    <x v="5"/>
    <s v="SKU92"/>
    <s v="Product_92"/>
    <s v="FRUITS "/>
    <n v="7"/>
    <n v="1"/>
    <n v="237.77"/>
    <n v="35.67"/>
    <n v="202.1"/>
    <n v="10.11"/>
    <n v="30"/>
    <n v="5"/>
    <n v="247.21"/>
    <s v="Delivered"/>
    <n v="21"/>
  </r>
  <r>
    <x v="93"/>
    <x v="49"/>
    <x v="1"/>
    <x v="29"/>
    <s v="Cust_93"/>
    <x v="0"/>
    <x v="5"/>
    <x v="1"/>
    <n v="859746"/>
    <x v="6"/>
    <s v="SKU93"/>
    <s v="Product_93"/>
    <s v="Essentials"/>
    <n v="10"/>
    <n v="5"/>
    <n v="164.53"/>
    <n v="16.45"/>
    <n v="806.19999999999993"/>
    <n v="40.31"/>
    <n v="30"/>
    <n v="15"/>
    <n v="891.51"/>
    <s v="Delivered"/>
    <n v="27"/>
  </r>
  <r>
    <x v="94"/>
    <x v="13"/>
    <x v="0"/>
    <x v="11"/>
    <s v="Cust_94"/>
    <x v="0"/>
    <x v="1"/>
    <x v="1"/>
    <n v="427025"/>
    <x v="2"/>
    <s v="SKU94"/>
    <s v="Product_94"/>
    <s v="Essentials"/>
    <n v="10"/>
    <n v="3"/>
    <n v="104.2"/>
    <n v="15.63"/>
    <n v="296.97000000000003"/>
    <n v="14.85"/>
    <n v="10"/>
    <n v="5"/>
    <n v="326.82000000000011"/>
    <s v="Delivered"/>
    <n v="20"/>
  </r>
  <r>
    <x v="95"/>
    <x v="40"/>
    <x v="1"/>
    <x v="27"/>
    <s v="Cust_95"/>
    <x v="2"/>
    <x v="4"/>
    <x v="1"/>
    <n v="649114"/>
    <x v="5"/>
    <s v="SKU95"/>
    <s v="Product_95"/>
    <s v="DIARY"/>
    <n v="5"/>
    <n v="2"/>
    <n v="50.5"/>
    <n v="0"/>
    <n v="101"/>
    <n v="5.05"/>
    <n v="20"/>
    <n v="0"/>
    <n v="126.05"/>
    <s v="Delivered"/>
    <n v="18"/>
  </r>
  <r>
    <x v="96"/>
    <x v="50"/>
    <x v="1"/>
    <x v="30"/>
    <s v="Cust_96"/>
    <x v="0"/>
    <x v="5"/>
    <x v="1"/>
    <n v="920094"/>
    <x v="0"/>
    <s v="SKU96"/>
    <s v="Product_96"/>
    <s v="Baby"/>
    <n v="4"/>
    <n v="1"/>
    <n v="67.42"/>
    <n v="3.37"/>
    <n v="64.05"/>
    <n v="3.2"/>
    <n v="10"/>
    <n v="5"/>
    <n v="82.25"/>
    <s v="Delivered"/>
    <n v="25"/>
  </r>
  <r>
    <x v="97"/>
    <x v="51"/>
    <x v="0"/>
    <x v="28"/>
    <s v="Cust_97"/>
    <x v="0"/>
    <x v="5"/>
    <x v="1"/>
    <n v="172715"/>
    <x v="0"/>
    <s v="SKU97"/>
    <s v="Product_97"/>
    <s v="Frozen"/>
    <n v="6"/>
    <n v="1"/>
    <n v="53.56"/>
    <n v="0"/>
    <n v="53.56"/>
    <n v="2.68"/>
    <n v="20"/>
    <n v="5"/>
    <n v="81.240000000000009"/>
    <s v="Delivered"/>
    <n v="42"/>
  </r>
  <r>
    <x v="98"/>
    <x v="3"/>
    <x v="1"/>
    <x v="3"/>
    <s v="Cust_98"/>
    <x v="0"/>
    <x v="5"/>
    <x v="1"/>
    <n v="183186"/>
    <x v="0"/>
    <s v="SKU98"/>
    <s v="Product_98"/>
    <s v="bevrage"/>
    <n v="7"/>
    <n v="4"/>
    <n v="141.11000000000001"/>
    <n v="7.06"/>
    <n v="557.38000000000011"/>
    <n v="27.87"/>
    <n v="10"/>
    <n v="10"/>
    <n v="605.25000000000011"/>
    <s v="Delivered"/>
    <n v="26"/>
  </r>
  <r>
    <x v="99"/>
    <x v="5"/>
    <x v="1"/>
    <x v="0"/>
    <s v="Cust_99"/>
    <x v="2"/>
    <x v="4"/>
    <x v="1"/>
    <n v="320971"/>
    <x v="0"/>
    <s v="SKU99"/>
    <s v="Product_99"/>
    <s v="Beverages"/>
    <n v="9"/>
    <n v="3"/>
    <n v="172.82"/>
    <n v="17.28"/>
    <n v="501.18000000000012"/>
    <n v="25.06"/>
    <n v="30"/>
    <n v="20"/>
    <n v="576.24"/>
    <s v="Delivered"/>
    <n v="25"/>
  </r>
  <r>
    <x v="100"/>
    <x v="40"/>
    <x v="1"/>
    <x v="27"/>
    <s v="Cust_100"/>
    <x v="0"/>
    <x v="2"/>
    <x v="1"/>
    <n v="268484"/>
    <x v="0"/>
    <s v="SKU100"/>
    <s v="Product_100"/>
    <s v="Frozen"/>
    <n v="6"/>
    <n v="1"/>
    <n v="195.91"/>
    <n v="29.39"/>
    <n v="166.52"/>
    <n v="8.33"/>
    <n v="20"/>
    <n v="15"/>
    <n v="209.85"/>
    <s v="Failed"/>
    <n v="25"/>
  </r>
  <r>
    <x v="101"/>
    <x v="9"/>
    <x v="1"/>
    <x v="7"/>
    <s v="Cust_101"/>
    <x v="0"/>
    <x v="1"/>
    <x v="1"/>
    <n v="538716"/>
    <x v="5"/>
    <s v="SKU101"/>
    <s v="Product_101"/>
    <s v="Beverages"/>
    <n v="9"/>
    <n v="4"/>
    <n v="246.95"/>
    <n v="0"/>
    <n v="987.8"/>
    <n v="49.39"/>
    <n v="20"/>
    <n v="5"/>
    <n v="1062.19"/>
    <s v="Delivered"/>
    <n v="22"/>
  </r>
  <r>
    <x v="102"/>
    <x v="21"/>
    <x v="2"/>
    <x v="18"/>
    <s v="Cust_102"/>
    <x v="0"/>
    <x v="5"/>
    <x v="1"/>
    <n v="331447"/>
    <x v="0"/>
    <s v="SKU102"/>
    <s v="Product_102"/>
    <s v="Veg"/>
    <n v="3"/>
    <n v="5"/>
    <n v="131.86000000000001"/>
    <n v="6.59"/>
    <n v="652.71"/>
    <n v="32.64"/>
    <n v="0"/>
    <n v="15"/>
    <n v="700.35"/>
    <s v="Cancelled"/>
    <n v="25"/>
  </r>
  <r>
    <x v="103"/>
    <x v="34"/>
    <x v="0"/>
    <x v="24"/>
    <s v="Cust_103"/>
    <x v="0"/>
    <x v="1"/>
    <x v="1"/>
    <n v="726045"/>
    <x v="6"/>
    <s v="SKU103"/>
    <s v="Product_103"/>
    <s v="Beverages"/>
    <n v="9"/>
    <n v="3"/>
    <n v="250.95"/>
    <n v="25.09"/>
    <n v="727.75999999999988"/>
    <n v="36.39"/>
    <n v="20"/>
    <n v="5"/>
    <n v="789.14999999999986"/>
    <s v="Delivered"/>
    <n v="41"/>
  </r>
  <r>
    <x v="104"/>
    <x v="14"/>
    <x v="0"/>
    <x v="12"/>
    <s v="Cust_104"/>
    <x v="0"/>
    <x v="3"/>
    <x v="1"/>
    <n v="667873"/>
    <x v="0"/>
    <s v="SKU104"/>
    <s v="Product_104"/>
    <s v="bevrage"/>
    <n v="7"/>
    <n v="2"/>
    <n v="80.91"/>
    <n v="4.05"/>
    <n v="157.77000000000001"/>
    <n v="7.89"/>
    <n v="0"/>
    <n v="15"/>
    <n v="180.66"/>
    <s v="Delivered"/>
    <n v="20"/>
  </r>
  <r>
    <x v="105"/>
    <x v="6"/>
    <x v="1"/>
    <x v="1"/>
    <s v="Cust_105"/>
    <x v="0"/>
    <x v="3"/>
    <x v="1"/>
    <n v="915858"/>
    <x v="4"/>
    <s v="SKU105"/>
    <s v="Product_105"/>
    <s v="Frozen"/>
    <n v="6"/>
    <n v="1"/>
    <n v="88.24"/>
    <n v="8.82"/>
    <n v="79.419999999999987"/>
    <n v="3.97"/>
    <n v="0"/>
    <n v="5"/>
    <n v="88.389999999999986"/>
    <s v="Delivered"/>
    <n v="19"/>
  </r>
  <r>
    <x v="106"/>
    <x v="30"/>
    <x v="1"/>
    <x v="22"/>
    <s v="Cust_106"/>
    <x v="0"/>
    <x v="5"/>
    <x v="1"/>
    <n v="360116"/>
    <x v="0"/>
    <s v="SKU106"/>
    <s v="Product_106"/>
    <s v="Fruits"/>
    <n v="6"/>
    <n v="2"/>
    <n v="223.65"/>
    <n v="33.549999999999997"/>
    <n v="413.75"/>
    <n v="20.69"/>
    <n v="0"/>
    <n v="15"/>
    <n v="449.44"/>
    <s v="Cancelled"/>
    <n v="25"/>
  </r>
  <r>
    <x v="107"/>
    <x v="52"/>
    <x v="0"/>
    <x v="27"/>
    <s v="Cust_107"/>
    <x v="0"/>
    <x v="1"/>
    <x v="1"/>
    <n v="257795"/>
    <x v="2"/>
    <s v="SKU107"/>
    <s v="Product_107"/>
    <s v="Frozen"/>
    <n v="6"/>
    <n v="3"/>
    <n v="52.33"/>
    <n v="7.85"/>
    <n v="149.13999999999999"/>
    <n v="7.46"/>
    <n v="20"/>
    <n v="0"/>
    <n v="176.6"/>
    <s v="Delivered"/>
    <n v="30"/>
  </r>
  <r>
    <x v="108"/>
    <x v="38"/>
    <x v="1"/>
    <x v="20"/>
    <s v="Cust_108"/>
    <x v="0"/>
    <x v="3"/>
    <x v="1"/>
    <n v="722605"/>
    <x v="6"/>
    <s v="SKU108"/>
    <s v="Product_108"/>
    <s v="Beverages"/>
    <n v="9"/>
    <n v="2"/>
    <n v="19.88"/>
    <n v="2.98"/>
    <n v="36.78"/>
    <n v="1.84"/>
    <n v="0"/>
    <n v="5"/>
    <n v="43.62"/>
    <s v="Delivered"/>
    <n v="24"/>
  </r>
  <r>
    <x v="109"/>
    <x v="31"/>
    <x v="0"/>
    <x v="22"/>
    <s v="Cust_109"/>
    <x v="0"/>
    <x v="0"/>
    <x v="1"/>
    <n v="300422"/>
    <x v="1"/>
    <s v="SKU109"/>
    <s v="Product_109"/>
    <s v="Veg"/>
    <n v="3"/>
    <n v="4"/>
    <n v="8.14"/>
    <n v="1.22"/>
    <n v="31.34"/>
    <n v="1.57"/>
    <n v="20"/>
    <n v="15"/>
    <n v="67.91"/>
    <s v="Delivered"/>
    <n v="15"/>
  </r>
  <r>
    <x v="110"/>
    <x v="12"/>
    <x v="0"/>
    <x v="10"/>
    <s v="Cust_110"/>
    <x v="0"/>
    <x v="0"/>
    <x v="2"/>
    <n v="244832"/>
    <x v="5"/>
    <s v="SKU110"/>
    <s v="Product_110"/>
    <s v="Baby"/>
    <n v="4"/>
    <n v="3"/>
    <n v="182.83"/>
    <n v="27.42"/>
    <n v="521.07000000000005"/>
    <n v="26.05"/>
    <n v="20"/>
    <n v="0"/>
    <n v="567.12"/>
    <s v="Delivered"/>
    <n v="24"/>
  </r>
  <r>
    <x v="111"/>
    <x v="11"/>
    <x v="1"/>
    <x v="9"/>
    <s v="Cust_111"/>
    <x v="0"/>
    <x v="1"/>
    <x v="2"/>
    <n v="857038"/>
    <x v="0"/>
    <s v="SKU111"/>
    <s v="Product_111"/>
    <s v="FRUITS "/>
    <n v="7"/>
    <n v="2"/>
    <n v="199.02"/>
    <n v="19.899999999999999"/>
    <n v="378.14"/>
    <n v="18.91"/>
    <n v="30"/>
    <n v="20"/>
    <n v="447.05000000000013"/>
    <s v="Delivered"/>
    <n v="29"/>
  </r>
  <r>
    <x v="112"/>
    <x v="42"/>
    <x v="1"/>
    <x v="24"/>
    <s v="Cust_112"/>
    <x v="2"/>
    <x v="4"/>
    <x v="2"/>
    <n v="482729"/>
    <x v="0"/>
    <s v="SKU112"/>
    <s v="Product_112"/>
    <s v="Baby"/>
    <n v="4"/>
    <n v="4"/>
    <n v="130.76"/>
    <n v="19.61"/>
    <n v="503.42999999999989"/>
    <n v="25.17"/>
    <n v="30"/>
    <n v="0"/>
    <n v="558.59999999999991"/>
    <s v="Delivered"/>
    <n v="18"/>
  </r>
  <r>
    <x v="113"/>
    <x v="24"/>
    <x v="1"/>
    <x v="19"/>
    <s v="Cust_113"/>
    <x v="2"/>
    <x v="4"/>
    <x v="2"/>
    <n v="869299"/>
    <x v="2"/>
    <s v="SKU113"/>
    <s v="Product_113"/>
    <s v="Fruits"/>
    <n v="6"/>
    <n v="1"/>
    <n v="82.47"/>
    <n v="8.25"/>
    <n v="74.22"/>
    <n v="3.71"/>
    <n v="0"/>
    <n v="10"/>
    <n v="87.929999999999993"/>
    <s v="Delivered"/>
    <n v="28"/>
  </r>
  <r>
    <x v="114"/>
    <x v="21"/>
    <x v="2"/>
    <x v="18"/>
    <s v="Cust_114"/>
    <x v="0"/>
    <x v="0"/>
    <x v="2"/>
    <n v="316184"/>
    <x v="1"/>
    <s v="SKU114"/>
    <s v="Product_114"/>
    <s v="snaks"/>
    <n v="5"/>
    <n v="3"/>
    <n v="102.51"/>
    <n v="0"/>
    <n v="307.52999999999997"/>
    <n v="15.38"/>
    <n v="20"/>
    <n v="20"/>
    <n v="362.91"/>
    <s v="Delivered"/>
    <n v="30"/>
  </r>
  <r>
    <x v="115"/>
    <x v="21"/>
    <x v="2"/>
    <x v="18"/>
    <s v="Cust_115"/>
    <x v="0"/>
    <x v="3"/>
    <x v="2"/>
    <n v="192324"/>
    <x v="0"/>
    <s v="SKU115"/>
    <s v="Product_115"/>
    <s v="Frozen"/>
    <n v="6"/>
    <n v="2"/>
    <n v="14.07"/>
    <n v="0.7"/>
    <n v="27.44"/>
    <n v="1.37"/>
    <n v="30"/>
    <n v="10"/>
    <n v="68.81"/>
    <s v="Delivered"/>
    <n v="27"/>
  </r>
  <r>
    <x v="116"/>
    <x v="21"/>
    <x v="2"/>
    <x v="18"/>
    <s v="Cust_116"/>
    <x v="0"/>
    <x v="5"/>
    <x v="2"/>
    <n v="741179"/>
    <x v="0"/>
    <s v="SKU116"/>
    <s v="Product_116"/>
    <s v="Beverages"/>
    <n v="9"/>
    <n v="2"/>
    <n v="52.82"/>
    <n v="0"/>
    <n v="105.64"/>
    <n v="5.28"/>
    <n v="10"/>
    <n v="20"/>
    <n v="140.91999999999999"/>
    <s v="Delivered"/>
    <n v="33"/>
  </r>
  <r>
    <x v="117"/>
    <x v="52"/>
    <x v="0"/>
    <x v="27"/>
    <s v="Cust_117"/>
    <x v="0"/>
    <x v="5"/>
    <x v="2"/>
    <n v="543324"/>
    <x v="5"/>
    <s v="SKU117"/>
    <s v="Product_117"/>
    <s v="Bakery"/>
    <n v="6"/>
    <n v="1"/>
    <n v="91.94"/>
    <n v="13.79"/>
    <n v="78.150000000000006"/>
    <n v="3.91"/>
    <n v="20"/>
    <n v="10"/>
    <n v="112.06"/>
    <s v="Delivered"/>
    <n v="28"/>
  </r>
  <r>
    <x v="118"/>
    <x v="53"/>
    <x v="0"/>
    <x v="29"/>
    <s v="Cust_118"/>
    <x v="0"/>
    <x v="0"/>
    <x v="2"/>
    <n v="260928"/>
    <x v="1"/>
    <s v="SKU118"/>
    <s v="Product_118"/>
    <s v="Other"/>
    <n v="5"/>
    <n v="3"/>
    <n v="102.03"/>
    <n v="15.3"/>
    <n v="290.79000000000002"/>
    <n v="14.54"/>
    <n v="0"/>
    <n v="0"/>
    <n v="305.33"/>
    <s v="Delivered"/>
    <n v="25"/>
  </r>
  <r>
    <x v="119"/>
    <x v="2"/>
    <x v="1"/>
    <x v="2"/>
    <s v="Cust_119"/>
    <x v="2"/>
    <x v="4"/>
    <x v="2"/>
    <n v="796595"/>
    <x v="2"/>
    <s v="SKU119"/>
    <s v="Product_119"/>
    <s v="Beverages"/>
    <n v="9"/>
    <n v="1"/>
    <n v="66.78"/>
    <n v="3.34"/>
    <n v="63.44"/>
    <n v="3.17"/>
    <n v="20"/>
    <n v="10"/>
    <n v="96.61"/>
    <s v="Delivered"/>
    <n v="29"/>
  </r>
  <r>
    <x v="120"/>
    <x v="3"/>
    <x v="1"/>
    <x v="3"/>
    <s v="Cust_120"/>
    <x v="0"/>
    <x v="2"/>
    <x v="2"/>
    <n v="633398"/>
    <x v="6"/>
    <s v="SKU120"/>
    <s v="Product_120"/>
    <s v="Frozen"/>
    <n v="6"/>
    <n v="4"/>
    <n v="126.91"/>
    <n v="0"/>
    <n v="507.64"/>
    <n v="25.38"/>
    <n v="30"/>
    <n v="20"/>
    <n v="583.02"/>
    <s v="Delivered"/>
    <n v="21"/>
  </r>
  <r>
    <x v="121"/>
    <x v="52"/>
    <x v="0"/>
    <x v="27"/>
    <s v="Cust_121"/>
    <x v="0"/>
    <x v="3"/>
    <x v="2"/>
    <n v="728349"/>
    <x v="0"/>
    <s v="SKU121"/>
    <s v="Product_121"/>
    <s v="Fruits"/>
    <n v="6"/>
    <n v="2"/>
    <n v="21.8"/>
    <n v="0"/>
    <n v="43.6"/>
    <n v="2.1800000000000002"/>
    <n v="20"/>
    <n v="10"/>
    <n v="75.78"/>
    <s v="Failed"/>
    <n v="25"/>
  </r>
  <r>
    <x v="122"/>
    <x v="54"/>
    <x v="1"/>
    <x v="18"/>
    <s v="Cust_122"/>
    <x v="0"/>
    <x v="5"/>
    <x v="2"/>
    <n v="601076"/>
    <x v="0"/>
    <s v="SKU122"/>
    <s v="Product_122"/>
    <s v="FRUITS "/>
    <n v="7"/>
    <n v="5"/>
    <n v="162.43"/>
    <n v="24.36"/>
    <n v="787.79000000000008"/>
    <n v="39.39"/>
    <n v="0"/>
    <n v="5"/>
    <n v="832.18000000000006"/>
    <s v="Delivered"/>
    <n v="34"/>
  </r>
  <r>
    <x v="123"/>
    <x v="24"/>
    <x v="1"/>
    <x v="19"/>
    <s v="Cust_123"/>
    <x v="2"/>
    <x v="4"/>
    <x v="2"/>
    <n v="900101"/>
    <x v="0"/>
    <s v="SKU123"/>
    <s v="Product_123"/>
    <s v="Other"/>
    <n v="5"/>
    <n v="3"/>
    <n v="185.37"/>
    <n v="0"/>
    <n v="556.11"/>
    <n v="27.81"/>
    <n v="30"/>
    <n v="5"/>
    <n v="618.91999999999996"/>
    <s v="Failed"/>
    <n v="25"/>
  </r>
  <r>
    <x v="124"/>
    <x v="36"/>
    <x v="1"/>
    <x v="17"/>
    <s v="Cust_124"/>
    <x v="1"/>
    <x v="4"/>
    <x v="2"/>
    <n v="128625"/>
    <x v="0"/>
    <s v="SKU124"/>
    <s v="Product_124"/>
    <s v="Other"/>
    <n v="5"/>
    <n v="2"/>
    <n v="92.94"/>
    <n v="9.2899999999999991"/>
    <n v="176.59"/>
    <n v="8.83"/>
    <n v="20"/>
    <n v="20"/>
    <n v="225.42"/>
    <s v="Delivered"/>
    <n v="32"/>
  </r>
  <r>
    <x v="125"/>
    <x v="37"/>
    <x v="1"/>
    <x v="12"/>
    <s v="Cust_125"/>
    <x v="2"/>
    <x v="4"/>
    <x v="2"/>
    <n v="996880"/>
    <x v="1"/>
    <s v="SKU125"/>
    <s v="Product_125"/>
    <s v="Bakery"/>
    <n v="6"/>
    <n v="2"/>
    <n v="84.67"/>
    <n v="0"/>
    <n v="169.34"/>
    <n v="8.4700000000000006"/>
    <n v="20"/>
    <n v="20"/>
    <n v="217.81"/>
    <s v="Delivered"/>
    <n v="25"/>
  </r>
  <r>
    <x v="126"/>
    <x v="11"/>
    <x v="1"/>
    <x v="9"/>
    <s v="Cust_126"/>
    <x v="0"/>
    <x v="5"/>
    <x v="2"/>
    <n v="894557"/>
    <x v="0"/>
    <s v="SKU126"/>
    <s v="Product_126"/>
    <s v="Frozen"/>
    <n v="6"/>
    <n v="4"/>
    <n v="140.79"/>
    <n v="7.04"/>
    <n v="556.12"/>
    <n v="27.81"/>
    <n v="0"/>
    <n v="15"/>
    <n v="598.92999999999995"/>
    <s v="Delivered"/>
    <n v="26"/>
  </r>
  <r>
    <x v="127"/>
    <x v="54"/>
    <x v="1"/>
    <x v="18"/>
    <s v="Cust_127"/>
    <x v="0"/>
    <x v="0"/>
    <x v="2"/>
    <n v="742804"/>
    <x v="5"/>
    <s v="SKU127"/>
    <s v="Product_127"/>
    <s v="Frozen"/>
    <n v="6"/>
    <n v="1"/>
    <n v="67.73"/>
    <n v="6.77"/>
    <n v="60.960000000000008"/>
    <n v="3.05"/>
    <n v="20"/>
    <n v="15"/>
    <n v="99.01"/>
    <s v="Delivered"/>
    <n v="29"/>
  </r>
  <r>
    <x v="128"/>
    <x v="18"/>
    <x v="0"/>
    <x v="15"/>
    <s v="Cust_128"/>
    <x v="0"/>
    <x v="5"/>
    <x v="2"/>
    <n v="619777"/>
    <x v="0"/>
    <s v="SKU128"/>
    <s v="Product_128"/>
    <s v="Snacks"/>
    <n v="6"/>
    <n v="5"/>
    <n v="57.61"/>
    <n v="8.64"/>
    <n v="279.41000000000003"/>
    <n v="13.97"/>
    <n v="20"/>
    <n v="20"/>
    <n v="333.38000000000011"/>
    <s v="Delivered"/>
    <n v="17"/>
  </r>
  <r>
    <x v="129"/>
    <x v="5"/>
    <x v="1"/>
    <x v="0"/>
    <s v="Cust_129"/>
    <x v="0"/>
    <x v="3"/>
    <x v="2"/>
    <n v="983084"/>
    <x v="0"/>
    <s v="SKU129"/>
    <s v="Product_129"/>
    <s v="Other"/>
    <n v="5"/>
    <n v="4"/>
    <n v="136.59"/>
    <n v="13.66"/>
    <n v="532.70000000000005"/>
    <n v="26.64"/>
    <n v="10"/>
    <n v="20"/>
    <n v="589.34"/>
    <s v="Delivered"/>
    <n v="18"/>
  </r>
  <r>
    <x v="130"/>
    <x v="11"/>
    <x v="1"/>
    <x v="9"/>
    <s v="Cust_130"/>
    <x v="0"/>
    <x v="1"/>
    <x v="2"/>
    <n v="890144"/>
    <x v="3"/>
    <s v="SKU130"/>
    <s v="Product_130"/>
    <s v="bevrage"/>
    <n v="7"/>
    <n v="2"/>
    <n v="133.05000000000001"/>
    <n v="6.65"/>
    <n v="259.45"/>
    <n v="12.97"/>
    <n v="10"/>
    <n v="5"/>
    <n v="287.42000000000007"/>
    <s v="Delivered"/>
    <n v="23"/>
  </r>
  <r>
    <x v="131"/>
    <x v="10"/>
    <x v="1"/>
    <x v="8"/>
    <s v="Cust_131"/>
    <x v="0"/>
    <x v="5"/>
    <x v="2"/>
    <n v="858470"/>
    <x v="6"/>
    <s v="SKU131"/>
    <s v="Product_131"/>
    <s v="Beverages"/>
    <n v="9"/>
    <n v="2"/>
    <n v="177.78"/>
    <n v="0"/>
    <n v="355.56"/>
    <n v="17.78"/>
    <n v="20"/>
    <n v="15"/>
    <n v="408.34"/>
    <s v="Delivered"/>
    <n v="28"/>
  </r>
  <r>
    <x v="132"/>
    <x v="32"/>
    <x v="0"/>
    <x v="23"/>
    <s v="Cust_132"/>
    <x v="0"/>
    <x v="2"/>
    <x v="2"/>
    <n v="990328"/>
    <x v="0"/>
    <s v="SKU132"/>
    <s v="Product_132"/>
    <s v="Beverages"/>
    <n v="9"/>
    <n v="5"/>
    <n v="191.22"/>
    <n v="9.56"/>
    <n v="946.54000000000008"/>
    <n v="47.33"/>
    <n v="20"/>
    <n v="15"/>
    <n v="1028.8699999999999"/>
    <s v="Delivered"/>
    <n v="33"/>
  </r>
  <r>
    <x v="133"/>
    <x v="45"/>
    <x v="1"/>
    <x v="28"/>
    <s v="Cust_133"/>
    <x v="0"/>
    <x v="0"/>
    <x v="2"/>
    <n v="553449"/>
    <x v="0"/>
    <s v="SKU133"/>
    <s v="Product_133"/>
    <s v="Veg"/>
    <n v="3"/>
    <n v="6"/>
    <n v="180.31"/>
    <n v="18.03"/>
    <n v="1063.83"/>
    <n v="53.19"/>
    <n v="30"/>
    <n v="0"/>
    <n v="1147.02"/>
    <s v="Delivered"/>
    <n v="22"/>
  </r>
  <r>
    <x v="134"/>
    <x v="5"/>
    <x v="1"/>
    <x v="0"/>
    <s v="Cust_134"/>
    <x v="0"/>
    <x v="1"/>
    <x v="2"/>
    <n v="325049"/>
    <x v="2"/>
    <s v="SKU134"/>
    <s v="Product_134"/>
    <s v="Frozen"/>
    <n v="6"/>
    <n v="6"/>
    <n v="147.21"/>
    <n v="22.08"/>
    <n v="861.18"/>
    <n v="43.06"/>
    <n v="20"/>
    <n v="5"/>
    <n v="929.24"/>
    <s v="Cancelled"/>
    <n v="25"/>
  </r>
  <r>
    <x v="135"/>
    <x v="44"/>
    <x v="0"/>
    <x v="26"/>
    <s v="Cust_135"/>
    <x v="0"/>
    <x v="2"/>
    <x v="2"/>
    <n v="312781"/>
    <x v="4"/>
    <s v="SKU135"/>
    <s v="Product_135"/>
    <s v="Baby"/>
    <n v="4"/>
    <n v="1"/>
    <n v="63.98"/>
    <n v="6.4"/>
    <n v="57.58"/>
    <n v="2.88"/>
    <n v="0"/>
    <n v="5"/>
    <n v="65.460000000000008"/>
    <s v="Delivered"/>
    <n v="34"/>
  </r>
  <r>
    <x v="136"/>
    <x v="44"/>
    <x v="0"/>
    <x v="26"/>
    <s v="Cust_136"/>
    <x v="0"/>
    <x v="3"/>
    <x v="2"/>
    <n v="923346"/>
    <x v="4"/>
    <s v="SKU136"/>
    <s v="Product_136"/>
    <s v="Beverages"/>
    <n v="9"/>
    <n v="2"/>
    <n v="102.15"/>
    <n v="10.220000000000001"/>
    <n v="194.08"/>
    <n v="9.6999999999999993"/>
    <n v="10"/>
    <n v="5"/>
    <n v="218.78"/>
    <s v="Delivered"/>
    <n v="38"/>
  </r>
  <r>
    <x v="137"/>
    <x v="22"/>
    <x v="0"/>
    <x v="14"/>
    <s v="Cust_137"/>
    <x v="0"/>
    <x v="2"/>
    <x v="2"/>
    <n v="848013"/>
    <x v="0"/>
    <s v="SKU137"/>
    <s v="Product_137"/>
    <s v="FRUITS "/>
    <n v="7"/>
    <n v="3"/>
    <n v="58.28"/>
    <n v="2.91"/>
    <n v="171.93"/>
    <n v="8.6"/>
    <n v="20"/>
    <n v="0"/>
    <n v="200.53"/>
    <s v="Delivered"/>
    <n v="36"/>
  </r>
  <r>
    <x v="138"/>
    <x v="27"/>
    <x v="0"/>
    <x v="21"/>
    <s v="Cust_138"/>
    <x v="2"/>
    <x v="4"/>
    <x v="2"/>
    <n v="621863"/>
    <x v="0"/>
    <s v="SKU138"/>
    <s v="Product_138"/>
    <s v="bevrage"/>
    <n v="7"/>
    <n v="1"/>
    <n v="1.17"/>
    <n v="0"/>
    <n v="1.17"/>
    <n v="0.06"/>
    <n v="0"/>
    <n v="0"/>
    <n v="1.23"/>
    <s v="Delivered"/>
    <n v="35"/>
  </r>
  <r>
    <x v="139"/>
    <x v="55"/>
    <x v="1"/>
    <x v="11"/>
    <s v="Cust_139"/>
    <x v="0"/>
    <x v="2"/>
    <x v="2"/>
    <n v="855801"/>
    <x v="0"/>
    <s v="SKU139"/>
    <s v="Product_139"/>
    <s v="Fruits"/>
    <n v="6"/>
    <n v="5"/>
    <n v="254.77"/>
    <n v="12.74"/>
    <n v="1261.1099999999999"/>
    <n v="63.06"/>
    <n v="20"/>
    <n v="20"/>
    <n v="1364.17"/>
    <s v="Delivered"/>
    <n v="41"/>
  </r>
  <r>
    <x v="140"/>
    <x v="28"/>
    <x v="0"/>
    <x v="8"/>
    <s v="Cust_140"/>
    <x v="1"/>
    <x v="4"/>
    <x v="2"/>
    <n v="275211"/>
    <x v="1"/>
    <s v="SKU140"/>
    <s v="Product_140"/>
    <s v="Other"/>
    <n v="5"/>
    <n v="5"/>
    <n v="120.17"/>
    <n v="6.01"/>
    <n v="594.84"/>
    <n v="29.74"/>
    <n v="10"/>
    <n v="15"/>
    <n v="649.58000000000004"/>
    <s v="Delivered"/>
    <n v="41"/>
  </r>
  <r>
    <x v="141"/>
    <x v="0"/>
    <x v="0"/>
    <x v="0"/>
    <s v="Cust_141"/>
    <x v="0"/>
    <x v="1"/>
    <x v="2"/>
    <n v="829532"/>
    <x v="3"/>
    <s v="SKU141"/>
    <s v="Product_141"/>
    <s v="snaks"/>
    <n v="5"/>
    <n v="1"/>
    <n v="130.26"/>
    <n v="6.51"/>
    <n v="123.75"/>
    <n v="6.19"/>
    <n v="10"/>
    <n v="0"/>
    <n v="139.94"/>
    <s v="Delivered"/>
    <n v="38"/>
  </r>
  <r>
    <x v="142"/>
    <x v="7"/>
    <x v="0"/>
    <x v="5"/>
    <s v="Cust_142"/>
    <x v="0"/>
    <x v="1"/>
    <x v="2"/>
    <n v="957463"/>
    <x v="0"/>
    <s v="SKU142"/>
    <s v="Product_142"/>
    <s v="Veg"/>
    <n v="3"/>
    <n v="4"/>
    <n v="104.84"/>
    <n v="5.24"/>
    <n v="414.12"/>
    <n v="20.71"/>
    <n v="20"/>
    <n v="10"/>
    <n v="464.83"/>
    <s v="Delivered"/>
    <n v="28"/>
  </r>
  <r>
    <x v="143"/>
    <x v="53"/>
    <x v="0"/>
    <x v="29"/>
    <s v="Cust_143"/>
    <x v="0"/>
    <x v="3"/>
    <x v="2"/>
    <n v="844149"/>
    <x v="1"/>
    <s v="SKU143"/>
    <s v="Product_143"/>
    <s v="Essentials"/>
    <n v="10"/>
    <n v="1"/>
    <n v="103.16"/>
    <n v="10.32"/>
    <n v="92.84"/>
    <n v="4.6399999999999997"/>
    <n v="0"/>
    <n v="0"/>
    <n v="97.48"/>
    <s v="Delivered"/>
    <n v="29"/>
  </r>
  <r>
    <x v="144"/>
    <x v="29"/>
    <x v="1"/>
    <x v="21"/>
    <s v="Cust_144"/>
    <x v="0"/>
    <x v="3"/>
    <x v="2"/>
    <n v="706217"/>
    <x v="3"/>
    <s v="SKU144"/>
    <s v="Product_144"/>
    <s v="Beverages"/>
    <n v="9"/>
    <n v="7"/>
    <n v="178.25"/>
    <n v="17.82"/>
    <n v="1229.93"/>
    <n v="61.5"/>
    <n v="10"/>
    <n v="5"/>
    <n v="1306.43"/>
    <s v="Delivered"/>
    <n v="18"/>
  </r>
  <r>
    <x v="145"/>
    <x v="36"/>
    <x v="1"/>
    <x v="17"/>
    <s v="Cust_145"/>
    <x v="0"/>
    <x v="2"/>
    <x v="2"/>
    <n v="332601"/>
    <x v="6"/>
    <s v="SKU145"/>
    <s v="Product_145"/>
    <s v="snaks"/>
    <n v="5"/>
    <n v="4"/>
    <n v="25.77"/>
    <n v="2.58"/>
    <n v="100.5"/>
    <n v="5.03"/>
    <n v="20"/>
    <n v="10"/>
    <n v="135.53"/>
    <s v="Delivered"/>
    <n v="28"/>
  </r>
  <r>
    <x v="146"/>
    <x v="37"/>
    <x v="1"/>
    <x v="12"/>
    <s v="Cust_146"/>
    <x v="1"/>
    <x v="4"/>
    <x v="2"/>
    <n v="549042"/>
    <x v="1"/>
    <s v="SKU146"/>
    <s v="Product_146"/>
    <s v="Frozen"/>
    <n v="6"/>
    <n v="2"/>
    <n v="111.94"/>
    <n v="16.79"/>
    <n v="207.09"/>
    <n v="10.35"/>
    <n v="30"/>
    <n v="20"/>
    <n v="267.44"/>
    <s v="Delivered"/>
    <n v="23"/>
  </r>
  <r>
    <x v="147"/>
    <x v="5"/>
    <x v="1"/>
    <x v="0"/>
    <s v="Cust_147"/>
    <x v="0"/>
    <x v="1"/>
    <x v="2"/>
    <n v="561792"/>
    <x v="4"/>
    <s v="SKU147"/>
    <s v="Product_147"/>
    <s v="Baby"/>
    <n v="4"/>
    <n v="3"/>
    <n v="39.96"/>
    <n v="0"/>
    <n v="119.88"/>
    <n v="5.99"/>
    <n v="30"/>
    <n v="20"/>
    <n v="175.87"/>
    <s v="Delivered"/>
    <n v="34"/>
  </r>
  <r>
    <x v="148"/>
    <x v="23"/>
    <x v="1"/>
    <x v="4"/>
    <s v="Cust_148"/>
    <x v="0"/>
    <x v="1"/>
    <x v="2"/>
    <n v="346242"/>
    <x v="5"/>
    <s v="SKU148"/>
    <s v="Product_148"/>
    <s v="Essentials"/>
    <n v="10"/>
    <n v="1"/>
    <n v="203.84"/>
    <n v="20.38"/>
    <n v="183.46"/>
    <n v="9.17"/>
    <n v="20"/>
    <n v="10"/>
    <n v="222.63"/>
    <s v="Delivered"/>
    <n v="24"/>
  </r>
  <r>
    <x v="149"/>
    <x v="48"/>
    <x v="0"/>
    <x v="13"/>
    <s v="Cust_149"/>
    <x v="0"/>
    <x v="5"/>
    <x v="2"/>
    <n v="385855"/>
    <x v="0"/>
    <s v="SKU149"/>
    <s v="Product_149"/>
    <s v="Beverages"/>
    <n v="9"/>
    <n v="1"/>
    <n v="124.11"/>
    <n v="12.41"/>
    <n v="111.7"/>
    <n v="5.59"/>
    <n v="30"/>
    <n v="20"/>
    <n v="167.29"/>
    <s v="Delivered"/>
    <n v="37"/>
  </r>
  <r>
    <x v="150"/>
    <x v="22"/>
    <x v="0"/>
    <x v="14"/>
    <s v="Cust_150"/>
    <x v="0"/>
    <x v="3"/>
    <x v="2"/>
    <n v="551000"/>
    <x v="6"/>
    <s v="SKU150"/>
    <s v="Product_150"/>
    <s v="Frozen"/>
    <n v="6"/>
    <n v="3"/>
    <n v="199.52"/>
    <n v="0"/>
    <n v="598.56000000000006"/>
    <n v="29.93"/>
    <n v="10"/>
    <n v="15"/>
    <n v="653.49"/>
    <s v="Delivered"/>
    <n v="29"/>
  </r>
  <r>
    <x v="151"/>
    <x v="51"/>
    <x v="0"/>
    <x v="28"/>
    <s v="Cust_151"/>
    <x v="1"/>
    <x v="4"/>
    <x v="2"/>
    <n v="486601"/>
    <x v="6"/>
    <s v="SKU151"/>
    <s v="Product_151"/>
    <s v="FRUITS "/>
    <n v="7"/>
    <n v="2"/>
    <n v="55.11"/>
    <n v="8.27"/>
    <n v="101.95"/>
    <n v="5.0999999999999996"/>
    <n v="10"/>
    <n v="0"/>
    <n v="117.05"/>
    <s v="Delivered"/>
    <n v="22"/>
  </r>
  <r>
    <x v="152"/>
    <x v="33"/>
    <x v="0"/>
    <x v="9"/>
    <s v="Cust_152"/>
    <x v="0"/>
    <x v="0"/>
    <x v="2"/>
    <n v="942186"/>
    <x v="0"/>
    <s v="SKU152"/>
    <s v="Product_152"/>
    <s v="Baby"/>
    <n v="4"/>
    <n v="4"/>
    <n v="68.56"/>
    <n v="0"/>
    <n v="274.24"/>
    <n v="13.71"/>
    <n v="30"/>
    <n v="5"/>
    <n v="322.95"/>
    <s v="Delivered"/>
    <n v="14"/>
  </r>
  <r>
    <x v="153"/>
    <x v="9"/>
    <x v="1"/>
    <x v="7"/>
    <s v="Cust_153"/>
    <x v="2"/>
    <x v="4"/>
    <x v="2"/>
    <n v="216492"/>
    <x v="3"/>
    <s v="SKU153"/>
    <s v="Product_153"/>
    <s v="Fruits"/>
    <n v="6"/>
    <n v="3"/>
    <n v="173.54"/>
    <n v="26.03"/>
    <n v="494.59"/>
    <n v="24.73"/>
    <n v="10"/>
    <n v="15"/>
    <n v="544.32000000000005"/>
    <s v="Delivered"/>
    <n v="27"/>
  </r>
  <r>
    <x v="154"/>
    <x v="11"/>
    <x v="1"/>
    <x v="9"/>
    <s v="Cust_154"/>
    <x v="0"/>
    <x v="0"/>
    <x v="2"/>
    <n v="561227"/>
    <x v="4"/>
    <s v="SKU154"/>
    <s v="Product_154"/>
    <s v="Essentials"/>
    <n v="10"/>
    <n v="1"/>
    <n v="51.47"/>
    <n v="2.57"/>
    <n v="48.9"/>
    <n v="2.4500000000000002"/>
    <n v="0"/>
    <n v="0"/>
    <n v="51.35"/>
    <s v="Delivered"/>
    <n v="22"/>
  </r>
  <r>
    <x v="155"/>
    <x v="35"/>
    <x v="0"/>
    <x v="25"/>
    <s v="Cust_155"/>
    <x v="0"/>
    <x v="5"/>
    <x v="2"/>
    <n v="599499"/>
    <x v="6"/>
    <s v="SKU155"/>
    <s v="Product_155"/>
    <s v="Essentials"/>
    <n v="10"/>
    <n v="2"/>
    <n v="185.6"/>
    <n v="9.2799999999999994"/>
    <n v="361.92"/>
    <n v="18.100000000000001"/>
    <n v="30"/>
    <n v="20"/>
    <n v="430.02"/>
    <s v="Delivered"/>
    <n v="37"/>
  </r>
  <r>
    <x v="156"/>
    <x v="44"/>
    <x v="0"/>
    <x v="26"/>
    <s v="Cust_156"/>
    <x v="0"/>
    <x v="1"/>
    <x v="2"/>
    <n v="498465"/>
    <x v="0"/>
    <s v="SKU156"/>
    <s v="Product_156"/>
    <s v="FRUITS "/>
    <n v="7"/>
    <n v="6"/>
    <n v="40.409999999999997"/>
    <n v="0"/>
    <n v="242.46"/>
    <n v="12.12"/>
    <n v="30"/>
    <n v="10"/>
    <n v="294.58"/>
    <s v="Delivered"/>
    <n v="32"/>
  </r>
  <r>
    <x v="157"/>
    <x v="18"/>
    <x v="0"/>
    <x v="15"/>
    <s v="Cust_157"/>
    <x v="0"/>
    <x v="2"/>
    <x v="2"/>
    <n v="415507"/>
    <x v="0"/>
    <s v="SKU157"/>
    <s v="Product_157"/>
    <s v="bevrage"/>
    <n v="7"/>
    <n v="3"/>
    <n v="119.87"/>
    <n v="0"/>
    <n v="359.61"/>
    <n v="17.98"/>
    <n v="0"/>
    <n v="10"/>
    <n v="387.59"/>
    <s v="Delivered"/>
    <n v="41"/>
  </r>
  <r>
    <x v="158"/>
    <x v="14"/>
    <x v="0"/>
    <x v="12"/>
    <s v="Cust_158"/>
    <x v="0"/>
    <x v="3"/>
    <x v="2"/>
    <n v="142828"/>
    <x v="1"/>
    <s v="SKU158"/>
    <s v="Product_158"/>
    <s v="snaks"/>
    <n v="5"/>
    <n v="4"/>
    <n v="220.66"/>
    <n v="33.1"/>
    <n v="849.54"/>
    <n v="42.48"/>
    <n v="20"/>
    <n v="15"/>
    <n v="927.02"/>
    <s v="Delivered"/>
    <n v="19"/>
  </r>
  <r>
    <x v="159"/>
    <x v="16"/>
    <x v="1"/>
    <x v="10"/>
    <s v="Cust_159"/>
    <x v="0"/>
    <x v="0"/>
    <x v="2"/>
    <n v="886639"/>
    <x v="2"/>
    <s v="SKU159"/>
    <s v="Product_159"/>
    <s v="Frozen"/>
    <n v="6"/>
    <n v="3"/>
    <n v="87.95"/>
    <n v="8.7899999999999991"/>
    <n v="255.06"/>
    <n v="12.75"/>
    <n v="30"/>
    <n v="5"/>
    <n v="302.81000000000012"/>
    <s v="Delivered"/>
    <n v="26"/>
  </r>
  <r>
    <x v="160"/>
    <x v="26"/>
    <x v="1"/>
    <x v="5"/>
    <s v="Cust_160"/>
    <x v="0"/>
    <x v="0"/>
    <x v="2"/>
    <n v="601643"/>
    <x v="0"/>
    <s v="SKU160"/>
    <s v="Product_160"/>
    <s v="Essentials"/>
    <n v="10"/>
    <n v="3"/>
    <n v="168.57"/>
    <n v="16.86"/>
    <n v="488.85"/>
    <n v="24.44"/>
    <n v="10"/>
    <n v="20"/>
    <n v="543.29"/>
    <s v="Delivered"/>
    <n v="11"/>
  </r>
  <r>
    <x v="161"/>
    <x v="44"/>
    <x v="0"/>
    <x v="26"/>
    <s v="Cust_161"/>
    <x v="2"/>
    <x v="4"/>
    <x v="2"/>
    <n v="198540"/>
    <x v="0"/>
    <s v="SKU161"/>
    <s v="Product_161"/>
    <s v="Frozen"/>
    <n v="6"/>
    <n v="1"/>
    <n v="59.11"/>
    <n v="5.91"/>
    <n v="53.2"/>
    <n v="2.66"/>
    <n v="20"/>
    <n v="10"/>
    <n v="85.86"/>
    <s v="Delivered"/>
    <n v="36"/>
  </r>
  <r>
    <x v="162"/>
    <x v="54"/>
    <x v="1"/>
    <x v="18"/>
    <s v="Cust_162"/>
    <x v="0"/>
    <x v="3"/>
    <x v="2"/>
    <n v="156273"/>
    <x v="2"/>
    <s v="SKU162"/>
    <s v="Product_162"/>
    <s v="FRUITS "/>
    <n v="7"/>
    <n v="1"/>
    <n v="74.459999999999994"/>
    <n v="7.45"/>
    <n v="67.009999999999991"/>
    <n v="3.35"/>
    <n v="0"/>
    <n v="15"/>
    <n v="85.359999999999985"/>
    <s v="Delivered"/>
    <n v="25"/>
  </r>
  <r>
    <x v="163"/>
    <x v="44"/>
    <x v="0"/>
    <x v="26"/>
    <s v="Cust_163"/>
    <x v="1"/>
    <x v="4"/>
    <x v="2"/>
    <n v="110699"/>
    <x v="0"/>
    <s v="SKU163"/>
    <s v="Product_163"/>
    <s v="bevrage"/>
    <n v="7"/>
    <n v="3"/>
    <n v="26.65"/>
    <n v="4"/>
    <n v="75.949999999999989"/>
    <n v="3.8"/>
    <n v="10"/>
    <n v="10"/>
    <n v="99.749999999999986"/>
    <s v="Delivered"/>
    <n v="41"/>
  </r>
  <r>
    <x v="164"/>
    <x v="35"/>
    <x v="0"/>
    <x v="25"/>
    <s v="Cust_164"/>
    <x v="1"/>
    <x v="4"/>
    <x v="2"/>
    <n v="622988"/>
    <x v="5"/>
    <s v="SKU164"/>
    <s v="Product_164"/>
    <s v="bevrage"/>
    <n v="7"/>
    <n v="4"/>
    <n v="49.64"/>
    <n v="2.48"/>
    <n v="196.08"/>
    <n v="9.8000000000000007"/>
    <n v="20"/>
    <n v="0"/>
    <n v="225.88"/>
    <s v="Delivered"/>
    <n v="12"/>
  </r>
  <r>
    <x v="165"/>
    <x v="31"/>
    <x v="0"/>
    <x v="22"/>
    <s v="Cust_165"/>
    <x v="0"/>
    <x v="5"/>
    <x v="2"/>
    <n v="492136"/>
    <x v="6"/>
    <s v="SKU165"/>
    <s v="Product_165"/>
    <s v="Veg"/>
    <n v="3"/>
    <n v="6"/>
    <n v="145.13999999999999"/>
    <n v="7.26"/>
    <n v="863.57999999999993"/>
    <n v="43.18"/>
    <n v="10"/>
    <n v="20"/>
    <n v="936.75999999999988"/>
    <s v="Returned"/>
    <n v="25"/>
  </r>
  <r>
    <x v="166"/>
    <x v="40"/>
    <x v="1"/>
    <x v="27"/>
    <s v="Cust_166"/>
    <x v="1"/>
    <x v="4"/>
    <x v="2"/>
    <n v="333782"/>
    <x v="4"/>
    <s v="SKU166"/>
    <s v="Product_166"/>
    <s v="Other"/>
    <n v="5"/>
    <n v="3"/>
    <n v="79.150000000000006"/>
    <n v="7.92"/>
    <n v="229.53"/>
    <n v="11.48"/>
    <n v="30"/>
    <n v="5"/>
    <n v="276.01"/>
    <s v="Failed"/>
    <n v="25"/>
  </r>
  <r>
    <x v="167"/>
    <x v="15"/>
    <x v="1"/>
    <x v="13"/>
    <s v="Cust_167"/>
    <x v="0"/>
    <x v="2"/>
    <x v="2"/>
    <n v="826331"/>
    <x v="0"/>
    <s v="SKU167"/>
    <s v="Product_167"/>
    <s v="Beverages"/>
    <n v="9"/>
    <n v="5"/>
    <n v="161.66"/>
    <n v="8.08"/>
    <n v="800.21999999999991"/>
    <n v="40.01"/>
    <n v="30"/>
    <n v="10"/>
    <n v="880.2299999999999"/>
    <s v="Cancelled"/>
    <n v="25"/>
  </r>
  <r>
    <x v="168"/>
    <x v="54"/>
    <x v="1"/>
    <x v="18"/>
    <s v="Cust_168"/>
    <x v="0"/>
    <x v="0"/>
    <x v="2"/>
    <n v="187468"/>
    <x v="5"/>
    <s v="SKU168"/>
    <s v="Product_168"/>
    <s v="FRUITS "/>
    <n v="7"/>
    <n v="1"/>
    <n v="10.69"/>
    <n v="1.07"/>
    <n v="9.6199999999999992"/>
    <n v="0.48"/>
    <n v="20"/>
    <n v="10"/>
    <n v="40.1"/>
    <s v="Delivered"/>
    <n v="17"/>
  </r>
  <r>
    <x v="169"/>
    <x v="55"/>
    <x v="1"/>
    <x v="11"/>
    <s v="Cust_169"/>
    <x v="0"/>
    <x v="0"/>
    <x v="2"/>
    <n v="173861"/>
    <x v="0"/>
    <s v="SKU169"/>
    <s v="Product_169"/>
    <s v="DIARY"/>
    <n v="5"/>
    <n v="5"/>
    <n v="118.8"/>
    <n v="11.88"/>
    <n v="582.12"/>
    <n v="29.11"/>
    <n v="0"/>
    <n v="20"/>
    <n v="631.23"/>
    <s v="Delivered"/>
    <n v="28"/>
  </r>
  <r>
    <x v="170"/>
    <x v="42"/>
    <x v="1"/>
    <x v="24"/>
    <s v="Cust_170"/>
    <x v="0"/>
    <x v="2"/>
    <x v="2"/>
    <n v="893153"/>
    <x v="3"/>
    <s v="SKU170"/>
    <s v="Product_170"/>
    <s v="Veg"/>
    <n v="3"/>
    <n v="1"/>
    <n v="167.36"/>
    <n v="25.1"/>
    <n v="142.26"/>
    <n v="7.11"/>
    <n v="0"/>
    <n v="10"/>
    <n v="159.37"/>
    <s v="Delivered"/>
    <n v="48"/>
  </r>
  <r>
    <x v="171"/>
    <x v="33"/>
    <x v="0"/>
    <x v="9"/>
    <s v="Cust_171"/>
    <x v="0"/>
    <x v="5"/>
    <x v="2"/>
    <n v="204211"/>
    <x v="0"/>
    <s v="SKU171"/>
    <s v="Product_171"/>
    <s v="Frozen"/>
    <n v="6"/>
    <n v="3"/>
    <n v="145.51"/>
    <n v="0"/>
    <n v="436.53"/>
    <n v="21.83"/>
    <n v="20"/>
    <n v="10"/>
    <n v="488.36"/>
    <s v="Delivered"/>
    <n v="28"/>
  </r>
  <r>
    <x v="172"/>
    <x v="40"/>
    <x v="1"/>
    <x v="27"/>
    <s v="Cust_172"/>
    <x v="0"/>
    <x v="0"/>
    <x v="2"/>
    <n v="829182"/>
    <x v="3"/>
    <s v="SKU172"/>
    <s v="Product_172"/>
    <s v="bevrage"/>
    <n v="7"/>
    <n v="4"/>
    <n v="177.4"/>
    <n v="26.61"/>
    <n v="682.99"/>
    <n v="34.15"/>
    <n v="10"/>
    <n v="5"/>
    <n v="732.14"/>
    <s v="Delivered"/>
    <n v="22"/>
  </r>
  <r>
    <x v="173"/>
    <x v="0"/>
    <x v="0"/>
    <x v="0"/>
    <s v="Cust_173"/>
    <x v="0"/>
    <x v="2"/>
    <x v="2"/>
    <n v="245788"/>
    <x v="0"/>
    <s v="SKU173"/>
    <s v="Product_173"/>
    <s v="bevrage"/>
    <n v="7"/>
    <n v="2"/>
    <n v="77.739999999999995"/>
    <n v="0"/>
    <n v="155.47999999999999"/>
    <n v="7.77"/>
    <n v="30"/>
    <n v="10"/>
    <n v="203.25"/>
    <s v="Delivered"/>
    <n v="22"/>
  </r>
  <r>
    <x v="174"/>
    <x v="26"/>
    <x v="1"/>
    <x v="5"/>
    <s v="Cust_174"/>
    <x v="0"/>
    <x v="5"/>
    <x v="2"/>
    <n v="987700"/>
    <x v="2"/>
    <s v="SKU174"/>
    <s v="Product_174"/>
    <s v="bevrage"/>
    <n v="7"/>
    <n v="5"/>
    <n v="122.35"/>
    <n v="0"/>
    <n v="611.75"/>
    <n v="30.59"/>
    <n v="0"/>
    <n v="10"/>
    <n v="652.34"/>
    <s v="Delivered"/>
    <n v="46"/>
  </r>
  <r>
    <x v="175"/>
    <x v="37"/>
    <x v="1"/>
    <x v="12"/>
    <s v="Cust_175"/>
    <x v="0"/>
    <x v="3"/>
    <x v="2"/>
    <n v="997151"/>
    <x v="0"/>
    <s v="SKU175"/>
    <s v="Product_175"/>
    <s v="Other"/>
    <n v="5"/>
    <n v="1"/>
    <n v="146.94"/>
    <n v="7.35"/>
    <n v="139.59"/>
    <n v="6.98"/>
    <n v="20"/>
    <n v="5"/>
    <n v="171.57"/>
    <s v="Delivered"/>
    <n v="19"/>
  </r>
  <r>
    <x v="176"/>
    <x v="3"/>
    <x v="1"/>
    <x v="3"/>
    <s v="Cust_176"/>
    <x v="0"/>
    <x v="2"/>
    <x v="2"/>
    <n v="659550"/>
    <x v="6"/>
    <s v="SKU176"/>
    <s v="Product_176"/>
    <s v="Beverages"/>
    <n v="9"/>
    <n v="2"/>
    <n v="147.84"/>
    <n v="7.39"/>
    <n v="288.29000000000002"/>
    <n v="14.41"/>
    <n v="10"/>
    <n v="15"/>
    <n v="327.7"/>
    <s v="Delivered"/>
    <n v="33"/>
  </r>
  <r>
    <x v="177"/>
    <x v="3"/>
    <x v="1"/>
    <x v="3"/>
    <s v="Cust_177"/>
    <x v="2"/>
    <x v="4"/>
    <x v="2"/>
    <n v="160545"/>
    <x v="0"/>
    <s v="SKU177"/>
    <s v="Product_177"/>
    <s v="Other"/>
    <n v="5"/>
    <n v="1"/>
    <n v="175.14"/>
    <n v="26.27"/>
    <n v="148.87"/>
    <n v="7.44"/>
    <n v="20"/>
    <n v="0"/>
    <n v="176.31"/>
    <s v="Delivered"/>
    <n v="22"/>
  </r>
  <r>
    <x v="178"/>
    <x v="42"/>
    <x v="1"/>
    <x v="24"/>
    <s v="Cust_178"/>
    <x v="0"/>
    <x v="3"/>
    <x v="2"/>
    <n v="350497"/>
    <x v="1"/>
    <s v="SKU178"/>
    <s v="Product_178"/>
    <s v="bevrage"/>
    <n v="7"/>
    <n v="2"/>
    <n v="92.99"/>
    <n v="9.3000000000000007"/>
    <n v="176.68"/>
    <n v="8.83"/>
    <n v="0"/>
    <n v="20"/>
    <n v="205.51"/>
    <s v="Delivered"/>
    <n v="23"/>
  </r>
  <r>
    <x v="179"/>
    <x v="28"/>
    <x v="0"/>
    <x v="8"/>
    <s v="Cust_179"/>
    <x v="0"/>
    <x v="0"/>
    <x v="2"/>
    <n v="256104"/>
    <x v="1"/>
    <s v="SKU179"/>
    <s v="Product_179"/>
    <s v="Bakery"/>
    <n v="6"/>
    <n v="1"/>
    <n v="93.95"/>
    <n v="4.7"/>
    <n v="89.25"/>
    <n v="4.46"/>
    <n v="20"/>
    <n v="10"/>
    <n v="123.71"/>
    <s v="Delivered"/>
    <n v="19"/>
  </r>
  <r>
    <x v="180"/>
    <x v="21"/>
    <x v="2"/>
    <x v="18"/>
    <s v="Cust_180"/>
    <x v="0"/>
    <x v="3"/>
    <x v="2"/>
    <n v="237478"/>
    <x v="1"/>
    <s v="SKU180"/>
    <s v="Product_180"/>
    <s v="DIARY"/>
    <n v="5"/>
    <n v="4"/>
    <n v="127.21"/>
    <n v="0"/>
    <n v="508.84"/>
    <n v="25.44"/>
    <n v="20"/>
    <n v="20"/>
    <n v="574.28"/>
    <s v="Delivered"/>
    <n v="5"/>
  </r>
  <r>
    <x v="181"/>
    <x v="56"/>
    <x v="1"/>
    <x v="15"/>
    <s v="Cust_181"/>
    <x v="0"/>
    <x v="3"/>
    <x v="2"/>
    <n v="671139"/>
    <x v="6"/>
    <s v="SKU181"/>
    <s v="Product_181"/>
    <s v="Veg"/>
    <n v="3"/>
    <n v="2"/>
    <n v="267.89"/>
    <n v="40.18"/>
    <n v="495.6"/>
    <n v="24.78"/>
    <n v="30"/>
    <n v="0"/>
    <n v="550.38"/>
    <s v="Delivered"/>
    <n v="21"/>
  </r>
  <r>
    <x v="182"/>
    <x v="32"/>
    <x v="0"/>
    <x v="23"/>
    <s v="Cust_182"/>
    <x v="0"/>
    <x v="0"/>
    <x v="2"/>
    <n v="985155"/>
    <x v="0"/>
    <s v="SKU182"/>
    <s v="Product_182"/>
    <s v="FRUITS "/>
    <n v="7"/>
    <n v="3"/>
    <n v="113.06"/>
    <n v="5.65"/>
    <n v="333.53"/>
    <n v="16.68"/>
    <n v="20"/>
    <n v="20"/>
    <n v="390.21"/>
    <s v="Delivered"/>
    <n v="17"/>
  </r>
  <r>
    <x v="183"/>
    <x v="57"/>
    <x v="0"/>
    <x v="18"/>
    <s v="Cust_183"/>
    <x v="0"/>
    <x v="2"/>
    <x v="2"/>
    <n v="199071"/>
    <x v="4"/>
    <s v="SKU183"/>
    <s v="Product_183"/>
    <s v="Dairy"/>
    <n v="5"/>
    <n v="3"/>
    <n v="123.4"/>
    <n v="18.510000000000002"/>
    <n v="351.69000000000011"/>
    <n v="17.579999999999998"/>
    <n v="0"/>
    <n v="10"/>
    <n v="379.27"/>
    <s v="Delivered"/>
    <n v="30"/>
  </r>
  <r>
    <x v="184"/>
    <x v="0"/>
    <x v="0"/>
    <x v="0"/>
    <s v="Cust_184"/>
    <x v="0"/>
    <x v="3"/>
    <x v="2"/>
    <n v="914037"/>
    <x v="1"/>
    <s v="SKU184"/>
    <s v="Product_184"/>
    <s v="Dairy"/>
    <n v="5"/>
    <n v="1"/>
    <n v="81.209999999999994"/>
    <n v="0"/>
    <n v="81.209999999999994"/>
    <n v="4.0599999999999996"/>
    <n v="0"/>
    <n v="0"/>
    <n v="85.27"/>
    <s v="Delivered"/>
    <n v="21"/>
  </r>
  <r>
    <x v="185"/>
    <x v="25"/>
    <x v="0"/>
    <x v="20"/>
    <s v="Cust_185"/>
    <x v="2"/>
    <x v="4"/>
    <x v="2"/>
    <n v="955684"/>
    <x v="4"/>
    <s v="SKU185"/>
    <s v="Product_185"/>
    <s v="Baby"/>
    <n v="4"/>
    <n v="4"/>
    <n v="47.42"/>
    <n v="4.74"/>
    <n v="184.94"/>
    <n v="9.25"/>
    <n v="10"/>
    <n v="5"/>
    <n v="209.19"/>
    <s v="Delivered"/>
    <n v="30"/>
  </r>
  <r>
    <x v="186"/>
    <x v="1"/>
    <x v="0"/>
    <x v="1"/>
    <s v="Cust_186"/>
    <x v="0"/>
    <x v="3"/>
    <x v="2"/>
    <n v="602420"/>
    <x v="2"/>
    <s v="SKU186"/>
    <s v="Product_186"/>
    <s v="Fruits"/>
    <n v="6"/>
    <n v="1"/>
    <n v="145.03"/>
    <n v="0"/>
    <n v="145.03"/>
    <n v="7.25"/>
    <n v="20"/>
    <n v="15"/>
    <n v="187.28"/>
    <s v="Delivered"/>
    <n v="22"/>
  </r>
  <r>
    <x v="187"/>
    <x v="57"/>
    <x v="0"/>
    <x v="18"/>
    <s v="Cust_187"/>
    <x v="0"/>
    <x v="0"/>
    <x v="2"/>
    <n v="322084"/>
    <x v="2"/>
    <s v="SKU187"/>
    <s v="Product_187"/>
    <s v="bevrage"/>
    <n v="7"/>
    <n v="5"/>
    <n v="218.37"/>
    <n v="32.76"/>
    <n v="1059.0899999999999"/>
    <n v="52.95"/>
    <n v="10"/>
    <n v="5"/>
    <n v="1127.04"/>
    <s v="Delivered"/>
    <n v="24"/>
  </r>
  <r>
    <x v="188"/>
    <x v="39"/>
    <x v="1"/>
    <x v="26"/>
    <s v="Cust_188"/>
    <x v="0"/>
    <x v="3"/>
    <x v="2"/>
    <n v="744863"/>
    <x v="2"/>
    <s v="SKU188"/>
    <s v="Product_188"/>
    <s v="Other"/>
    <n v="5"/>
    <n v="1"/>
    <n v="104.38"/>
    <n v="10.44"/>
    <n v="93.94"/>
    <n v="4.7"/>
    <n v="30"/>
    <n v="5"/>
    <n v="133.63999999999999"/>
    <s v="Delivered"/>
    <n v="21"/>
  </r>
  <r>
    <x v="189"/>
    <x v="19"/>
    <x v="1"/>
    <x v="16"/>
    <s v="Cust_189"/>
    <x v="0"/>
    <x v="3"/>
    <x v="2"/>
    <n v="780481"/>
    <x v="0"/>
    <s v="SKU189"/>
    <s v="Product_189"/>
    <s v="Beverages"/>
    <n v="9"/>
    <n v="1"/>
    <n v="96.71"/>
    <n v="14.51"/>
    <n v="82.199999999999989"/>
    <n v="4.1100000000000003"/>
    <n v="20"/>
    <n v="0"/>
    <n v="106.31"/>
    <s v="Delivered"/>
    <n v="26"/>
  </r>
  <r>
    <x v="190"/>
    <x v="35"/>
    <x v="0"/>
    <x v="25"/>
    <s v="Cust_190"/>
    <x v="0"/>
    <x v="3"/>
    <x v="2"/>
    <n v="917052"/>
    <x v="4"/>
    <s v="SKU190"/>
    <s v="Product_190"/>
    <s v="Beverages"/>
    <n v="9"/>
    <n v="1"/>
    <n v="174.75"/>
    <n v="8.74"/>
    <n v="166.01"/>
    <n v="8.3000000000000007"/>
    <n v="30"/>
    <n v="15"/>
    <n v="219.31"/>
    <s v="Cancelled"/>
    <n v="25"/>
  </r>
  <r>
    <x v="191"/>
    <x v="9"/>
    <x v="1"/>
    <x v="7"/>
    <s v="Cust_191"/>
    <x v="2"/>
    <x v="4"/>
    <x v="2"/>
    <n v="479504"/>
    <x v="6"/>
    <s v="SKU191"/>
    <s v="Product_191"/>
    <s v="Bakery"/>
    <n v="6"/>
    <n v="1"/>
    <n v="176.06"/>
    <n v="0"/>
    <n v="176.06"/>
    <n v="8.8000000000000007"/>
    <n v="20"/>
    <n v="10"/>
    <n v="214.86"/>
    <s v="Delivered"/>
    <n v="20"/>
  </r>
  <r>
    <x v="192"/>
    <x v="0"/>
    <x v="0"/>
    <x v="0"/>
    <s v="Cust_192"/>
    <x v="0"/>
    <x v="0"/>
    <x v="2"/>
    <n v="714641"/>
    <x v="4"/>
    <s v="SKU192"/>
    <s v="Product_192"/>
    <s v="Veg"/>
    <n v="3"/>
    <n v="5"/>
    <n v="89.57"/>
    <n v="0"/>
    <n v="447.85"/>
    <n v="22.39"/>
    <n v="10"/>
    <n v="20"/>
    <n v="500.24"/>
    <s v="Cancelled"/>
    <n v="25"/>
  </r>
  <r>
    <x v="193"/>
    <x v="52"/>
    <x v="0"/>
    <x v="27"/>
    <s v="Cust_193"/>
    <x v="0"/>
    <x v="1"/>
    <x v="2"/>
    <n v="608679"/>
    <x v="4"/>
    <s v="SKU193"/>
    <s v="Product_193"/>
    <s v="FRUITS "/>
    <n v="7"/>
    <n v="1"/>
    <n v="152.49"/>
    <n v="7.62"/>
    <n v="144.87"/>
    <n v="7.24"/>
    <n v="20"/>
    <n v="5"/>
    <n v="177.11"/>
    <s v="Delivered"/>
    <n v="32"/>
  </r>
  <r>
    <x v="194"/>
    <x v="3"/>
    <x v="1"/>
    <x v="3"/>
    <s v="Cust_194"/>
    <x v="0"/>
    <x v="2"/>
    <x v="2"/>
    <n v="680780"/>
    <x v="2"/>
    <s v="SKU194"/>
    <s v="Product_194"/>
    <s v="Bakery"/>
    <n v="6"/>
    <n v="2"/>
    <n v="109.54"/>
    <n v="5.48"/>
    <n v="213.6"/>
    <n v="10.68"/>
    <n v="10"/>
    <n v="20"/>
    <n v="254.28"/>
    <s v="Delivered"/>
    <n v="38"/>
  </r>
  <r>
    <x v="195"/>
    <x v="4"/>
    <x v="0"/>
    <x v="4"/>
    <s v="Cust_195"/>
    <x v="0"/>
    <x v="3"/>
    <x v="2"/>
    <n v="777974"/>
    <x v="0"/>
    <s v="SKU195"/>
    <s v="Product_195"/>
    <s v="Fruits"/>
    <n v="6"/>
    <n v="2"/>
    <n v="87.23"/>
    <n v="8.7200000000000006"/>
    <n v="165.74"/>
    <n v="8.2899999999999991"/>
    <n v="10"/>
    <n v="20"/>
    <n v="204.03"/>
    <s v="Delivered"/>
    <n v="28"/>
  </r>
  <r>
    <x v="196"/>
    <x v="2"/>
    <x v="1"/>
    <x v="2"/>
    <s v="Cust_196"/>
    <x v="0"/>
    <x v="1"/>
    <x v="2"/>
    <n v="652370"/>
    <x v="0"/>
    <s v="SKU196"/>
    <s v="Product_196"/>
    <s v="Frozen"/>
    <n v="6"/>
    <n v="1"/>
    <n v="118.14"/>
    <n v="0"/>
    <n v="118.14"/>
    <n v="5.91"/>
    <n v="30"/>
    <n v="20"/>
    <n v="174.05"/>
    <s v="Delivered"/>
    <n v="24"/>
  </r>
  <r>
    <x v="197"/>
    <x v="13"/>
    <x v="0"/>
    <x v="11"/>
    <s v="Cust_197"/>
    <x v="0"/>
    <x v="1"/>
    <x v="2"/>
    <n v="301139"/>
    <x v="2"/>
    <s v="SKU197"/>
    <s v="Product_197"/>
    <s v="Fruits"/>
    <n v="6"/>
    <n v="7"/>
    <n v="118.36"/>
    <n v="5.92"/>
    <n v="822.6"/>
    <n v="41.13"/>
    <n v="10"/>
    <n v="10"/>
    <n v="883.73"/>
    <s v="Delivered"/>
    <n v="15"/>
  </r>
  <r>
    <x v="198"/>
    <x v="56"/>
    <x v="1"/>
    <x v="15"/>
    <s v="Cust_198"/>
    <x v="0"/>
    <x v="2"/>
    <x v="2"/>
    <n v="338340"/>
    <x v="0"/>
    <s v="SKU198"/>
    <s v="Product_198"/>
    <s v="Frozen"/>
    <n v="6"/>
    <n v="5"/>
    <n v="68.23"/>
    <n v="10.23"/>
    <n v="330.92"/>
    <n v="16.55"/>
    <n v="0"/>
    <n v="15"/>
    <n v="362.47"/>
    <s v="Delivered"/>
    <n v="29"/>
  </r>
  <r>
    <x v="199"/>
    <x v="57"/>
    <x v="0"/>
    <x v="18"/>
    <s v="Cust_199"/>
    <x v="0"/>
    <x v="3"/>
    <x v="2"/>
    <n v="928965"/>
    <x v="5"/>
    <s v="SKU199"/>
    <s v="Product_199"/>
    <s v="Dairy"/>
    <n v="5"/>
    <n v="5"/>
    <n v="208.27"/>
    <n v="10.41"/>
    <n v="1030.94"/>
    <n v="51.55"/>
    <n v="30"/>
    <n v="20"/>
    <n v="1132.49"/>
    <s v="Delivered"/>
    <n v="22"/>
  </r>
  <r>
    <x v="200"/>
    <x v="36"/>
    <x v="1"/>
    <x v="17"/>
    <s v="Cust_200"/>
    <x v="1"/>
    <x v="4"/>
    <x v="2"/>
    <n v="248702"/>
    <x v="6"/>
    <s v="SKU0"/>
    <s v="Product_0"/>
    <s v="snaks"/>
    <n v="5"/>
    <n v="5"/>
    <n v="52.75"/>
    <n v="2.64"/>
    <n v="261.11"/>
    <n v="13.06"/>
    <n v="0"/>
    <n v="10"/>
    <n v="284.17"/>
    <s v="Delivered"/>
    <n v="23"/>
  </r>
  <r>
    <x v="201"/>
    <x v="27"/>
    <x v="0"/>
    <x v="21"/>
    <s v="Cust_201"/>
    <x v="0"/>
    <x v="2"/>
    <x v="2"/>
    <n v="308432"/>
    <x v="2"/>
    <s v="SKU1"/>
    <s v="Product_1"/>
    <s v="Frozen"/>
    <n v="6"/>
    <n v="2"/>
    <n v="249.44"/>
    <n v="12.47"/>
    <n v="486.41"/>
    <n v="24.32"/>
    <n v="20"/>
    <n v="10"/>
    <n v="540.73"/>
    <s v="Delivered"/>
    <n v="18"/>
  </r>
  <r>
    <x v="202"/>
    <x v="32"/>
    <x v="0"/>
    <x v="23"/>
    <s v="Cust_202"/>
    <x v="2"/>
    <x v="4"/>
    <x v="2"/>
    <n v="552776"/>
    <x v="4"/>
    <s v="SKU2"/>
    <s v="Product_2"/>
    <s v="Fruits"/>
    <n v="6"/>
    <n v="3"/>
    <n v="167.97"/>
    <n v="8.4"/>
    <n v="495.51"/>
    <n v="24.78"/>
    <n v="10"/>
    <n v="20"/>
    <n v="550.29"/>
    <s v="Delivered"/>
    <n v="23"/>
  </r>
  <r>
    <x v="203"/>
    <x v="16"/>
    <x v="1"/>
    <x v="10"/>
    <s v="Cust_203"/>
    <x v="0"/>
    <x v="1"/>
    <x v="2"/>
    <n v="933289"/>
    <x v="6"/>
    <s v="SKU3"/>
    <s v="Product_3"/>
    <s v="FRUITS "/>
    <n v="7"/>
    <n v="4"/>
    <n v="147.6"/>
    <n v="14.76"/>
    <n v="575.64"/>
    <n v="28.78"/>
    <n v="0"/>
    <n v="15"/>
    <n v="619.41999999999996"/>
    <s v="Delivered"/>
    <n v="18"/>
  </r>
  <r>
    <x v="204"/>
    <x v="29"/>
    <x v="1"/>
    <x v="21"/>
    <s v="Cust_204"/>
    <x v="0"/>
    <x v="1"/>
    <x v="2"/>
    <n v="903585"/>
    <x v="4"/>
    <s v="SKU4"/>
    <s v="Product_4"/>
    <s v="Other"/>
    <n v="5"/>
    <n v="2"/>
    <n v="125.4"/>
    <n v="18.809999999999999"/>
    <n v="231.99"/>
    <n v="11.6"/>
    <n v="30"/>
    <n v="0"/>
    <n v="273.58999999999997"/>
    <s v="Delivered"/>
    <n v="32"/>
  </r>
  <r>
    <x v="205"/>
    <x v="17"/>
    <x v="1"/>
    <x v="14"/>
    <s v="Cust_205"/>
    <x v="0"/>
    <x v="5"/>
    <x v="2"/>
    <n v="719745"/>
    <x v="0"/>
    <s v="SKU5"/>
    <s v="Product_5"/>
    <s v="bevrage"/>
    <n v="7"/>
    <n v="5"/>
    <n v="39.17"/>
    <n v="0"/>
    <n v="195.85"/>
    <n v="9.7899999999999991"/>
    <n v="0"/>
    <n v="10"/>
    <n v="215.64"/>
    <s v="Delivered"/>
    <n v="15"/>
  </r>
  <r>
    <x v="206"/>
    <x v="28"/>
    <x v="0"/>
    <x v="8"/>
    <s v="Cust_206"/>
    <x v="0"/>
    <x v="3"/>
    <x v="2"/>
    <n v="126806"/>
    <x v="0"/>
    <s v="SKU6"/>
    <s v="Product_6"/>
    <s v="Frozen"/>
    <n v="6"/>
    <n v="4"/>
    <n v="189.47"/>
    <n v="0"/>
    <n v="757.88"/>
    <n v="37.89"/>
    <n v="10"/>
    <n v="15"/>
    <n v="820.77"/>
    <s v="Delivered"/>
    <n v="14"/>
  </r>
  <r>
    <x v="207"/>
    <x v="52"/>
    <x v="0"/>
    <x v="27"/>
    <s v="Cust_207"/>
    <x v="0"/>
    <x v="5"/>
    <x v="2"/>
    <n v="979381"/>
    <x v="1"/>
    <s v="SKU7"/>
    <s v="Product_7"/>
    <s v="Frozen"/>
    <n v="6"/>
    <n v="1"/>
    <n v="191.14"/>
    <n v="9.56"/>
    <n v="181.58"/>
    <n v="9.08"/>
    <n v="10"/>
    <n v="20"/>
    <n v="220.66"/>
    <s v="Delivered"/>
    <n v="32"/>
  </r>
  <r>
    <x v="208"/>
    <x v="34"/>
    <x v="0"/>
    <x v="24"/>
    <s v="Cust_208"/>
    <x v="0"/>
    <x v="0"/>
    <x v="2"/>
    <n v="979903"/>
    <x v="3"/>
    <s v="SKU8"/>
    <s v="Product_8"/>
    <s v="Baby"/>
    <n v="4"/>
    <n v="3"/>
    <n v="69.12"/>
    <n v="3.46"/>
    <n v="203.9"/>
    <n v="10.199999999999999"/>
    <n v="20"/>
    <n v="5"/>
    <n v="239.1"/>
    <s v="Cancelled"/>
    <n v="25"/>
  </r>
  <r>
    <x v="209"/>
    <x v="12"/>
    <x v="0"/>
    <x v="10"/>
    <s v="Cust_209"/>
    <x v="0"/>
    <x v="1"/>
    <x v="2"/>
    <n v="438416"/>
    <x v="2"/>
    <s v="SKU9"/>
    <s v="Product_9"/>
    <s v="snaks"/>
    <n v="5"/>
    <n v="1"/>
    <n v="162.57"/>
    <n v="24.39"/>
    <n v="138.18"/>
    <n v="6.91"/>
    <n v="0"/>
    <n v="0"/>
    <n v="145.09"/>
    <s v="Delivered"/>
    <n v="12"/>
  </r>
  <r>
    <x v="210"/>
    <x v="46"/>
    <x v="1"/>
    <x v="25"/>
    <s v="Cust_210"/>
    <x v="0"/>
    <x v="1"/>
    <x v="2"/>
    <n v="783404"/>
    <x v="2"/>
    <s v="SKU10"/>
    <s v="Product_10"/>
    <s v="Dairy"/>
    <n v="5"/>
    <n v="1"/>
    <n v="68.319999999999993"/>
    <n v="3.42"/>
    <n v="64.899999999999991"/>
    <n v="3.24"/>
    <n v="0"/>
    <n v="0"/>
    <n v="68.139999999999986"/>
    <s v="Failed"/>
    <n v="25"/>
  </r>
  <r>
    <x v="211"/>
    <x v="29"/>
    <x v="1"/>
    <x v="21"/>
    <s v="Cust_211"/>
    <x v="0"/>
    <x v="3"/>
    <x v="2"/>
    <n v="123387"/>
    <x v="2"/>
    <s v="SKU11"/>
    <s v="Product_11"/>
    <s v="FRUITS "/>
    <n v="7"/>
    <n v="1"/>
    <n v="118.37"/>
    <n v="17.760000000000002"/>
    <n v="100.61"/>
    <n v="5.03"/>
    <n v="20"/>
    <n v="10"/>
    <n v="135.63999999999999"/>
    <s v="Cancelled"/>
    <n v="25"/>
  </r>
  <r>
    <x v="212"/>
    <x v="29"/>
    <x v="1"/>
    <x v="21"/>
    <s v="Cust_212"/>
    <x v="0"/>
    <x v="0"/>
    <x v="2"/>
    <n v="277558"/>
    <x v="4"/>
    <s v="SKU12"/>
    <s v="Product_12"/>
    <s v="Frozen"/>
    <n v="6"/>
    <n v="4"/>
    <n v="81.39"/>
    <n v="8.14"/>
    <n v="317.42"/>
    <n v="15.87"/>
    <n v="0"/>
    <n v="0"/>
    <n v="333.29"/>
    <s v="Delivered"/>
    <n v="34"/>
  </r>
  <r>
    <x v="213"/>
    <x v="18"/>
    <x v="0"/>
    <x v="15"/>
    <s v="Cust_213"/>
    <x v="0"/>
    <x v="0"/>
    <x v="2"/>
    <n v="651332"/>
    <x v="5"/>
    <s v="SKU13"/>
    <s v="Product_13"/>
    <s v="Snacks"/>
    <n v="6"/>
    <n v="5"/>
    <n v="227.96"/>
    <n v="34.19"/>
    <n v="1105.6099999999999"/>
    <n v="55.28"/>
    <n v="0"/>
    <n v="15"/>
    <n v="1175.8900000000001"/>
    <s v="Delivered"/>
    <n v="48"/>
  </r>
  <r>
    <x v="214"/>
    <x v="18"/>
    <x v="0"/>
    <x v="15"/>
    <s v="Cust_214"/>
    <x v="0"/>
    <x v="3"/>
    <x v="2"/>
    <n v="895928"/>
    <x v="2"/>
    <s v="SKU14"/>
    <s v="Product_14"/>
    <s v="Dairy"/>
    <n v="5"/>
    <n v="3"/>
    <n v="98.1"/>
    <n v="14.71"/>
    <n v="279.58999999999997"/>
    <n v="13.98"/>
    <n v="20"/>
    <n v="15"/>
    <n v="328.57"/>
    <s v="Delivered"/>
    <n v="16"/>
  </r>
  <r>
    <x v="215"/>
    <x v="43"/>
    <x v="1"/>
    <x v="23"/>
    <s v="Cust_215"/>
    <x v="0"/>
    <x v="2"/>
    <x v="2"/>
    <n v="877401"/>
    <x v="0"/>
    <s v="SKU15"/>
    <s v="Product_15"/>
    <s v="Snacks"/>
    <n v="6"/>
    <n v="2"/>
    <n v="73.260000000000005"/>
    <n v="7.33"/>
    <n v="139.19"/>
    <n v="6.96"/>
    <n v="30"/>
    <n v="5"/>
    <n v="181.15"/>
    <s v="Delivered"/>
    <n v="45"/>
  </r>
  <r>
    <x v="216"/>
    <x v="19"/>
    <x v="1"/>
    <x v="16"/>
    <s v="Cust_216"/>
    <x v="1"/>
    <x v="4"/>
    <x v="2"/>
    <n v="789556"/>
    <x v="0"/>
    <s v="SKU16"/>
    <s v="Product_16"/>
    <s v="Veg"/>
    <n v="3"/>
    <n v="1"/>
    <n v="138.9"/>
    <n v="13.89"/>
    <n v="125.01"/>
    <n v="6.25"/>
    <n v="0"/>
    <n v="5"/>
    <n v="136.26"/>
    <s v="Delivered"/>
    <n v="23"/>
  </r>
  <r>
    <x v="217"/>
    <x v="10"/>
    <x v="1"/>
    <x v="8"/>
    <s v="Cust_217"/>
    <x v="0"/>
    <x v="2"/>
    <x v="2"/>
    <n v="787016"/>
    <x v="0"/>
    <s v="SKU17"/>
    <s v="Product_17"/>
    <s v="Dairy"/>
    <n v="5"/>
    <n v="2"/>
    <n v="119.84"/>
    <n v="11.98"/>
    <n v="227.7"/>
    <n v="11.39"/>
    <n v="10"/>
    <n v="15"/>
    <n v="264.08999999999997"/>
    <s v="Delivered"/>
    <n v="28"/>
  </r>
  <r>
    <x v="218"/>
    <x v="7"/>
    <x v="0"/>
    <x v="5"/>
    <s v="Cust_218"/>
    <x v="0"/>
    <x v="5"/>
    <x v="2"/>
    <n v="791211"/>
    <x v="3"/>
    <s v="SKU18"/>
    <s v="Product_18"/>
    <s v="Other"/>
    <n v="5"/>
    <n v="3"/>
    <n v="138.13999999999999"/>
    <n v="0"/>
    <n v="414.42"/>
    <n v="20.72"/>
    <n v="20"/>
    <n v="15"/>
    <n v="470.14"/>
    <s v="Delivered"/>
    <n v="8"/>
  </r>
  <r>
    <x v="219"/>
    <x v="33"/>
    <x v="0"/>
    <x v="9"/>
    <s v="Cust_219"/>
    <x v="0"/>
    <x v="5"/>
    <x v="2"/>
    <n v="664660"/>
    <x v="5"/>
    <s v="SKU19"/>
    <s v="Product_19"/>
    <s v="FRUITS "/>
    <n v="7"/>
    <n v="3"/>
    <n v="215.95"/>
    <n v="21.59"/>
    <n v="626.25999999999988"/>
    <n v="31.31"/>
    <n v="20"/>
    <n v="20"/>
    <n v="697.56999999999982"/>
    <s v="Delivered"/>
    <n v="14"/>
  </r>
  <r>
    <x v="220"/>
    <x v="29"/>
    <x v="1"/>
    <x v="21"/>
    <s v="Cust_220"/>
    <x v="1"/>
    <x v="4"/>
    <x v="2"/>
    <n v="516978"/>
    <x v="0"/>
    <s v="SKU20"/>
    <s v="Product_20"/>
    <s v="Snacks"/>
    <n v="6"/>
    <n v="4"/>
    <n v="139.58000000000001"/>
    <n v="13.96"/>
    <n v="544.36"/>
    <n v="27.22"/>
    <n v="10"/>
    <n v="20"/>
    <n v="601.58000000000004"/>
    <s v="Delivered"/>
    <n v="25"/>
  </r>
  <r>
    <x v="221"/>
    <x v="24"/>
    <x v="1"/>
    <x v="19"/>
    <s v="Cust_221"/>
    <x v="0"/>
    <x v="3"/>
    <x v="2"/>
    <n v="821909"/>
    <x v="0"/>
    <s v="SKU21"/>
    <s v="Product_21"/>
    <s v="snaks"/>
    <n v="5"/>
    <n v="3"/>
    <n v="80.92"/>
    <n v="8.09"/>
    <n v="234.67"/>
    <n v="11.73"/>
    <n v="0"/>
    <n v="0"/>
    <n v="246.4"/>
    <s v="Delivered"/>
    <n v="24"/>
  </r>
  <r>
    <x v="222"/>
    <x v="0"/>
    <x v="0"/>
    <x v="0"/>
    <s v="Cust_222"/>
    <x v="0"/>
    <x v="0"/>
    <x v="2"/>
    <n v="389910"/>
    <x v="1"/>
    <s v="SKU22"/>
    <s v="Product_22"/>
    <s v="Snacks"/>
    <n v="6"/>
    <n v="4"/>
    <n v="149.66999999999999"/>
    <n v="0"/>
    <n v="598.67999999999995"/>
    <n v="29.93"/>
    <n v="20"/>
    <n v="15"/>
    <n v="663.6099999999999"/>
    <s v="Delivered"/>
    <n v="32"/>
  </r>
  <r>
    <x v="223"/>
    <x v="22"/>
    <x v="0"/>
    <x v="14"/>
    <s v="Cust_223"/>
    <x v="1"/>
    <x v="4"/>
    <x v="2"/>
    <n v="771447"/>
    <x v="3"/>
    <s v="SKU23"/>
    <s v="Product_23"/>
    <s v="Beverages"/>
    <n v="9"/>
    <n v="3"/>
    <n v="276.10000000000002"/>
    <n v="41.41"/>
    <n v="786.8900000000001"/>
    <n v="39.340000000000003"/>
    <n v="30"/>
    <n v="15"/>
    <n v="871.23000000000013"/>
    <s v="Delivered"/>
    <n v="26"/>
  </r>
  <r>
    <x v="224"/>
    <x v="54"/>
    <x v="1"/>
    <x v="18"/>
    <s v="Cust_224"/>
    <x v="0"/>
    <x v="3"/>
    <x v="2"/>
    <n v="521947"/>
    <x v="5"/>
    <s v="SKU24"/>
    <s v="Product_24"/>
    <s v="Snacks"/>
    <n v="6"/>
    <n v="1"/>
    <n v="82.66"/>
    <n v="12.4"/>
    <n v="70.259999999999991"/>
    <n v="3.51"/>
    <n v="10"/>
    <n v="0"/>
    <n v="83.77"/>
    <s v="Delivered"/>
    <n v="29"/>
  </r>
  <r>
    <x v="225"/>
    <x v="34"/>
    <x v="0"/>
    <x v="24"/>
    <s v="Cust_225"/>
    <x v="1"/>
    <x v="4"/>
    <x v="2"/>
    <n v="252889"/>
    <x v="0"/>
    <s v="SKU25"/>
    <s v="Product_25"/>
    <s v="Bakery"/>
    <n v="6"/>
    <n v="2"/>
    <n v="68.97"/>
    <n v="3.45"/>
    <n v="134.49"/>
    <n v="6.72"/>
    <n v="10"/>
    <n v="20"/>
    <n v="171.21"/>
    <s v="Delivered"/>
    <n v="12"/>
  </r>
  <r>
    <x v="226"/>
    <x v="26"/>
    <x v="1"/>
    <x v="5"/>
    <s v="Cust_226"/>
    <x v="0"/>
    <x v="2"/>
    <x v="2"/>
    <n v="241330"/>
    <x v="0"/>
    <s v="SKU26"/>
    <s v="Product_26"/>
    <s v="bevrage"/>
    <n v="7"/>
    <n v="5"/>
    <n v="163.19"/>
    <n v="16.32"/>
    <n v="799.63"/>
    <n v="39.979999999999997"/>
    <n v="20"/>
    <n v="5"/>
    <n v="864.61"/>
    <s v="Delivered"/>
    <n v="39"/>
  </r>
  <r>
    <x v="227"/>
    <x v="34"/>
    <x v="0"/>
    <x v="24"/>
    <s v="Cust_227"/>
    <x v="0"/>
    <x v="3"/>
    <x v="2"/>
    <n v="461278"/>
    <x v="0"/>
    <s v="SKU27"/>
    <s v="Product_27"/>
    <s v="DIARY"/>
    <n v="5"/>
    <n v="4"/>
    <n v="12.79"/>
    <n v="1.28"/>
    <n v="49.88"/>
    <n v="2.4900000000000002"/>
    <n v="20"/>
    <n v="15"/>
    <n v="87.37"/>
    <s v="Delivered"/>
    <n v="27"/>
  </r>
  <r>
    <x v="228"/>
    <x v="1"/>
    <x v="0"/>
    <x v="1"/>
    <s v="Cust_228"/>
    <x v="0"/>
    <x v="5"/>
    <x v="2"/>
    <n v="342634"/>
    <x v="2"/>
    <s v="SKU28"/>
    <s v="Product_28"/>
    <s v="Essentials"/>
    <n v="10"/>
    <n v="3"/>
    <n v="72.91"/>
    <n v="0"/>
    <n v="218.73"/>
    <n v="10.94"/>
    <n v="30"/>
    <n v="0"/>
    <n v="259.67"/>
    <s v="Delivered"/>
    <n v="31"/>
  </r>
  <r>
    <x v="229"/>
    <x v="56"/>
    <x v="1"/>
    <x v="15"/>
    <s v="Cust_229"/>
    <x v="0"/>
    <x v="3"/>
    <x v="2"/>
    <n v="130447"/>
    <x v="5"/>
    <s v="SKU29"/>
    <s v="Product_29"/>
    <s v="Frozen"/>
    <n v="6"/>
    <n v="1"/>
    <n v="53.62"/>
    <n v="5.36"/>
    <n v="48.26"/>
    <n v="2.41"/>
    <n v="0"/>
    <n v="10"/>
    <n v="60.67"/>
    <s v="Delivered"/>
    <n v="23"/>
  </r>
  <r>
    <x v="230"/>
    <x v="53"/>
    <x v="0"/>
    <x v="29"/>
    <s v="Cust_230"/>
    <x v="2"/>
    <x v="4"/>
    <x v="2"/>
    <n v="970477"/>
    <x v="3"/>
    <s v="SKU30"/>
    <s v="Product_30"/>
    <s v="Beverages"/>
    <n v="9"/>
    <n v="5"/>
    <n v="223.62"/>
    <n v="0"/>
    <n v="1118.0999999999999"/>
    <n v="55.91"/>
    <n v="20"/>
    <n v="20"/>
    <n v="1214.01"/>
    <s v="Delivered"/>
    <n v="21"/>
  </r>
  <r>
    <x v="231"/>
    <x v="15"/>
    <x v="1"/>
    <x v="13"/>
    <s v="Cust_231"/>
    <x v="0"/>
    <x v="3"/>
    <x v="2"/>
    <n v="851164"/>
    <x v="4"/>
    <s v="SKU31"/>
    <s v="Product_31"/>
    <s v="DIARY"/>
    <n v="5"/>
    <n v="1"/>
    <n v="207.43"/>
    <n v="0"/>
    <n v="207.43"/>
    <n v="10.37"/>
    <n v="30"/>
    <n v="5"/>
    <n v="252.8"/>
    <s v="Delivered"/>
    <n v="20"/>
  </r>
  <r>
    <x v="232"/>
    <x v="0"/>
    <x v="0"/>
    <x v="0"/>
    <s v="Cust_232"/>
    <x v="0"/>
    <x v="5"/>
    <x v="2"/>
    <n v="622220"/>
    <x v="2"/>
    <s v="SKU32"/>
    <s v="Product_32"/>
    <s v="Dairy"/>
    <n v="5"/>
    <n v="1"/>
    <n v="121.74"/>
    <n v="6.09"/>
    <n v="115.65"/>
    <n v="5.78"/>
    <n v="0"/>
    <n v="10"/>
    <n v="131.43"/>
    <s v="Delivered"/>
    <n v="35"/>
  </r>
  <r>
    <x v="233"/>
    <x v="46"/>
    <x v="1"/>
    <x v="25"/>
    <s v="Cust_233"/>
    <x v="0"/>
    <x v="0"/>
    <x v="2"/>
    <n v="687100"/>
    <x v="2"/>
    <s v="SKU33"/>
    <s v="Product_33"/>
    <s v="DIARY"/>
    <n v="5"/>
    <n v="2"/>
    <n v="100.99"/>
    <n v="5.05"/>
    <n v="196.93"/>
    <n v="9.85"/>
    <n v="20"/>
    <n v="10"/>
    <n v="236.78"/>
    <s v="Delivered"/>
    <n v="45"/>
  </r>
  <r>
    <x v="234"/>
    <x v="5"/>
    <x v="1"/>
    <x v="0"/>
    <s v="Cust_234"/>
    <x v="0"/>
    <x v="3"/>
    <x v="2"/>
    <n v="518495"/>
    <x v="0"/>
    <s v="SKU34"/>
    <s v="Product_34"/>
    <s v="Snacks"/>
    <n v="6"/>
    <n v="5"/>
    <n v="181.44"/>
    <n v="0"/>
    <n v="907.2"/>
    <n v="45.36"/>
    <n v="10"/>
    <n v="15"/>
    <n v="977.56000000000006"/>
    <s v="Delivered"/>
    <n v="30"/>
  </r>
  <r>
    <x v="235"/>
    <x v="26"/>
    <x v="1"/>
    <x v="5"/>
    <s v="Cust_235"/>
    <x v="1"/>
    <x v="4"/>
    <x v="2"/>
    <n v="763070"/>
    <x v="5"/>
    <s v="SKU35"/>
    <s v="Product_35"/>
    <s v="Dairy"/>
    <n v="5"/>
    <n v="5"/>
    <n v="34.74"/>
    <n v="5.21"/>
    <n v="168.49"/>
    <n v="8.42"/>
    <n v="20"/>
    <n v="5"/>
    <n v="201.91"/>
    <s v="Delivered"/>
    <n v="23"/>
  </r>
  <r>
    <x v="236"/>
    <x v="37"/>
    <x v="1"/>
    <x v="12"/>
    <s v="Cust_236"/>
    <x v="1"/>
    <x v="4"/>
    <x v="2"/>
    <n v="755522"/>
    <x v="5"/>
    <s v="SKU36"/>
    <s v="Product_36"/>
    <s v="snaks"/>
    <n v="5"/>
    <n v="2"/>
    <n v="176.87"/>
    <n v="26.53"/>
    <n v="327.20999999999998"/>
    <n v="16.36"/>
    <n v="20"/>
    <n v="10"/>
    <n v="373.57000000000011"/>
    <s v="Delivered"/>
    <n v="31"/>
  </r>
  <r>
    <x v="237"/>
    <x v="35"/>
    <x v="0"/>
    <x v="25"/>
    <s v="Cust_237"/>
    <x v="2"/>
    <x v="4"/>
    <x v="2"/>
    <n v="586799"/>
    <x v="3"/>
    <s v="SKU37"/>
    <s v="Product_37"/>
    <s v="FRUITS "/>
    <n v="7"/>
    <n v="1"/>
    <n v="108.38"/>
    <n v="10.84"/>
    <n v="97.539999999999992"/>
    <n v="4.88"/>
    <n v="20"/>
    <n v="10"/>
    <n v="132.41999999999999"/>
    <s v="Delivered"/>
    <n v="16"/>
  </r>
  <r>
    <x v="238"/>
    <x v="22"/>
    <x v="0"/>
    <x v="14"/>
    <s v="Cust_238"/>
    <x v="0"/>
    <x v="0"/>
    <x v="2"/>
    <n v="367491"/>
    <x v="5"/>
    <s v="SKU38"/>
    <s v="Product_38"/>
    <s v="Essentials"/>
    <n v="10"/>
    <n v="4"/>
    <n v="148.80000000000001"/>
    <n v="14.88"/>
    <n v="580.32000000000005"/>
    <n v="29.02"/>
    <n v="0"/>
    <n v="15"/>
    <n v="624.34"/>
    <s v="Delivered"/>
    <n v="11"/>
  </r>
  <r>
    <x v="239"/>
    <x v="32"/>
    <x v="0"/>
    <x v="23"/>
    <s v="Cust_239"/>
    <x v="1"/>
    <x v="4"/>
    <x v="2"/>
    <n v="852254"/>
    <x v="3"/>
    <s v="SKU39"/>
    <s v="Product_39"/>
    <s v="Fruits"/>
    <n v="6"/>
    <n v="1"/>
    <n v="183.4"/>
    <n v="27.51"/>
    <n v="155.88999999999999"/>
    <n v="7.79"/>
    <n v="10"/>
    <n v="0"/>
    <n v="173.68"/>
    <s v="Delivered"/>
    <n v="43"/>
  </r>
  <r>
    <x v="240"/>
    <x v="28"/>
    <x v="0"/>
    <x v="8"/>
    <s v="Cust_240"/>
    <x v="0"/>
    <x v="0"/>
    <x v="2"/>
    <n v="335718"/>
    <x v="0"/>
    <s v="SKU40"/>
    <s v="Product_40"/>
    <s v="Other"/>
    <n v="5"/>
    <n v="1"/>
    <n v="152.71"/>
    <n v="0"/>
    <n v="152.71"/>
    <n v="7.64"/>
    <n v="0"/>
    <n v="0"/>
    <n v="160.35"/>
    <s v="Delivered"/>
    <n v="15"/>
  </r>
  <r>
    <x v="241"/>
    <x v="18"/>
    <x v="0"/>
    <x v="15"/>
    <s v="Cust_241"/>
    <x v="0"/>
    <x v="1"/>
    <x v="2"/>
    <n v="735775"/>
    <x v="4"/>
    <s v="SKU41"/>
    <s v="Product_41"/>
    <s v="Bakery"/>
    <n v="6"/>
    <n v="4"/>
    <n v="172.54"/>
    <n v="8.6300000000000008"/>
    <n v="681.53"/>
    <n v="34.08"/>
    <n v="0"/>
    <n v="10"/>
    <n v="725.61"/>
    <s v="Delivered"/>
    <n v="12"/>
  </r>
  <r>
    <x v="242"/>
    <x v="11"/>
    <x v="1"/>
    <x v="9"/>
    <s v="Cust_242"/>
    <x v="2"/>
    <x v="4"/>
    <x v="2"/>
    <n v="527737"/>
    <x v="4"/>
    <s v="SKU42"/>
    <s v="Product_42"/>
    <s v="Baby"/>
    <n v="4"/>
    <n v="3"/>
    <n v="163.08000000000001"/>
    <n v="8.15"/>
    <n v="481.09"/>
    <n v="24.05"/>
    <n v="30"/>
    <n v="0"/>
    <n v="535.1400000000001"/>
    <s v="Delivered"/>
    <n v="41"/>
  </r>
  <r>
    <x v="243"/>
    <x v="3"/>
    <x v="1"/>
    <x v="3"/>
    <s v="Cust_243"/>
    <x v="0"/>
    <x v="3"/>
    <x v="2"/>
    <n v="450040"/>
    <x v="2"/>
    <s v="SKU43"/>
    <s v="Product_43"/>
    <s v="Beverages"/>
    <n v="9"/>
    <n v="3"/>
    <n v="131.84"/>
    <n v="6.59"/>
    <n v="388.93"/>
    <n v="19.45"/>
    <n v="20"/>
    <n v="15"/>
    <n v="443.38"/>
    <s v="Delivered"/>
    <n v="35"/>
  </r>
  <r>
    <x v="244"/>
    <x v="27"/>
    <x v="0"/>
    <x v="21"/>
    <s v="Cust_244"/>
    <x v="0"/>
    <x v="0"/>
    <x v="2"/>
    <n v="306487"/>
    <x v="4"/>
    <s v="SKU44"/>
    <s v="Product_44"/>
    <s v="FRUITS "/>
    <n v="7"/>
    <n v="2"/>
    <n v="35.99"/>
    <n v="1.8"/>
    <n v="70.180000000000007"/>
    <n v="3.51"/>
    <n v="30"/>
    <n v="5"/>
    <n v="108.69"/>
    <s v="Delivered"/>
    <n v="3"/>
  </r>
  <r>
    <x v="245"/>
    <x v="47"/>
    <x v="0"/>
    <x v="7"/>
    <s v="Cust_245"/>
    <x v="0"/>
    <x v="3"/>
    <x v="2"/>
    <n v="145232"/>
    <x v="0"/>
    <s v="SKU45"/>
    <s v="Product_45"/>
    <s v="Bakery"/>
    <n v="6"/>
    <n v="1"/>
    <n v="116.9"/>
    <n v="5.85"/>
    <n v="111.05"/>
    <n v="5.55"/>
    <n v="30"/>
    <n v="10"/>
    <n v="156.6"/>
    <s v="Delivered"/>
    <n v="25"/>
  </r>
  <r>
    <x v="246"/>
    <x v="57"/>
    <x v="0"/>
    <x v="18"/>
    <s v="Cust_246"/>
    <x v="0"/>
    <x v="2"/>
    <x v="2"/>
    <n v="488612"/>
    <x v="2"/>
    <s v="SKU46"/>
    <s v="Product_46"/>
    <s v="Baby"/>
    <n v="4"/>
    <n v="3"/>
    <n v="92.14"/>
    <n v="0"/>
    <n v="276.42"/>
    <n v="13.82"/>
    <n v="0"/>
    <n v="20"/>
    <n v="310.24"/>
    <s v="Delivered"/>
    <n v="21"/>
  </r>
  <r>
    <x v="247"/>
    <x v="57"/>
    <x v="0"/>
    <x v="18"/>
    <s v="Cust_247"/>
    <x v="0"/>
    <x v="2"/>
    <x v="2"/>
    <n v="964690"/>
    <x v="3"/>
    <s v="SKU47"/>
    <s v="Product_47"/>
    <s v="Beverages"/>
    <n v="9"/>
    <n v="2"/>
    <n v="168.78"/>
    <n v="16.88"/>
    <n v="320.68"/>
    <n v="16.03"/>
    <n v="0"/>
    <n v="5"/>
    <n v="341.71"/>
    <s v="Delivered"/>
    <n v="15"/>
  </r>
  <r>
    <x v="248"/>
    <x v="11"/>
    <x v="1"/>
    <x v="9"/>
    <s v="Cust_248"/>
    <x v="2"/>
    <x v="4"/>
    <x v="2"/>
    <n v="550542"/>
    <x v="0"/>
    <s v="SKU48"/>
    <s v="Product_48"/>
    <s v="Baby"/>
    <n v="4"/>
    <n v="1"/>
    <n v="173.18"/>
    <n v="17.32"/>
    <n v="155.86000000000001"/>
    <n v="7.79"/>
    <n v="30"/>
    <n v="15"/>
    <n v="208.65"/>
    <s v="Delivered"/>
    <n v="18"/>
  </r>
  <r>
    <x v="249"/>
    <x v="53"/>
    <x v="0"/>
    <x v="29"/>
    <s v="Cust_249"/>
    <x v="0"/>
    <x v="1"/>
    <x v="2"/>
    <n v="380852"/>
    <x v="3"/>
    <s v="SKU49"/>
    <s v="Product_49"/>
    <s v="FRUITS "/>
    <n v="7"/>
    <n v="2"/>
    <n v="214.09"/>
    <n v="32.11"/>
    <n v="396.07"/>
    <n v="19.8"/>
    <n v="10"/>
    <n v="20"/>
    <n v="445.87"/>
    <s v="Delivered"/>
    <n v="17"/>
  </r>
  <r>
    <x v="250"/>
    <x v="1"/>
    <x v="0"/>
    <x v="1"/>
    <s v="Cust_250"/>
    <x v="0"/>
    <x v="0"/>
    <x v="2"/>
    <n v="965139"/>
    <x v="0"/>
    <s v="SKU50"/>
    <s v="Product_50"/>
    <s v="Veg"/>
    <n v="3"/>
    <n v="2"/>
    <n v="25.45"/>
    <n v="2.54"/>
    <n v="48.36"/>
    <n v="2.42"/>
    <n v="10"/>
    <n v="20"/>
    <n v="80.78"/>
    <s v="Delivered"/>
    <n v="33"/>
  </r>
  <r>
    <x v="251"/>
    <x v="25"/>
    <x v="0"/>
    <x v="20"/>
    <s v="Cust_251"/>
    <x v="1"/>
    <x v="4"/>
    <x v="2"/>
    <n v="625069"/>
    <x v="4"/>
    <s v="SKU51"/>
    <s v="Product_51"/>
    <s v="Snacks"/>
    <n v="6"/>
    <n v="4"/>
    <n v="66.53"/>
    <n v="0"/>
    <n v="266.12"/>
    <n v="13.31"/>
    <n v="20"/>
    <n v="0"/>
    <n v="299.43"/>
    <s v="Delivered"/>
    <n v="25"/>
  </r>
  <r>
    <x v="252"/>
    <x v="25"/>
    <x v="0"/>
    <x v="20"/>
    <s v="Cust_252"/>
    <x v="0"/>
    <x v="2"/>
    <x v="2"/>
    <n v="271033"/>
    <x v="5"/>
    <s v="SKU52"/>
    <s v="Product_52"/>
    <s v="Snacks"/>
    <n v="6"/>
    <n v="4"/>
    <n v="189.59"/>
    <n v="0"/>
    <n v="758.36"/>
    <n v="37.92"/>
    <n v="30"/>
    <n v="20"/>
    <n v="846.28"/>
    <s v="Delivered"/>
    <n v="21"/>
  </r>
  <r>
    <x v="253"/>
    <x v="7"/>
    <x v="0"/>
    <x v="5"/>
    <s v="Cust_253"/>
    <x v="0"/>
    <x v="0"/>
    <x v="2"/>
    <n v="647936"/>
    <x v="1"/>
    <s v="SKU53"/>
    <s v="Product_53"/>
    <s v="Beverages"/>
    <n v="9"/>
    <n v="2"/>
    <n v="261.33"/>
    <n v="39.200000000000003"/>
    <n v="483.46"/>
    <n v="24.17"/>
    <n v="0"/>
    <n v="15"/>
    <n v="522.63"/>
    <s v="Delivered"/>
    <n v="32"/>
  </r>
  <r>
    <x v="254"/>
    <x v="1"/>
    <x v="0"/>
    <x v="1"/>
    <s v="Cust_254"/>
    <x v="1"/>
    <x v="4"/>
    <x v="2"/>
    <n v="279635"/>
    <x v="0"/>
    <s v="SKU54"/>
    <s v="Product_54"/>
    <s v="Veg"/>
    <n v="3"/>
    <n v="1"/>
    <n v="86.56"/>
    <n v="12.98"/>
    <n v="73.58"/>
    <n v="3.68"/>
    <n v="30"/>
    <n v="10"/>
    <n v="117.26"/>
    <s v="Delivered"/>
    <n v="14"/>
  </r>
  <r>
    <x v="255"/>
    <x v="23"/>
    <x v="1"/>
    <x v="4"/>
    <s v="Cust_255"/>
    <x v="0"/>
    <x v="3"/>
    <x v="2"/>
    <n v="222775"/>
    <x v="5"/>
    <s v="SKU55"/>
    <s v="Product_55"/>
    <s v="Frozen"/>
    <n v="6"/>
    <n v="1"/>
    <n v="217.76"/>
    <n v="32.659999999999997"/>
    <n v="185.1"/>
    <n v="9.26"/>
    <n v="10"/>
    <n v="0"/>
    <n v="204.36"/>
    <s v="Delivered"/>
    <n v="29"/>
  </r>
  <r>
    <x v="256"/>
    <x v="0"/>
    <x v="0"/>
    <x v="0"/>
    <s v="Cust_256"/>
    <x v="0"/>
    <x v="0"/>
    <x v="2"/>
    <n v="361716"/>
    <x v="3"/>
    <s v="SKU56"/>
    <s v="Product_56"/>
    <s v="Essentials"/>
    <n v="10"/>
    <n v="6"/>
    <n v="102.27"/>
    <n v="0"/>
    <n v="613.62"/>
    <n v="30.68"/>
    <n v="0"/>
    <n v="10"/>
    <n v="654.29999999999995"/>
    <s v="Delivered"/>
    <n v="26"/>
  </r>
  <r>
    <x v="257"/>
    <x v="17"/>
    <x v="1"/>
    <x v="14"/>
    <s v="Cust_257"/>
    <x v="0"/>
    <x v="2"/>
    <x v="2"/>
    <n v="522355"/>
    <x v="3"/>
    <s v="SKU57"/>
    <s v="Product_57"/>
    <s v="Veg"/>
    <n v="3"/>
    <n v="1"/>
    <n v="125.17"/>
    <n v="0"/>
    <n v="125.17"/>
    <n v="6.26"/>
    <n v="30"/>
    <n v="10"/>
    <n v="171.43"/>
    <s v="Delivered"/>
    <n v="22"/>
  </r>
  <r>
    <x v="258"/>
    <x v="15"/>
    <x v="1"/>
    <x v="13"/>
    <s v="Cust_258"/>
    <x v="0"/>
    <x v="2"/>
    <x v="2"/>
    <n v="106530"/>
    <x v="1"/>
    <s v="SKU58"/>
    <s v="Product_58"/>
    <s v="Other"/>
    <n v="5"/>
    <n v="5"/>
    <n v="93.1"/>
    <n v="0"/>
    <n v="465.5"/>
    <n v="23.28"/>
    <n v="10"/>
    <n v="10"/>
    <n v="508.78"/>
    <s v="Delivered"/>
    <n v="45"/>
  </r>
  <r>
    <x v="259"/>
    <x v="25"/>
    <x v="0"/>
    <x v="20"/>
    <s v="Cust_259"/>
    <x v="0"/>
    <x v="1"/>
    <x v="2"/>
    <n v="919812"/>
    <x v="6"/>
    <s v="SKU59"/>
    <s v="Product_59"/>
    <s v="bevrage"/>
    <n v="7"/>
    <n v="4"/>
    <n v="243.45"/>
    <n v="36.520000000000003"/>
    <n v="937.28"/>
    <n v="46.86"/>
    <n v="20"/>
    <n v="0"/>
    <n v="1004.14"/>
    <s v="Cancelled"/>
    <n v="25"/>
  </r>
  <r>
    <x v="260"/>
    <x v="35"/>
    <x v="0"/>
    <x v="25"/>
    <s v="Cust_260"/>
    <x v="0"/>
    <x v="5"/>
    <x v="2"/>
    <n v="692131"/>
    <x v="2"/>
    <s v="SKU60"/>
    <s v="Product_60"/>
    <s v="FRUITS "/>
    <n v="7"/>
    <n v="5"/>
    <n v="123.42"/>
    <n v="18.510000000000002"/>
    <n v="598.59"/>
    <n v="29.93"/>
    <n v="30"/>
    <n v="10"/>
    <n v="668.52"/>
    <s v="Delivered"/>
    <n v="3"/>
  </r>
  <r>
    <x v="261"/>
    <x v="25"/>
    <x v="0"/>
    <x v="20"/>
    <s v="Cust_261"/>
    <x v="0"/>
    <x v="0"/>
    <x v="2"/>
    <n v="939188"/>
    <x v="5"/>
    <s v="SKU61"/>
    <s v="Product_61"/>
    <s v="Frozen"/>
    <n v="6"/>
    <n v="2"/>
    <n v="91.04"/>
    <n v="9.1"/>
    <n v="172.98"/>
    <n v="8.65"/>
    <n v="0"/>
    <n v="5"/>
    <n v="186.63"/>
    <s v="Delivered"/>
    <n v="15"/>
  </r>
  <r>
    <x v="262"/>
    <x v="58"/>
    <x v="0"/>
    <x v="19"/>
    <s v="Cust_262"/>
    <x v="0"/>
    <x v="1"/>
    <x v="2"/>
    <n v="298137"/>
    <x v="6"/>
    <s v="SKU62"/>
    <s v="Product_62"/>
    <s v="Other"/>
    <n v="5"/>
    <n v="1"/>
    <n v="125.7"/>
    <n v="0"/>
    <n v="125.7"/>
    <n v="6.29"/>
    <n v="20"/>
    <n v="5"/>
    <n v="156.99"/>
    <s v="Delivered"/>
    <n v="15"/>
  </r>
  <r>
    <x v="263"/>
    <x v="45"/>
    <x v="1"/>
    <x v="28"/>
    <s v="Cust_263"/>
    <x v="0"/>
    <x v="2"/>
    <x v="2"/>
    <n v="501220"/>
    <x v="0"/>
    <s v="SKU63"/>
    <s v="Product_63"/>
    <s v="Beverages"/>
    <n v="9"/>
    <n v="3"/>
    <n v="102.49"/>
    <n v="15.37"/>
    <n v="292.10000000000002"/>
    <n v="14.6"/>
    <n v="10"/>
    <n v="5"/>
    <n v="321.7"/>
    <s v="Delivered"/>
    <n v="9"/>
  </r>
  <r>
    <x v="264"/>
    <x v="27"/>
    <x v="0"/>
    <x v="21"/>
    <s v="Cust_264"/>
    <x v="0"/>
    <x v="5"/>
    <x v="2"/>
    <n v="619165"/>
    <x v="0"/>
    <s v="SKU64"/>
    <s v="Product_64"/>
    <s v="bevrage"/>
    <n v="7"/>
    <n v="6"/>
    <n v="241.14"/>
    <n v="0"/>
    <n v="1446.84"/>
    <n v="72.34"/>
    <n v="20"/>
    <n v="0"/>
    <n v="1539.18"/>
    <s v="Delivered"/>
    <n v="33"/>
  </r>
  <r>
    <x v="265"/>
    <x v="25"/>
    <x v="0"/>
    <x v="20"/>
    <s v="Cust_265"/>
    <x v="0"/>
    <x v="1"/>
    <x v="2"/>
    <n v="542632"/>
    <x v="4"/>
    <s v="SKU65"/>
    <s v="Product_65"/>
    <s v="Veg"/>
    <n v="3"/>
    <n v="2"/>
    <n v="195.87"/>
    <n v="9.7899999999999991"/>
    <n v="381.95"/>
    <n v="19.100000000000001"/>
    <n v="20"/>
    <n v="0"/>
    <n v="421.05"/>
    <s v="Delivered"/>
    <n v="20"/>
  </r>
  <r>
    <x v="266"/>
    <x v="17"/>
    <x v="1"/>
    <x v="14"/>
    <s v="Cust_266"/>
    <x v="0"/>
    <x v="0"/>
    <x v="2"/>
    <n v="512104"/>
    <x v="3"/>
    <s v="SKU66"/>
    <s v="Product_66"/>
    <s v="Beverages"/>
    <n v="9"/>
    <n v="1"/>
    <n v="57.75"/>
    <n v="2.89"/>
    <n v="54.86"/>
    <n v="2.74"/>
    <n v="30"/>
    <n v="15"/>
    <n v="102.6"/>
    <s v="Delivered"/>
    <n v="26"/>
  </r>
  <r>
    <x v="267"/>
    <x v="17"/>
    <x v="1"/>
    <x v="14"/>
    <s v="Cust_267"/>
    <x v="1"/>
    <x v="4"/>
    <x v="2"/>
    <n v="887019"/>
    <x v="0"/>
    <s v="SKU67"/>
    <s v="Product_67"/>
    <s v="Essentials"/>
    <n v="10"/>
    <n v="1"/>
    <n v="196.24"/>
    <n v="9.81"/>
    <n v="186.43"/>
    <n v="9.32"/>
    <n v="20"/>
    <n v="20"/>
    <n v="235.75"/>
    <s v="Delivered"/>
    <n v="17"/>
  </r>
  <r>
    <x v="268"/>
    <x v="29"/>
    <x v="1"/>
    <x v="21"/>
    <s v="Cust_268"/>
    <x v="0"/>
    <x v="2"/>
    <x v="2"/>
    <n v="471233"/>
    <x v="3"/>
    <s v="SKU68"/>
    <s v="Product_68"/>
    <s v="bevrage"/>
    <n v="7"/>
    <n v="5"/>
    <n v="37.17"/>
    <n v="0"/>
    <n v="185.85"/>
    <n v="9.2899999999999991"/>
    <n v="20"/>
    <n v="10"/>
    <n v="225.14"/>
    <s v="Delivered"/>
    <n v="12"/>
  </r>
  <r>
    <x v="269"/>
    <x v="47"/>
    <x v="0"/>
    <x v="7"/>
    <s v="Cust_269"/>
    <x v="0"/>
    <x v="3"/>
    <x v="2"/>
    <n v="133866"/>
    <x v="0"/>
    <s v="SKU69"/>
    <s v="Product_69"/>
    <s v="bevrage"/>
    <n v="7"/>
    <n v="3"/>
    <n v="46.27"/>
    <n v="0"/>
    <n v="138.81"/>
    <n v="6.94"/>
    <n v="20"/>
    <n v="20"/>
    <n v="185.75"/>
    <s v="Delivered"/>
    <n v="27"/>
  </r>
  <r>
    <x v="270"/>
    <x v="9"/>
    <x v="1"/>
    <x v="7"/>
    <s v="Cust_270"/>
    <x v="0"/>
    <x v="2"/>
    <x v="2"/>
    <n v="533934"/>
    <x v="0"/>
    <s v="SKU70"/>
    <s v="Product_70"/>
    <s v="bevrage"/>
    <n v="7"/>
    <n v="4"/>
    <n v="103.69"/>
    <n v="5.18"/>
    <n v="409.58"/>
    <n v="20.48"/>
    <n v="0"/>
    <n v="20"/>
    <n v="450.06"/>
    <s v="Delivered"/>
    <n v="19"/>
  </r>
  <r>
    <x v="271"/>
    <x v="35"/>
    <x v="0"/>
    <x v="25"/>
    <s v="Cust_271"/>
    <x v="0"/>
    <x v="5"/>
    <x v="2"/>
    <n v="305735"/>
    <x v="0"/>
    <s v="SKU71"/>
    <s v="Product_71"/>
    <s v="DIARY"/>
    <n v="5"/>
    <n v="1"/>
    <n v="166.91"/>
    <n v="16.690000000000001"/>
    <n v="150.22"/>
    <n v="7.51"/>
    <n v="30"/>
    <n v="5"/>
    <n v="192.73"/>
    <s v="Delivered"/>
    <n v="30"/>
  </r>
  <r>
    <x v="272"/>
    <x v="57"/>
    <x v="0"/>
    <x v="18"/>
    <s v="Cust_272"/>
    <x v="0"/>
    <x v="3"/>
    <x v="2"/>
    <n v="356190"/>
    <x v="0"/>
    <s v="SKU72"/>
    <s v="Product_72"/>
    <s v="Veg"/>
    <n v="3"/>
    <n v="1"/>
    <n v="188.54"/>
    <n v="28.28"/>
    <n v="160.26"/>
    <n v="8.01"/>
    <n v="10"/>
    <n v="20"/>
    <n v="198.27"/>
    <s v="Delivered"/>
    <n v="27"/>
  </r>
  <r>
    <x v="273"/>
    <x v="22"/>
    <x v="0"/>
    <x v="14"/>
    <s v="Cust_273"/>
    <x v="0"/>
    <x v="0"/>
    <x v="2"/>
    <n v="679365"/>
    <x v="4"/>
    <s v="SKU73"/>
    <s v="Product_73"/>
    <s v="Baby"/>
    <n v="4"/>
    <n v="2"/>
    <n v="64.650000000000006"/>
    <n v="0"/>
    <n v="129.30000000000001"/>
    <n v="6.47"/>
    <n v="0"/>
    <n v="10"/>
    <n v="145.77000000000001"/>
    <s v="Cancelled"/>
    <n v="25"/>
  </r>
  <r>
    <x v="274"/>
    <x v="54"/>
    <x v="1"/>
    <x v="18"/>
    <s v="Cust_274"/>
    <x v="2"/>
    <x v="4"/>
    <x v="2"/>
    <n v="543316"/>
    <x v="0"/>
    <s v="SKU74"/>
    <s v="Product_74"/>
    <s v="Snacks"/>
    <n v="6"/>
    <n v="5"/>
    <n v="48.66"/>
    <n v="2.4300000000000002"/>
    <n v="240.87"/>
    <n v="12.04"/>
    <n v="0"/>
    <n v="5"/>
    <n v="257.91000000000003"/>
    <s v="Delivered"/>
    <n v="22"/>
  </r>
  <r>
    <x v="275"/>
    <x v="8"/>
    <x v="1"/>
    <x v="6"/>
    <s v="Cust_275"/>
    <x v="0"/>
    <x v="5"/>
    <x v="2"/>
    <n v="517168"/>
    <x v="0"/>
    <s v="SKU75"/>
    <s v="Product_75"/>
    <s v="bevrage"/>
    <n v="7"/>
    <n v="5"/>
    <n v="275.37"/>
    <n v="27.54"/>
    <n v="1349.31"/>
    <n v="67.47"/>
    <n v="20"/>
    <n v="20"/>
    <n v="1456.78"/>
    <s v="Delivered"/>
    <n v="19"/>
  </r>
  <r>
    <x v="276"/>
    <x v="17"/>
    <x v="1"/>
    <x v="14"/>
    <s v="Cust_276"/>
    <x v="2"/>
    <x v="4"/>
    <x v="2"/>
    <n v="973093"/>
    <x v="0"/>
    <s v="SKU76"/>
    <s v="Product_76"/>
    <s v="Frozen"/>
    <n v="6"/>
    <n v="4"/>
    <n v="71.680000000000007"/>
    <n v="7.17"/>
    <n v="279.55"/>
    <n v="13.98"/>
    <n v="20"/>
    <n v="0"/>
    <n v="313.52999999999997"/>
    <s v="Delivered"/>
    <n v="30"/>
  </r>
  <r>
    <x v="277"/>
    <x v="12"/>
    <x v="0"/>
    <x v="10"/>
    <s v="Cust_277"/>
    <x v="0"/>
    <x v="5"/>
    <x v="2"/>
    <n v="576513"/>
    <x v="4"/>
    <s v="SKU77"/>
    <s v="Product_77"/>
    <s v="Dairy"/>
    <n v="5"/>
    <n v="3"/>
    <n v="199.06"/>
    <n v="0"/>
    <n v="597.18000000000006"/>
    <n v="29.86"/>
    <n v="10"/>
    <n v="10"/>
    <n v="647.04000000000008"/>
    <s v="Delivered"/>
    <n v="27"/>
  </r>
  <r>
    <x v="278"/>
    <x v="18"/>
    <x v="0"/>
    <x v="15"/>
    <s v="Cust_278"/>
    <x v="0"/>
    <x v="3"/>
    <x v="2"/>
    <n v="802098"/>
    <x v="5"/>
    <s v="SKU78"/>
    <s v="Product_78"/>
    <s v="Other"/>
    <n v="5"/>
    <n v="4"/>
    <n v="114.53"/>
    <n v="11.45"/>
    <n v="446.67"/>
    <n v="22.33"/>
    <n v="0"/>
    <n v="0"/>
    <n v="469"/>
    <s v="Delivered"/>
    <n v="2"/>
  </r>
  <r>
    <x v="279"/>
    <x v="42"/>
    <x v="1"/>
    <x v="24"/>
    <s v="Cust_279"/>
    <x v="0"/>
    <x v="5"/>
    <x v="2"/>
    <n v="423853"/>
    <x v="4"/>
    <s v="SKU79"/>
    <s v="Product_79"/>
    <s v="Fruits"/>
    <n v="6"/>
    <n v="1"/>
    <n v="89.71"/>
    <n v="13.46"/>
    <n v="76.25"/>
    <n v="3.81"/>
    <n v="10"/>
    <n v="5"/>
    <n v="95.06"/>
    <s v="Delivered"/>
    <n v="19"/>
  </r>
  <r>
    <x v="280"/>
    <x v="57"/>
    <x v="0"/>
    <x v="18"/>
    <s v="Cust_280"/>
    <x v="0"/>
    <x v="0"/>
    <x v="2"/>
    <n v="569164"/>
    <x v="3"/>
    <s v="SKU80"/>
    <s v="Product_80"/>
    <s v="Veg"/>
    <n v="3"/>
    <n v="6"/>
    <n v="80.239999999999995"/>
    <n v="8.02"/>
    <n v="473.42"/>
    <n v="23.67"/>
    <n v="30"/>
    <n v="10"/>
    <n v="537.08999999999992"/>
    <s v="Delivered"/>
    <n v="4"/>
  </r>
  <r>
    <x v="281"/>
    <x v="46"/>
    <x v="1"/>
    <x v="25"/>
    <s v="Cust_281"/>
    <x v="0"/>
    <x v="0"/>
    <x v="2"/>
    <n v="440754"/>
    <x v="1"/>
    <s v="SKU81"/>
    <s v="Product_81"/>
    <s v="DIARY"/>
    <n v="5"/>
    <n v="5"/>
    <n v="211.28"/>
    <n v="31.69"/>
    <n v="1024.71"/>
    <n v="51.24"/>
    <n v="30"/>
    <n v="15"/>
    <n v="1120.95"/>
    <s v="Delivered"/>
    <n v="32"/>
  </r>
  <r>
    <x v="282"/>
    <x v="57"/>
    <x v="0"/>
    <x v="18"/>
    <s v="Cust_282"/>
    <x v="0"/>
    <x v="2"/>
    <x v="2"/>
    <n v="935869"/>
    <x v="0"/>
    <s v="SKU82"/>
    <s v="Product_82"/>
    <s v="Frozen"/>
    <n v="6"/>
    <n v="4"/>
    <n v="90.65"/>
    <n v="0"/>
    <n v="362.6"/>
    <n v="18.13"/>
    <n v="0"/>
    <n v="10"/>
    <n v="390.73"/>
    <s v="Delivered"/>
    <n v="27"/>
  </r>
  <r>
    <x v="283"/>
    <x v="33"/>
    <x v="0"/>
    <x v="9"/>
    <s v="Cust_283"/>
    <x v="0"/>
    <x v="1"/>
    <x v="2"/>
    <n v="609666"/>
    <x v="1"/>
    <s v="SKU83"/>
    <s v="Product_83"/>
    <s v="Beverages"/>
    <n v="9"/>
    <n v="3"/>
    <n v="59.61"/>
    <n v="5.96"/>
    <n v="172.87"/>
    <n v="8.64"/>
    <n v="10"/>
    <n v="5"/>
    <n v="196.51"/>
    <s v="Delivered"/>
    <n v="19"/>
  </r>
  <r>
    <x v="284"/>
    <x v="39"/>
    <x v="1"/>
    <x v="26"/>
    <s v="Cust_284"/>
    <x v="0"/>
    <x v="5"/>
    <x v="2"/>
    <n v="302435"/>
    <x v="2"/>
    <s v="SKU84"/>
    <s v="Product_84"/>
    <s v="bevrage"/>
    <n v="7"/>
    <n v="4"/>
    <n v="172.07"/>
    <n v="0"/>
    <n v="688.28"/>
    <n v="34.409999999999997"/>
    <n v="20"/>
    <n v="20"/>
    <n v="762.68999999999994"/>
    <s v="Delivered"/>
    <n v="21"/>
  </r>
  <r>
    <x v="285"/>
    <x v="33"/>
    <x v="0"/>
    <x v="9"/>
    <s v="Cust_285"/>
    <x v="0"/>
    <x v="2"/>
    <x v="2"/>
    <n v="163095"/>
    <x v="4"/>
    <s v="SKU85"/>
    <s v="Product_85"/>
    <s v="Frozen"/>
    <n v="6"/>
    <n v="1"/>
    <n v="108.46"/>
    <n v="0"/>
    <n v="108.46"/>
    <n v="5.42"/>
    <n v="20"/>
    <n v="5"/>
    <n v="138.88"/>
    <s v="Cancelled"/>
    <n v="25"/>
  </r>
  <r>
    <x v="286"/>
    <x v="10"/>
    <x v="1"/>
    <x v="8"/>
    <s v="Cust_286"/>
    <x v="0"/>
    <x v="5"/>
    <x v="2"/>
    <n v="522381"/>
    <x v="2"/>
    <s v="SKU86"/>
    <s v="Product_86"/>
    <s v="Essentials"/>
    <n v="10"/>
    <n v="4"/>
    <n v="130.77000000000001"/>
    <n v="13.08"/>
    <n v="510.00000000000011"/>
    <n v="25.5"/>
    <n v="20"/>
    <n v="5"/>
    <n v="560.5"/>
    <s v="Failed"/>
    <n v="25"/>
  </r>
  <r>
    <x v="287"/>
    <x v="58"/>
    <x v="0"/>
    <x v="19"/>
    <s v="Cust_287"/>
    <x v="0"/>
    <x v="1"/>
    <x v="2"/>
    <n v="902720"/>
    <x v="5"/>
    <s v="SKU87"/>
    <s v="Product_87"/>
    <s v="Other"/>
    <n v="5"/>
    <n v="4"/>
    <n v="160.05000000000001"/>
    <n v="16.010000000000002"/>
    <n v="624.19000000000005"/>
    <n v="31.21"/>
    <n v="20"/>
    <n v="15"/>
    <n v="690.40000000000009"/>
    <s v="Delivered"/>
    <n v="27"/>
  </r>
  <r>
    <x v="288"/>
    <x v="27"/>
    <x v="0"/>
    <x v="21"/>
    <s v="Cust_288"/>
    <x v="0"/>
    <x v="1"/>
    <x v="2"/>
    <n v="237653"/>
    <x v="1"/>
    <s v="SKU88"/>
    <s v="Product_88"/>
    <s v="Frozen"/>
    <n v="6"/>
    <n v="4"/>
    <n v="160.35"/>
    <n v="16.04"/>
    <n v="625.36"/>
    <n v="31.27"/>
    <n v="30"/>
    <n v="5"/>
    <n v="691.63"/>
    <s v="Delivered"/>
    <n v="43"/>
  </r>
  <r>
    <x v="289"/>
    <x v="45"/>
    <x v="1"/>
    <x v="28"/>
    <s v="Cust_289"/>
    <x v="1"/>
    <x v="4"/>
    <x v="2"/>
    <n v="913081"/>
    <x v="0"/>
    <s v="SKU89"/>
    <s v="Product_89"/>
    <s v="Frozen"/>
    <n v="6"/>
    <n v="1"/>
    <n v="16.62"/>
    <n v="1.66"/>
    <n v="14.96"/>
    <n v="0.75"/>
    <n v="20"/>
    <n v="20"/>
    <n v="55.71"/>
    <s v="Delivered"/>
    <n v="15"/>
  </r>
  <r>
    <x v="290"/>
    <x v="20"/>
    <x v="0"/>
    <x v="17"/>
    <s v="Cust_290"/>
    <x v="0"/>
    <x v="3"/>
    <x v="2"/>
    <n v="964434"/>
    <x v="2"/>
    <s v="SKU90"/>
    <s v="Product_90"/>
    <s v="Veg"/>
    <n v="3"/>
    <n v="2"/>
    <n v="87.88"/>
    <n v="0"/>
    <n v="175.76"/>
    <n v="8.7899999999999991"/>
    <n v="20"/>
    <n v="5"/>
    <n v="209.55"/>
    <s v="Delivered"/>
    <n v="24"/>
  </r>
  <r>
    <x v="291"/>
    <x v="11"/>
    <x v="1"/>
    <x v="9"/>
    <s v="Cust_291"/>
    <x v="0"/>
    <x v="3"/>
    <x v="2"/>
    <n v="330147"/>
    <x v="4"/>
    <s v="SKU91"/>
    <s v="Product_91"/>
    <s v="Snacks"/>
    <n v="6"/>
    <n v="2"/>
    <n v="145.30000000000001"/>
    <n v="7.27"/>
    <n v="283.33"/>
    <n v="14.17"/>
    <n v="0"/>
    <n v="10"/>
    <n v="307.50000000000011"/>
    <s v="Delivered"/>
    <n v="33"/>
  </r>
  <r>
    <x v="292"/>
    <x v="55"/>
    <x v="1"/>
    <x v="11"/>
    <s v="Cust_292"/>
    <x v="0"/>
    <x v="1"/>
    <x v="2"/>
    <n v="897622"/>
    <x v="0"/>
    <s v="SKU92"/>
    <s v="Product_92"/>
    <s v="Baby"/>
    <n v="4"/>
    <n v="3"/>
    <n v="173.32"/>
    <n v="0"/>
    <n v="519.96"/>
    <n v="26"/>
    <n v="10"/>
    <n v="20"/>
    <n v="575.96"/>
    <s v="Delivered"/>
    <n v="19"/>
  </r>
  <r>
    <x v="293"/>
    <x v="1"/>
    <x v="0"/>
    <x v="1"/>
    <s v="Cust_293"/>
    <x v="0"/>
    <x v="0"/>
    <x v="2"/>
    <n v="257584"/>
    <x v="2"/>
    <s v="SKU93"/>
    <s v="Product_93"/>
    <s v="Fruits"/>
    <n v="6"/>
    <n v="3"/>
    <n v="230.29"/>
    <n v="11.51"/>
    <n v="679.36"/>
    <n v="33.97"/>
    <n v="0"/>
    <n v="10"/>
    <n v="723.33"/>
    <s v="Returned"/>
    <n v="25"/>
  </r>
  <r>
    <x v="294"/>
    <x v="48"/>
    <x v="0"/>
    <x v="13"/>
    <s v="Cust_294"/>
    <x v="0"/>
    <x v="1"/>
    <x v="2"/>
    <n v="981506"/>
    <x v="0"/>
    <s v="SKU94"/>
    <s v="Product_94"/>
    <s v="Veg"/>
    <n v="3"/>
    <n v="3"/>
    <n v="85.2"/>
    <n v="12.78"/>
    <n v="242.82"/>
    <n v="12.14"/>
    <n v="0"/>
    <n v="15"/>
    <n v="269.95999999999998"/>
    <s v="Delivered"/>
    <n v="32"/>
  </r>
  <r>
    <x v="295"/>
    <x v="46"/>
    <x v="1"/>
    <x v="25"/>
    <s v="Cust_295"/>
    <x v="0"/>
    <x v="2"/>
    <x v="2"/>
    <n v="818675"/>
    <x v="0"/>
    <s v="SKU95"/>
    <s v="Product_95"/>
    <s v="Frozen"/>
    <n v="6"/>
    <n v="1"/>
    <n v="164.72"/>
    <n v="24.71"/>
    <n v="140.01"/>
    <n v="7"/>
    <n v="30"/>
    <n v="15"/>
    <n v="192.01"/>
    <s v="Delivered"/>
    <n v="16"/>
  </r>
  <r>
    <x v="296"/>
    <x v="16"/>
    <x v="1"/>
    <x v="10"/>
    <s v="Cust_296"/>
    <x v="0"/>
    <x v="2"/>
    <x v="2"/>
    <n v="585757"/>
    <x v="3"/>
    <s v="SKU96"/>
    <s v="Product_96"/>
    <s v="Essentials"/>
    <n v="10"/>
    <n v="2"/>
    <n v="167.66"/>
    <n v="0"/>
    <n v="335.32"/>
    <n v="16.77"/>
    <n v="30"/>
    <n v="20"/>
    <n v="402.09"/>
    <s v="Cancelled"/>
    <n v="25"/>
  </r>
  <r>
    <x v="297"/>
    <x v="10"/>
    <x v="1"/>
    <x v="8"/>
    <s v="Cust_297"/>
    <x v="0"/>
    <x v="1"/>
    <x v="2"/>
    <n v="628936"/>
    <x v="6"/>
    <s v="SKU97"/>
    <s v="Product_97"/>
    <s v="Dairy"/>
    <n v="5"/>
    <n v="4"/>
    <n v="81.040000000000006"/>
    <n v="4.05"/>
    <n v="320.11"/>
    <n v="16.010000000000002"/>
    <n v="20"/>
    <n v="10"/>
    <n v="366.12"/>
    <s v="Delivered"/>
    <n v="8"/>
  </r>
  <r>
    <x v="298"/>
    <x v="51"/>
    <x v="0"/>
    <x v="28"/>
    <s v="Cust_298"/>
    <x v="0"/>
    <x v="3"/>
    <x v="2"/>
    <n v="694316"/>
    <x v="0"/>
    <s v="SKU98"/>
    <s v="Product_98"/>
    <s v="Other"/>
    <n v="5"/>
    <n v="2"/>
    <n v="124.2"/>
    <n v="6.21"/>
    <n v="242.19"/>
    <n v="12.11"/>
    <n v="20"/>
    <n v="0"/>
    <n v="274.3"/>
    <s v="Delivered"/>
    <n v="36"/>
  </r>
  <r>
    <x v="299"/>
    <x v="30"/>
    <x v="1"/>
    <x v="22"/>
    <s v="Cust_299"/>
    <x v="2"/>
    <x v="4"/>
    <x v="2"/>
    <n v="414925"/>
    <x v="0"/>
    <s v="SKU99"/>
    <s v="Product_99"/>
    <s v="Baby"/>
    <n v="4"/>
    <n v="1"/>
    <n v="77.069999999999993"/>
    <n v="3.85"/>
    <n v="73.22"/>
    <n v="3.66"/>
    <n v="0"/>
    <n v="0"/>
    <n v="76.88"/>
    <s v="Cancelled"/>
    <n v="25"/>
  </r>
  <r>
    <x v="300"/>
    <x v="22"/>
    <x v="0"/>
    <x v="14"/>
    <s v="Cust_0"/>
    <x v="0"/>
    <x v="0"/>
    <x v="2"/>
    <n v="668651"/>
    <x v="5"/>
    <s v="SKU100"/>
    <s v="Product_100"/>
    <s v="Bakery"/>
    <n v="6"/>
    <n v="3"/>
    <n v="222.55"/>
    <n v="33.380000000000003"/>
    <n v="634.2700000000001"/>
    <n v="31.71"/>
    <n v="0"/>
    <n v="20"/>
    <n v="685.98000000000013"/>
    <s v="Delivered"/>
    <n v="19"/>
  </r>
  <r>
    <x v="301"/>
    <x v="37"/>
    <x v="1"/>
    <x v="12"/>
    <s v="Cust_1"/>
    <x v="0"/>
    <x v="5"/>
    <x v="2"/>
    <n v="952694"/>
    <x v="0"/>
    <s v="SKU101"/>
    <s v="Product_101"/>
    <s v="Frozen"/>
    <n v="6"/>
    <n v="3"/>
    <n v="208.44"/>
    <n v="0"/>
    <n v="625.31999999999994"/>
    <n v="31.27"/>
    <n v="10"/>
    <n v="0"/>
    <n v="666.58999999999992"/>
    <s v="Delivered"/>
    <n v="21"/>
  </r>
  <r>
    <x v="302"/>
    <x v="21"/>
    <x v="2"/>
    <x v="18"/>
    <s v="Cust_2"/>
    <x v="0"/>
    <x v="2"/>
    <x v="2"/>
    <n v="853298"/>
    <x v="5"/>
    <s v="SKU102"/>
    <s v="Product_102"/>
    <s v="Snacks"/>
    <n v="6"/>
    <n v="2"/>
    <n v="98.69"/>
    <n v="4.93"/>
    <n v="192.45"/>
    <n v="9.6199999999999992"/>
    <n v="0"/>
    <n v="5"/>
    <n v="207.07"/>
    <s v="Delivered"/>
    <n v="37"/>
  </r>
  <r>
    <x v="303"/>
    <x v="27"/>
    <x v="0"/>
    <x v="21"/>
    <s v="Cust_3"/>
    <x v="1"/>
    <x v="4"/>
    <x v="2"/>
    <n v="988544"/>
    <x v="6"/>
    <s v="SKU103"/>
    <s v="Product_103"/>
    <s v="Veg"/>
    <n v="3"/>
    <n v="6"/>
    <n v="124.53"/>
    <n v="12.45"/>
    <n v="734.73"/>
    <n v="36.74"/>
    <n v="30"/>
    <n v="15"/>
    <n v="816.47"/>
    <s v="Delivered"/>
    <n v="8"/>
  </r>
  <r>
    <x v="304"/>
    <x v="46"/>
    <x v="1"/>
    <x v="25"/>
    <s v="Cust_4"/>
    <x v="0"/>
    <x v="0"/>
    <x v="2"/>
    <n v="423494"/>
    <x v="2"/>
    <s v="SKU104"/>
    <s v="Product_104"/>
    <s v="Essentials"/>
    <n v="10"/>
    <n v="2"/>
    <n v="24.17"/>
    <n v="1.21"/>
    <n v="47.13"/>
    <n v="2.36"/>
    <n v="20"/>
    <n v="0"/>
    <n v="69.490000000000009"/>
    <s v="Delivered"/>
    <n v="16"/>
  </r>
  <r>
    <x v="305"/>
    <x v="30"/>
    <x v="1"/>
    <x v="22"/>
    <s v="Cust_5"/>
    <x v="0"/>
    <x v="2"/>
    <x v="2"/>
    <n v="621481"/>
    <x v="6"/>
    <s v="SKU105"/>
    <s v="Product_105"/>
    <s v="Bakery"/>
    <n v="6"/>
    <n v="1"/>
    <n v="174.41"/>
    <n v="17.440000000000001"/>
    <n v="156.97"/>
    <n v="7.85"/>
    <n v="10"/>
    <n v="0"/>
    <n v="174.82"/>
    <s v="Delivered"/>
    <n v="22"/>
  </r>
  <r>
    <x v="306"/>
    <x v="2"/>
    <x v="1"/>
    <x v="2"/>
    <s v="Cust_6"/>
    <x v="0"/>
    <x v="3"/>
    <x v="2"/>
    <n v="205848"/>
    <x v="2"/>
    <s v="SKU106"/>
    <s v="Product_106"/>
    <s v="Essentials"/>
    <n v="10"/>
    <n v="3"/>
    <n v="91.83"/>
    <n v="9.18"/>
    <n v="266.31"/>
    <n v="13.32"/>
    <n v="0"/>
    <n v="10"/>
    <n v="289.63"/>
    <s v="Returned"/>
    <n v="25"/>
  </r>
  <r>
    <x v="307"/>
    <x v="15"/>
    <x v="1"/>
    <x v="13"/>
    <s v="Cust_7"/>
    <x v="0"/>
    <x v="3"/>
    <x v="2"/>
    <n v="303047"/>
    <x v="0"/>
    <s v="SKU107"/>
    <s v="Product_107"/>
    <s v="Essentials"/>
    <n v="10"/>
    <n v="2"/>
    <n v="78.45"/>
    <n v="0"/>
    <n v="156.9"/>
    <n v="7.85"/>
    <n v="10"/>
    <n v="10"/>
    <n v="184.75"/>
    <s v="Delivered"/>
    <n v="10"/>
  </r>
  <r>
    <x v="308"/>
    <x v="43"/>
    <x v="1"/>
    <x v="23"/>
    <s v="Cust_8"/>
    <x v="0"/>
    <x v="2"/>
    <x v="2"/>
    <n v="610370"/>
    <x v="0"/>
    <s v="SKU108"/>
    <s v="Product_108"/>
    <s v="Fruits"/>
    <n v="6"/>
    <n v="1"/>
    <n v="147.12"/>
    <n v="0"/>
    <n v="147.12"/>
    <n v="7.36"/>
    <n v="20"/>
    <n v="15"/>
    <n v="189.48"/>
    <s v="Delivered"/>
    <n v="12"/>
  </r>
  <r>
    <x v="309"/>
    <x v="21"/>
    <x v="2"/>
    <x v="18"/>
    <s v="Cust_9"/>
    <x v="0"/>
    <x v="1"/>
    <x v="2"/>
    <n v="743294"/>
    <x v="5"/>
    <s v="SKU109"/>
    <s v="Product_109"/>
    <s v="Baby"/>
    <n v="4"/>
    <n v="3"/>
    <n v="32.549999999999997"/>
    <n v="4.88"/>
    <n v="92.77"/>
    <n v="4.6399999999999997"/>
    <n v="20"/>
    <n v="15"/>
    <n v="132.41"/>
    <s v="Cancelled"/>
    <n v="25"/>
  </r>
  <r>
    <x v="310"/>
    <x v="27"/>
    <x v="0"/>
    <x v="21"/>
    <s v="Cust_10"/>
    <x v="1"/>
    <x v="4"/>
    <x v="2"/>
    <n v="724411"/>
    <x v="0"/>
    <s v="SKU110"/>
    <s v="Product_110"/>
    <s v="Dairy"/>
    <n v="5"/>
    <n v="5"/>
    <n v="85.35"/>
    <n v="0"/>
    <n v="426.75"/>
    <n v="21.34"/>
    <n v="10"/>
    <n v="0"/>
    <n v="458.09"/>
    <s v="Delivered"/>
    <n v="6"/>
  </r>
  <r>
    <x v="311"/>
    <x v="13"/>
    <x v="0"/>
    <x v="11"/>
    <s v="Cust_11"/>
    <x v="0"/>
    <x v="0"/>
    <x v="2"/>
    <n v="594178"/>
    <x v="0"/>
    <s v="SKU111"/>
    <s v="Product_111"/>
    <s v="Veg"/>
    <n v="3"/>
    <n v="3"/>
    <n v="169.76"/>
    <n v="0"/>
    <n v="509.28"/>
    <n v="25.46"/>
    <n v="30"/>
    <n v="5"/>
    <n v="569.74"/>
    <s v="Delivered"/>
    <n v="19"/>
  </r>
  <r>
    <x v="312"/>
    <x v="8"/>
    <x v="1"/>
    <x v="6"/>
    <s v="Cust_12"/>
    <x v="0"/>
    <x v="2"/>
    <x v="2"/>
    <n v="986559"/>
    <x v="4"/>
    <s v="SKU112"/>
    <s v="Product_112"/>
    <s v="FRUITS "/>
    <n v="7"/>
    <n v="3"/>
    <n v="199.84"/>
    <n v="19.98"/>
    <n v="579.54"/>
    <n v="28.98"/>
    <n v="30"/>
    <n v="20"/>
    <n v="658.52"/>
    <s v="Delivered"/>
    <n v="35"/>
  </r>
  <r>
    <x v="313"/>
    <x v="42"/>
    <x v="1"/>
    <x v="24"/>
    <s v="Cust_13"/>
    <x v="0"/>
    <x v="1"/>
    <x v="2"/>
    <n v="416456"/>
    <x v="1"/>
    <s v="SKU113"/>
    <s v="Product_113"/>
    <s v="Fruits"/>
    <n v="6"/>
    <n v="3"/>
    <n v="102.39"/>
    <n v="10.24"/>
    <n v="296.93"/>
    <n v="14.85"/>
    <n v="20"/>
    <n v="0"/>
    <n v="331.78"/>
    <s v="Cancelled"/>
    <n v="25"/>
  </r>
  <r>
    <x v="314"/>
    <x v="15"/>
    <x v="1"/>
    <x v="13"/>
    <s v="Cust_14"/>
    <x v="2"/>
    <x v="4"/>
    <x v="2"/>
    <n v="863799"/>
    <x v="0"/>
    <s v="SKU114"/>
    <s v="Product_114"/>
    <s v="Veg"/>
    <n v="3"/>
    <n v="3"/>
    <n v="97.83"/>
    <n v="4.8899999999999997"/>
    <n v="288.60000000000002"/>
    <n v="14.43"/>
    <n v="20"/>
    <n v="20"/>
    <n v="343.03"/>
    <s v="Delivered"/>
    <n v="13"/>
  </r>
  <r>
    <x v="315"/>
    <x v="8"/>
    <x v="1"/>
    <x v="6"/>
    <s v="Cust_15"/>
    <x v="2"/>
    <x v="4"/>
    <x v="2"/>
    <n v="168803"/>
    <x v="0"/>
    <s v="SKU115"/>
    <s v="Product_115"/>
    <s v="Beverages"/>
    <n v="9"/>
    <n v="3"/>
    <n v="166.13"/>
    <n v="0"/>
    <n v="498.39"/>
    <n v="24.92"/>
    <n v="10"/>
    <n v="0"/>
    <n v="533.30999999999995"/>
    <s v="Delivered"/>
    <n v="9"/>
  </r>
  <r>
    <x v="316"/>
    <x v="43"/>
    <x v="1"/>
    <x v="23"/>
    <s v="Cust_16"/>
    <x v="0"/>
    <x v="0"/>
    <x v="2"/>
    <n v="220234"/>
    <x v="3"/>
    <s v="SKU116"/>
    <s v="Product_116"/>
    <s v="Snacks"/>
    <n v="6"/>
    <n v="4"/>
    <n v="91.02"/>
    <n v="13.65"/>
    <n v="350.43"/>
    <n v="17.52"/>
    <n v="10"/>
    <n v="5"/>
    <n v="382.95"/>
    <s v="Delivered"/>
    <n v="26"/>
  </r>
  <r>
    <x v="317"/>
    <x v="57"/>
    <x v="0"/>
    <x v="18"/>
    <s v="Cust_17"/>
    <x v="0"/>
    <x v="2"/>
    <x v="2"/>
    <n v="441383"/>
    <x v="6"/>
    <s v="SKU117"/>
    <s v="Product_117"/>
    <s v="FRUITS "/>
    <n v="7"/>
    <n v="4"/>
    <n v="47.7"/>
    <n v="0"/>
    <n v="190.8"/>
    <n v="9.5399999999999991"/>
    <n v="10"/>
    <n v="5"/>
    <n v="215.34"/>
    <s v="Delivered"/>
    <n v="3"/>
  </r>
  <r>
    <x v="318"/>
    <x v="36"/>
    <x v="1"/>
    <x v="17"/>
    <s v="Cust_18"/>
    <x v="1"/>
    <x v="4"/>
    <x v="2"/>
    <n v="630032"/>
    <x v="3"/>
    <s v="SKU118"/>
    <s v="Product_118"/>
    <s v="Frozen"/>
    <n v="6"/>
    <n v="1"/>
    <n v="187.92"/>
    <n v="18.79"/>
    <n v="169.13"/>
    <n v="8.4600000000000009"/>
    <n v="0"/>
    <n v="10"/>
    <n v="187.59"/>
    <s v="Returned"/>
    <n v="25"/>
  </r>
  <r>
    <x v="319"/>
    <x v="1"/>
    <x v="0"/>
    <x v="1"/>
    <s v="Cust_19"/>
    <x v="0"/>
    <x v="5"/>
    <x v="2"/>
    <n v="775159"/>
    <x v="5"/>
    <s v="SKU119"/>
    <s v="Product_119"/>
    <s v="DIARY"/>
    <n v="5"/>
    <n v="7"/>
    <n v="19.53"/>
    <n v="0.98"/>
    <n v="135.72999999999999"/>
    <n v="6.79"/>
    <n v="10"/>
    <n v="0"/>
    <n v="152.52000000000001"/>
    <s v="Delivered"/>
    <n v="16"/>
  </r>
  <r>
    <x v="320"/>
    <x v="53"/>
    <x v="0"/>
    <x v="29"/>
    <s v="Cust_20"/>
    <x v="0"/>
    <x v="0"/>
    <x v="2"/>
    <n v="530442"/>
    <x v="0"/>
    <s v="SKU120"/>
    <s v="Product_120"/>
    <s v="Dairy"/>
    <n v="5"/>
    <n v="6"/>
    <n v="56.09"/>
    <n v="0"/>
    <n v="336.54"/>
    <n v="16.829999999999998"/>
    <n v="30"/>
    <n v="15"/>
    <n v="398.37"/>
    <s v="Delivered"/>
    <n v="36"/>
  </r>
  <r>
    <x v="321"/>
    <x v="22"/>
    <x v="0"/>
    <x v="14"/>
    <s v="Cust_21"/>
    <x v="1"/>
    <x v="4"/>
    <x v="2"/>
    <n v="572890"/>
    <x v="0"/>
    <s v="SKU121"/>
    <s v="Product_121"/>
    <s v="Dairy"/>
    <n v="5"/>
    <n v="1"/>
    <n v="51.55"/>
    <n v="7.73"/>
    <n v="43.819999999999993"/>
    <n v="2.19"/>
    <n v="20"/>
    <n v="15"/>
    <n v="81.009999999999991"/>
    <s v="Delivered"/>
    <n v="25"/>
  </r>
  <r>
    <x v="322"/>
    <x v="14"/>
    <x v="0"/>
    <x v="12"/>
    <s v="Cust_22"/>
    <x v="0"/>
    <x v="2"/>
    <x v="2"/>
    <n v="304923"/>
    <x v="1"/>
    <s v="SKU122"/>
    <s v="Product_122"/>
    <s v="Essentials"/>
    <n v="10"/>
    <n v="2"/>
    <n v="100.96"/>
    <n v="5.05"/>
    <n v="196.87"/>
    <n v="9.84"/>
    <n v="0"/>
    <n v="15"/>
    <n v="221.71"/>
    <s v="Delivered"/>
    <n v="25"/>
  </r>
  <r>
    <x v="323"/>
    <x v="0"/>
    <x v="0"/>
    <x v="0"/>
    <s v="Cust_23"/>
    <x v="0"/>
    <x v="5"/>
    <x v="2"/>
    <n v="302747"/>
    <x v="1"/>
    <s v="SKU123"/>
    <s v="Product_123"/>
    <s v="bevrage"/>
    <n v="7"/>
    <n v="1"/>
    <n v="153.53"/>
    <n v="15.35"/>
    <n v="138.18"/>
    <n v="6.91"/>
    <n v="10"/>
    <n v="10"/>
    <n v="165.09"/>
    <s v="Delivered"/>
    <n v="34"/>
  </r>
  <r>
    <x v="324"/>
    <x v="38"/>
    <x v="1"/>
    <x v="20"/>
    <s v="Cust_24"/>
    <x v="0"/>
    <x v="5"/>
    <x v="2"/>
    <n v="159500"/>
    <x v="1"/>
    <s v="SKU124"/>
    <s v="Product_124"/>
    <s v="DIARY"/>
    <n v="5"/>
    <n v="1"/>
    <n v="113.83"/>
    <n v="11.38"/>
    <n v="102.45"/>
    <n v="5.12"/>
    <n v="0"/>
    <n v="5"/>
    <n v="112.57"/>
    <s v="Delivered"/>
    <n v="26"/>
  </r>
  <r>
    <x v="325"/>
    <x v="14"/>
    <x v="0"/>
    <x v="12"/>
    <s v="Cust_25"/>
    <x v="1"/>
    <x v="4"/>
    <x v="2"/>
    <n v="632844"/>
    <x v="5"/>
    <s v="SKU125"/>
    <s v="Product_125"/>
    <s v="Frozen"/>
    <n v="6"/>
    <n v="1"/>
    <n v="200.15"/>
    <n v="20.02"/>
    <n v="180.13"/>
    <n v="9.01"/>
    <n v="0"/>
    <n v="5"/>
    <n v="194.14"/>
    <s v="Cancelled"/>
    <n v="25"/>
  </r>
  <r>
    <x v="326"/>
    <x v="54"/>
    <x v="1"/>
    <x v="18"/>
    <s v="Cust_26"/>
    <x v="0"/>
    <x v="3"/>
    <x v="2"/>
    <n v="474313"/>
    <x v="0"/>
    <s v="SKU126"/>
    <s v="Product_126"/>
    <s v="Other"/>
    <n v="5"/>
    <n v="2"/>
    <n v="182.88"/>
    <n v="27.43"/>
    <n v="338.33"/>
    <n v="16.920000000000002"/>
    <n v="20"/>
    <n v="0"/>
    <n v="375.25"/>
    <s v="Delivered"/>
    <n v="21"/>
  </r>
  <r>
    <x v="327"/>
    <x v="10"/>
    <x v="1"/>
    <x v="8"/>
    <s v="Cust_27"/>
    <x v="0"/>
    <x v="5"/>
    <x v="2"/>
    <n v="847028"/>
    <x v="5"/>
    <s v="SKU127"/>
    <s v="Product_127"/>
    <s v="Bakery"/>
    <n v="6"/>
    <n v="3"/>
    <n v="71.7"/>
    <n v="3.59"/>
    <n v="211.51"/>
    <n v="10.58"/>
    <n v="0"/>
    <n v="0"/>
    <n v="222.09"/>
    <s v="Delivered"/>
    <n v="10"/>
  </r>
  <r>
    <x v="328"/>
    <x v="29"/>
    <x v="1"/>
    <x v="21"/>
    <s v="Cust_28"/>
    <x v="0"/>
    <x v="3"/>
    <x v="2"/>
    <n v="971808"/>
    <x v="0"/>
    <s v="SKU128"/>
    <s v="Product_128"/>
    <s v="Essentials"/>
    <n v="10"/>
    <n v="3"/>
    <n v="137.32"/>
    <n v="20.6"/>
    <n v="391.36"/>
    <n v="19.57"/>
    <n v="0"/>
    <n v="15"/>
    <n v="425.92999999999989"/>
    <s v="Delivered"/>
    <n v="27"/>
  </r>
  <r>
    <x v="329"/>
    <x v="34"/>
    <x v="0"/>
    <x v="24"/>
    <s v="Cust_29"/>
    <x v="0"/>
    <x v="3"/>
    <x v="2"/>
    <n v="662060"/>
    <x v="2"/>
    <s v="SKU129"/>
    <s v="Product_129"/>
    <s v="bevrage"/>
    <n v="7"/>
    <n v="1"/>
    <n v="78.41"/>
    <n v="11.76"/>
    <n v="66.649999999999991"/>
    <n v="3.33"/>
    <n v="20"/>
    <n v="0"/>
    <n v="89.97999999999999"/>
    <s v="Delivered"/>
    <n v="24"/>
  </r>
  <r>
    <x v="330"/>
    <x v="24"/>
    <x v="1"/>
    <x v="19"/>
    <s v="Cust_30"/>
    <x v="1"/>
    <x v="4"/>
    <x v="2"/>
    <n v="943601"/>
    <x v="6"/>
    <s v="SKU130"/>
    <s v="Product_130"/>
    <s v="Fruits"/>
    <n v="6"/>
    <n v="2"/>
    <n v="54.54"/>
    <n v="8.18"/>
    <n v="100.9"/>
    <n v="5.05"/>
    <n v="30"/>
    <n v="20"/>
    <n v="155.94999999999999"/>
    <s v="Delivered"/>
    <n v="20"/>
  </r>
  <r>
    <x v="331"/>
    <x v="41"/>
    <x v="0"/>
    <x v="6"/>
    <s v="Cust_31"/>
    <x v="0"/>
    <x v="0"/>
    <x v="2"/>
    <n v="184754"/>
    <x v="2"/>
    <s v="SKU131"/>
    <s v="Product_131"/>
    <s v="Essentials"/>
    <n v="10"/>
    <n v="2"/>
    <n v="145.83000000000001"/>
    <n v="7.29"/>
    <n v="284.37"/>
    <n v="14.22"/>
    <n v="0"/>
    <n v="15"/>
    <n v="313.58999999999997"/>
    <s v="Delivered"/>
    <n v="38"/>
  </r>
  <r>
    <x v="332"/>
    <x v="9"/>
    <x v="1"/>
    <x v="7"/>
    <s v="Cust_32"/>
    <x v="0"/>
    <x v="5"/>
    <x v="2"/>
    <n v="888140"/>
    <x v="0"/>
    <s v="SKU132"/>
    <s v="Product_132"/>
    <s v="Snacks"/>
    <n v="6"/>
    <n v="5"/>
    <n v="196.42"/>
    <n v="29.46"/>
    <n v="952.63999999999987"/>
    <n v="47.63"/>
    <n v="10"/>
    <n v="0"/>
    <n v="1010.27"/>
    <s v="Delivered"/>
    <n v="20"/>
  </r>
  <r>
    <x v="333"/>
    <x v="50"/>
    <x v="1"/>
    <x v="30"/>
    <s v="Cust_33"/>
    <x v="2"/>
    <x v="4"/>
    <x v="2"/>
    <n v="126086"/>
    <x v="0"/>
    <s v="SKU133"/>
    <s v="Product_133"/>
    <s v="Veg"/>
    <n v="3"/>
    <n v="5"/>
    <n v="49"/>
    <n v="4.9000000000000004"/>
    <n v="240.1"/>
    <n v="12.01"/>
    <n v="20"/>
    <n v="0"/>
    <n v="272.11"/>
    <s v="Cancelled"/>
    <n v="25"/>
  </r>
  <r>
    <x v="334"/>
    <x v="19"/>
    <x v="1"/>
    <x v="16"/>
    <s v="Cust_34"/>
    <x v="0"/>
    <x v="0"/>
    <x v="2"/>
    <n v="638181"/>
    <x v="3"/>
    <s v="SKU134"/>
    <s v="Product_134"/>
    <s v="Other"/>
    <n v="5"/>
    <n v="1"/>
    <n v="84.45"/>
    <n v="8.4499999999999993"/>
    <n v="76"/>
    <n v="3.8"/>
    <n v="30"/>
    <n v="10"/>
    <n v="119.8"/>
    <s v="Delivered"/>
    <n v="15"/>
  </r>
  <r>
    <x v="335"/>
    <x v="28"/>
    <x v="0"/>
    <x v="8"/>
    <s v="Cust_35"/>
    <x v="2"/>
    <x v="4"/>
    <x v="2"/>
    <n v="815371"/>
    <x v="2"/>
    <s v="SKU135"/>
    <s v="Product_135"/>
    <s v="FRUITS "/>
    <n v="7"/>
    <n v="3"/>
    <n v="117.24"/>
    <n v="5.86"/>
    <n v="345.86"/>
    <n v="17.29"/>
    <n v="0"/>
    <n v="15"/>
    <n v="378.15"/>
    <s v="Delivered"/>
    <n v="13"/>
  </r>
  <r>
    <x v="336"/>
    <x v="44"/>
    <x v="0"/>
    <x v="26"/>
    <s v="Cust_36"/>
    <x v="0"/>
    <x v="5"/>
    <x v="2"/>
    <n v="521280"/>
    <x v="3"/>
    <s v="SKU136"/>
    <s v="Product_136"/>
    <s v="Baby"/>
    <n v="4"/>
    <n v="4"/>
    <n v="120.39"/>
    <n v="6.02"/>
    <n v="475.54"/>
    <n v="23.78"/>
    <n v="30"/>
    <n v="5"/>
    <n v="534.32000000000005"/>
    <s v="Delivered"/>
    <n v="23"/>
  </r>
  <r>
    <x v="337"/>
    <x v="36"/>
    <x v="1"/>
    <x v="17"/>
    <s v="Cust_37"/>
    <x v="0"/>
    <x v="5"/>
    <x v="2"/>
    <n v="244063"/>
    <x v="4"/>
    <s v="SKU137"/>
    <s v="Product_137"/>
    <s v="Other"/>
    <n v="5"/>
    <n v="2"/>
    <n v="54.11"/>
    <n v="2.71"/>
    <n v="105.51"/>
    <n v="5.28"/>
    <n v="10"/>
    <n v="0"/>
    <n v="120.79"/>
    <s v="Delivered"/>
    <n v="21"/>
  </r>
  <r>
    <x v="338"/>
    <x v="21"/>
    <x v="2"/>
    <x v="18"/>
    <s v="Cust_38"/>
    <x v="0"/>
    <x v="5"/>
    <x v="2"/>
    <n v="514299"/>
    <x v="3"/>
    <s v="SKU138"/>
    <s v="Product_138"/>
    <s v="FRUITS "/>
    <n v="7"/>
    <n v="2"/>
    <n v="49.28"/>
    <n v="0"/>
    <n v="98.56"/>
    <n v="4.93"/>
    <n v="10"/>
    <n v="5"/>
    <n v="118.49"/>
    <s v="Delivered"/>
    <n v="20"/>
  </r>
  <r>
    <x v="339"/>
    <x v="30"/>
    <x v="1"/>
    <x v="22"/>
    <s v="Cust_39"/>
    <x v="0"/>
    <x v="3"/>
    <x v="2"/>
    <n v="928294"/>
    <x v="1"/>
    <s v="SKU139"/>
    <s v="Product_139"/>
    <s v="Bakery"/>
    <n v="6"/>
    <n v="5"/>
    <n v="161.82"/>
    <n v="0"/>
    <n v="809.09999999999991"/>
    <n v="40.450000000000003"/>
    <n v="20"/>
    <n v="20"/>
    <n v="889.55"/>
    <s v="Delivered"/>
    <n v="21"/>
  </r>
  <r>
    <x v="340"/>
    <x v="42"/>
    <x v="1"/>
    <x v="24"/>
    <s v="Cust_40"/>
    <x v="0"/>
    <x v="1"/>
    <x v="2"/>
    <n v="908258"/>
    <x v="0"/>
    <s v="SKU140"/>
    <s v="Product_140"/>
    <s v="Beverages"/>
    <n v="9"/>
    <n v="1"/>
    <n v="125.7"/>
    <n v="0"/>
    <n v="125.7"/>
    <n v="6.29"/>
    <n v="20"/>
    <n v="0"/>
    <n v="151.99"/>
    <s v="Delivered"/>
    <n v="23"/>
  </r>
  <r>
    <x v="341"/>
    <x v="51"/>
    <x v="0"/>
    <x v="28"/>
    <s v="Cust_41"/>
    <x v="0"/>
    <x v="0"/>
    <x v="2"/>
    <n v="281948"/>
    <x v="0"/>
    <s v="SKU141"/>
    <s v="Product_141"/>
    <s v="Snacks"/>
    <n v="6"/>
    <n v="3"/>
    <n v="118.9"/>
    <n v="5.95"/>
    <n v="350.75000000000011"/>
    <n v="17.54"/>
    <n v="20"/>
    <n v="20"/>
    <n v="408.29000000000008"/>
    <s v="Delivered"/>
    <n v="28"/>
  </r>
  <r>
    <x v="342"/>
    <x v="34"/>
    <x v="0"/>
    <x v="24"/>
    <s v="Cust_42"/>
    <x v="2"/>
    <x v="4"/>
    <x v="2"/>
    <n v="440093"/>
    <x v="5"/>
    <s v="SKU142"/>
    <s v="Product_142"/>
    <s v="Veg"/>
    <n v="3"/>
    <n v="4"/>
    <n v="150.05000000000001"/>
    <n v="7.5"/>
    <n v="592.70000000000005"/>
    <n v="29.64"/>
    <n v="30"/>
    <n v="0"/>
    <n v="652.34"/>
    <s v="Returned"/>
    <n v="25"/>
  </r>
  <r>
    <x v="343"/>
    <x v="1"/>
    <x v="0"/>
    <x v="1"/>
    <s v="Cust_43"/>
    <x v="0"/>
    <x v="3"/>
    <x v="2"/>
    <n v="939319"/>
    <x v="6"/>
    <s v="SKU143"/>
    <s v="Product_143"/>
    <s v="Essentials"/>
    <n v="10"/>
    <n v="4"/>
    <n v="170.93"/>
    <n v="17.09"/>
    <n v="666.63"/>
    <n v="33.33"/>
    <n v="20"/>
    <n v="15"/>
    <n v="734.96"/>
    <s v="Delivered"/>
    <n v="23"/>
  </r>
  <r>
    <x v="344"/>
    <x v="21"/>
    <x v="2"/>
    <x v="18"/>
    <s v="Cust_44"/>
    <x v="2"/>
    <x v="4"/>
    <x v="2"/>
    <n v="418766"/>
    <x v="3"/>
    <s v="SKU144"/>
    <s v="Product_144"/>
    <s v="bevrage"/>
    <n v="7"/>
    <n v="2"/>
    <n v="123.67"/>
    <n v="0"/>
    <n v="247.34"/>
    <n v="12.37"/>
    <n v="30"/>
    <n v="20"/>
    <n v="309.70999999999998"/>
    <s v="Returned"/>
    <n v="25"/>
  </r>
  <r>
    <x v="345"/>
    <x v="25"/>
    <x v="0"/>
    <x v="20"/>
    <s v="Cust_45"/>
    <x v="0"/>
    <x v="2"/>
    <x v="2"/>
    <n v="731040"/>
    <x v="5"/>
    <s v="SKU145"/>
    <s v="Product_145"/>
    <s v="snaks"/>
    <n v="5"/>
    <n v="3"/>
    <n v="55.64"/>
    <n v="0"/>
    <n v="166.92"/>
    <n v="8.35"/>
    <n v="30"/>
    <n v="5"/>
    <n v="210.27"/>
    <s v="Delivered"/>
    <n v="27"/>
  </r>
  <r>
    <x v="346"/>
    <x v="17"/>
    <x v="1"/>
    <x v="14"/>
    <s v="Cust_46"/>
    <x v="0"/>
    <x v="1"/>
    <x v="2"/>
    <n v="141869"/>
    <x v="1"/>
    <s v="SKU146"/>
    <s v="Product_146"/>
    <s v="Frozen"/>
    <n v="6"/>
    <n v="2"/>
    <n v="260.05"/>
    <n v="26.01"/>
    <n v="494.09"/>
    <n v="24.7"/>
    <n v="0"/>
    <n v="0"/>
    <n v="518.79000000000008"/>
    <s v="Delivered"/>
    <n v="32"/>
  </r>
  <r>
    <x v="347"/>
    <x v="54"/>
    <x v="1"/>
    <x v="18"/>
    <s v="Cust_47"/>
    <x v="0"/>
    <x v="5"/>
    <x v="2"/>
    <n v="684054"/>
    <x v="0"/>
    <s v="SKU147"/>
    <s v="Product_147"/>
    <s v="DIARY"/>
    <n v="5"/>
    <n v="4"/>
    <n v="186.06"/>
    <n v="0"/>
    <n v="744.24"/>
    <n v="37.21"/>
    <n v="20"/>
    <n v="20"/>
    <n v="821.45"/>
    <s v="Delivered"/>
    <n v="44"/>
  </r>
  <r>
    <x v="348"/>
    <x v="51"/>
    <x v="0"/>
    <x v="28"/>
    <s v="Cust_48"/>
    <x v="0"/>
    <x v="5"/>
    <x v="2"/>
    <n v="987291"/>
    <x v="4"/>
    <s v="SKU148"/>
    <s v="Product_148"/>
    <s v="Beverages"/>
    <n v="9"/>
    <n v="2"/>
    <n v="43.45"/>
    <n v="4.3499999999999996"/>
    <n v="82.550000000000011"/>
    <n v="4.13"/>
    <n v="20"/>
    <n v="15"/>
    <n v="121.68"/>
    <s v="Delivered"/>
    <n v="29"/>
  </r>
  <r>
    <x v="349"/>
    <x v="23"/>
    <x v="1"/>
    <x v="4"/>
    <s v="Cust_49"/>
    <x v="1"/>
    <x v="4"/>
    <x v="2"/>
    <n v="223853"/>
    <x v="1"/>
    <s v="SKU149"/>
    <s v="Product_149"/>
    <s v="Essentials"/>
    <n v="10"/>
    <n v="4"/>
    <n v="219.87"/>
    <n v="10.99"/>
    <n v="868.49"/>
    <n v="43.42"/>
    <n v="10"/>
    <n v="20"/>
    <n v="941.91"/>
    <s v="Delivered"/>
    <n v="40"/>
  </r>
  <r>
    <x v="350"/>
    <x v="55"/>
    <x v="1"/>
    <x v="11"/>
    <s v="Cust_50"/>
    <x v="0"/>
    <x v="5"/>
    <x v="2"/>
    <n v="954336"/>
    <x v="6"/>
    <s v="SKU150"/>
    <s v="Product_150"/>
    <s v="FRUITS "/>
    <n v="7"/>
    <n v="1"/>
    <n v="117.06"/>
    <n v="0"/>
    <n v="117.06"/>
    <n v="5.85"/>
    <n v="30"/>
    <n v="5"/>
    <n v="157.91"/>
    <s v="Cancelled"/>
    <n v="25"/>
  </r>
  <r>
    <x v="351"/>
    <x v="35"/>
    <x v="0"/>
    <x v="25"/>
    <s v="Cust_51"/>
    <x v="0"/>
    <x v="5"/>
    <x v="2"/>
    <n v="222258"/>
    <x v="6"/>
    <s v="SKU151"/>
    <s v="Product_151"/>
    <s v="Veg"/>
    <n v="3"/>
    <n v="3"/>
    <n v="99.41"/>
    <n v="0"/>
    <n v="298.23"/>
    <n v="14.91"/>
    <n v="10"/>
    <n v="5"/>
    <n v="328.14"/>
    <s v="Delivered"/>
    <n v="19"/>
  </r>
  <r>
    <x v="352"/>
    <x v="57"/>
    <x v="0"/>
    <x v="18"/>
    <s v="Cust_52"/>
    <x v="0"/>
    <x v="1"/>
    <x v="2"/>
    <n v="662621"/>
    <x v="0"/>
    <s v="SKU152"/>
    <s v="Product_152"/>
    <s v="bevrage"/>
    <n v="7"/>
    <n v="2"/>
    <n v="112.52"/>
    <n v="16.88"/>
    <n v="208.16"/>
    <n v="10.41"/>
    <n v="20"/>
    <n v="20"/>
    <n v="258.57"/>
    <s v="Delivered"/>
    <n v="13"/>
  </r>
  <r>
    <x v="353"/>
    <x v="27"/>
    <x v="0"/>
    <x v="21"/>
    <s v="Cust_53"/>
    <x v="0"/>
    <x v="1"/>
    <x v="2"/>
    <n v="649523"/>
    <x v="0"/>
    <s v="SKU153"/>
    <s v="Product_153"/>
    <s v="Frozen"/>
    <n v="6"/>
    <n v="5"/>
    <n v="116.92"/>
    <n v="11.69"/>
    <n v="572.91"/>
    <n v="28.65"/>
    <n v="10"/>
    <n v="0"/>
    <n v="611.55999999999995"/>
    <s v="Delivered"/>
    <n v="10"/>
  </r>
  <r>
    <x v="354"/>
    <x v="33"/>
    <x v="0"/>
    <x v="9"/>
    <s v="Cust_54"/>
    <x v="0"/>
    <x v="5"/>
    <x v="2"/>
    <n v="247309"/>
    <x v="6"/>
    <s v="SKU154"/>
    <s v="Product_154"/>
    <s v="Veg"/>
    <n v="3"/>
    <n v="1"/>
    <n v="11.11"/>
    <n v="0.56000000000000005"/>
    <n v="10.55"/>
    <n v="0.53"/>
    <n v="20"/>
    <n v="20"/>
    <n v="51.08"/>
    <s v="Delivered"/>
    <n v="44"/>
  </r>
  <r>
    <x v="355"/>
    <x v="37"/>
    <x v="1"/>
    <x v="12"/>
    <s v="Cust_55"/>
    <x v="0"/>
    <x v="1"/>
    <x v="2"/>
    <n v="287450"/>
    <x v="6"/>
    <s v="SKU155"/>
    <s v="Product_155"/>
    <s v="bevrage"/>
    <n v="7"/>
    <n v="8"/>
    <n v="103.82"/>
    <n v="0"/>
    <n v="830.56"/>
    <n v="41.53"/>
    <n v="20"/>
    <n v="0"/>
    <n v="892.08999999999992"/>
    <s v="Delivered"/>
    <n v="23"/>
  </r>
  <r>
    <x v="356"/>
    <x v="53"/>
    <x v="0"/>
    <x v="29"/>
    <s v="Cust_56"/>
    <x v="0"/>
    <x v="3"/>
    <x v="2"/>
    <n v="859710"/>
    <x v="6"/>
    <s v="SKU156"/>
    <s v="Product_156"/>
    <s v="DIARY"/>
    <n v="5"/>
    <n v="4"/>
    <n v="151.27000000000001"/>
    <n v="7.56"/>
    <n v="597.5200000000001"/>
    <n v="29.88"/>
    <n v="20"/>
    <n v="5"/>
    <n v="652.40000000000009"/>
    <s v="Delivered"/>
    <n v="31"/>
  </r>
  <r>
    <x v="357"/>
    <x v="44"/>
    <x v="0"/>
    <x v="26"/>
    <s v="Cust_57"/>
    <x v="0"/>
    <x v="1"/>
    <x v="2"/>
    <n v="279838"/>
    <x v="5"/>
    <s v="SKU157"/>
    <s v="Product_157"/>
    <s v="FRUITS "/>
    <n v="7"/>
    <n v="5"/>
    <n v="107.73"/>
    <n v="16.16"/>
    <n v="522.49"/>
    <n v="26.12"/>
    <n v="20"/>
    <n v="15"/>
    <n v="583.61"/>
    <s v="Delivered"/>
    <n v="17"/>
  </r>
  <r>
    <x v="358"/>
    <x v="8"/>
    <x v="1"/>
    <x v="6"/>
    <s v="Cust_58"/>
    <x v="0"/>
    <x v="2"/>
    <x v="2"/>
    <n v="913349"/>
    <x v="6"/>
    <s v="SKU158"/>
    <s v="Product_158"/>
    <s v="FRUITS "/>
    <n v="7"/>
    <n v="1"/>
    <n v="155.61000000000001"/>
    <n v="15.56"/>
    <n v="140.05000000000001"/>
    <n v="7"/>
    <n v="0"/>
    <n v="15"/>
    <n v="162.05000000000001"/>
    <s v="Delivered"/>
    <n v="4"/>
  </r>
  <r>
    <x v="359"/>
    <x v="51"/>
    <x v="0"/>
    <x v="28"/>
    <s v="Cust_59"/>
    <x v="0"/>
    <x v="2"/>
    <x v="2"/>
    <n v="468266"/>
    <x v="0"/>
    <s v="SKU159"/>
    <s v="Product_159"/>
    <s v="Baby"/>
    <n v="4"/>
    <n v="6"/>
    <n v="105.52"/>
    <n v="0"/>
    <n v="633.12"/>
    <n v="31.66"/>
    <n v="0"/>
    <n v="20"/>
    <n v="684.78"/>
    <s v="Delivered"/>
    <n v="25"/>
  </r>
  <r>
    <x v="360"/>
    <x v="30"/>
    <x v="1"/>
    <x v="22"/>
    <s v="Cust_60"/>
    <x v="0"/>
    <x v="1"/>
    <x v="2"/>
    <n v="884282"/>
    <x v="2"/>
    <s v="SKU160"/>
    <s v="Product_160"/>
    <s v="Veg"/>
    <n v="3"/>
    <n v="5"/>
    <n v="185.07"/>
    <n v="9.25"/>
    <n v="916.09999999999991"/>
    <n v="45.8"/>
    <n v="20"/>
    <n v="10"/>
    <n v="991.89999999999986"/>
    <s v="Delivered"/>
    <n v="29"/>
  </r>
  <r>
    <x v="361"/>
    <x v="15"/>
    <x v="1"/>
    <x v="13"/>
    <s v="Cust_61"/>
    <x v="1"/>
    <x v="4"/>
    <x v="2"/>
    <n v="233296"/>
    <x v="2"/>
    <s v="SKU161"/>
    <s v="Product_161"/>
    <s v="Veg"/>
    <n v="3"/>
    <n v="3"/>
    <n v="223.55"/>
    <n v="11.18"/>
    <n v="659.47000000000014"/>
    <n v="32.97"/>
    <n v="30"/>
    <n v="10"/>
    <n v="732.44000000000017"/>
    <s v="Failed"/>
    <n v="25"/>
  </r>
  <r>
    <x v="362"/>
    <x v="43"/>
    <x v="1"/>
    <x v="23"/>
    <s v="Cust_62"/>
    <x v="0"/>
    <x v="1"/>
    <x v="2"/>
    <n v="865348"/>
    <x v="6"/>
    <s v="SKU162"/>
    <s v="Product_162"/>
    <s v="snaks"/>
    <n v="5"/>
    <n v="5"/>
    <n v="33.630000000000003"/>
    <n v="5.04"/>
    <n v="163.11000000000001"/>
    <n v="8.16"/>
    <n v="0"/>
    <n v="15"/>
    <n v="186.27"/>
    <s v="Delivered"/>
    <n v="29"/>
  </r>
  <r>
    <x v="363"/>
    <x v="11"/>
    <x v="1"/>
    <x v="9"/>
    <s v="Cust_63"/>
    <x v="2"/>
    <x v="4"/>
    <x v="2"/>
    <n v="985258"/>
    <x v="0"/>
    <s v="SKU163"/>
    <s v="Product_163"/>
    <s v="Frozen"/>
    <n v="6"/>
    <n v="3"/>
    <n v="141.09"/>
    <n v="21.16"/>
    <n v="402.11"/>
    <n v="20.11"/>
    <n v="30"/>
    <n v="0"/>
    <n v="452.22"/>
    <s v="Delivered"/>
    <n v="35"/>
  </r>
  <r>
    <x v="364"/>
    <x v="47"/>
    <x v="0"/>
    <x v="7"/>
    <s v="Cust_64"/>
    <x v="0"/>
    <x v="2"/>
    <x v="2"/>
    <n v="367986"/>
    <x v="6"/>
    <s v="SKU164"/>
    <s v="Product_164"/>
    <s v="FRUITS "/>
    <n v="7"/>
    <n v="6"/>
    <n v="78.23"/>
    <n v="7.82"/>
    <n v="461.56"/>
    <n v="23.08"/>
    <n v="0"/>
    <n v="20"/>
    <n v="504.64"/>
    <s v="Delivered"/>
    <n v="29"/>
  </r>
  <r>
    <x v="365"/>
    <x v="58"/>
    <x v="0"/>
    <x v="19"/>
    <s v="Cust_65"/>
    <x v="0"/>
    <x v="0"/>
    <x v="2"/>
    <n v="253077"/>
    <x v="6"/>
    <s v="SKU165"/>
    <s v="Product_165"/>
    <s v="DIARY"/>
    <n v="5"/>
    <n v="1"/>
    <n v="6.38"/>
    <n v="0.96"/>
    <n v="5.42"/>
    <n v="0.27"/>
    <n v="0"/>
    <n v="20"/>
    <n v="25.69"/>
    <s v="Delivered"/>
    <n v="27"/>
  </r>
  <r>
    <x v="366"/>
    <x v="22"/>
    <x v="0"/>
    <x v="14"/>
    <s v="Cust_66"/>
    <x v="0"/>
    <x v="0"/>
    <x v="2"/>
    <n v="691202"/>
    <x v="4"/>
    <s v="SKU166"/>
    <s v="Product_166"/>
    <s v="Other"/>
    <n v="5"/>
    <n v="2"/>
    <n v="157.69999999999999"/>
    <n v="0"/>
    <n v="315.39999999999998"/>
    <n v="15.77"/>
    <n v="20"/>
    <n v="5"/>
    <n v="356.17"/>
    <s v="Delivered"/>
    <n v="8"/>
  </r>
  <r>
    <x v="367"/>
    <x v="11"/>
    <x v="1"/>
    <x v="9"/>
    <s v="Cust_67"/>
    <x v="0"/>
    <x v="3"/>
    <x v="2"/>
    <n v="102257"/>
    <x v="0"/>
    <s v="SKU167"/>
    <s v="Product_167"/>
    <s v="bevrage"/>
    <n v="7"/>
    <n v="1"/>
    <n v="103.25"/>
    <n v="15.49"/>
    <n v="87.76"/>
    <n v="4.3899999999999997"/>
    <n v="0"/>
    <n v="15"/>
    <n v="107.15"/>
    <s v="Delivered"/>
    <n v="35"/>
  </r>
  <r>
    <x v="368"/>
    <x v="1"/>
    <x v="0"/>
    <x v="1"/>
    <s v="Cust_68"/>
    <x v="0"/>
    <x v="2"/>
    <x v="2"/>
    <n v="443567"/>
    <x v="1"/>
    <s v="SKU168"/>
    <s v="Product_168"/>
    <s v="Veg"/>
    <n v="3"/>
    <n v="2"/>
    <n v="78.14"/>
    <n v="0"/>
    <n v="156.28"/>
    <n v="7.81"/>
    <n v="10"/>
    <n v="5"/>
    <n v="179.09"/>
    <s v="Delivered"/>
    <n v="22"/>
  </r>
  <r>
    <x v="369"/>
    <x v="10"/>
    <x v="1"/>
    <x v="8"/>
    <s v="Cust_69"/>
    <x v="1"/>
    <x v="4"/>
    <x v="2"/>
    <n v="438540"/>
    <x v="5"/>
    <s v="SKU169"/>
    <s v="Product_169"/>
    <s v="Bakery"/>
    <n v="6"/>
    <n v="1"/>
    <n v="31.36"/>
    <n v="3.14"/>
    <n v="28.22"/>
    <n v="1.41"/>
    <n v="10"/>
    <n v="10"/>
    <n v="49.63"/>
    <s v="Delivered"/>
    <n v="27"/>
  </r>
  <r>
    <x v="370"/>
    <x v="25"/>
    <x v="0"/>
    <x v="20"/>
    <s v="Cust_70"/>
    <x v="0"/>
    <x v="2"/>
    <x v="2"/>
    <n v="409521"/>
    <x v="5"/>
    <s v="SKU170"/>
    <s v="Product_170"/>
    <s v="Frozen"/>
    <n v="6"/>
    <n v="5"/>
    <n v="41.47"/>
    <n v="6.22"/>
    <n v="201.13"/>
    <n v="10.06"/>
    <n v="10"/>
    <n v="20"/>
    <n v="241.19"/>
    <s v="Delivered"/>
    <n v="30"/>
  </r>
  <r>
    <x v="371"/>
    <x v="5"/>
    <x v="1"/>
    <x v="0"/>
    <s v="Cust_71"/>
    <x v="0"/>
    <x v="2"/>
    <x v="2"/>
    <n v="416480"/>
    <x v="0"/>
    <s v="SKU171"/>
    <s v="Product_171"/>
    <s v="snaks"/>
    <n v="5"/>
    <n v="1"/>
    <n v="198.04"/>
    <n v="0"/>
    <n v="198.04"/>
    <n v="9.9"/>
    <n v="20"/>
    <n v="0"/>
    <n v="227.94"/>
    <s v="Cancelled"/>
    <n v="25"/>
  </r>
  <r>
    <x v="372"/>
    <x v="13"/>
    <x v="0"/>
    <x v="11"/>
    <s v="Cust_72"/>
    <x v="0"/>
    <x v="1"/>
    <x v="2"/>
    <n v="241365"/>
    <x v="0"/>
    <s v="SKU172"/>
    <s v="Product_172"/>
    <s v="Other"/>
    <n v="5"/>
    <n v="2"/>
    <n v="53.68"/>
    <n v="0"/>
    <n v="107.36"/>
    <n v="5.37"/>
    <n v="0"/>
    <n v="15"/>
    <n v="127.73"/>
    <s v="Delivered"/>
    <n v="32"/>
  </r>
  <r>
    <x v="373"/>
    <x v="20"/>
    <x v="0"/>
    <x v="17"/>
    <s v="Cust_73"/>
    <x v="0"/>
    <x v="2"/>
    <x v="2"/>
    <n v="341225"/>
    <x v="4"/>
    <s v="SKU173"/>
    <s v="Product_173"/>
    <s v="Frozen"/>
    <n v="6"/>
    <n v="3"/>
    <n v="150.33000000000001"/>
    <n v="22.55"/>
    <n v="428.44"/>
    <n v="21.42"/>
    <n v="20"/>
    <n v="10"/>
    <n v="479.86"/>
    <s v="Delivered"/>
    <n v="14"/>
  </r>
  <r>
    <x v="374"/>
    <x v="14"/>
    <x v="0"/>
    <x v="12"/>
    <s v="Cust_74"/>
    <x v="2"/>
    <x v="4"/>
    <x v="2"/>
    <n v="807173"/>
    <x v="0"/>
    <s v="SKU174"/>
    <s v="Product_174"/>
    <s v="Frozen"/>
    <n v="6"/>
    <n v="3"/>
    <n v="75.67"/>
    <n v="3.78"/>
    <n v="223.23"/>
    <n v="11.16"/>
    <n v="20"/>
    <n v="15"/>
    <n v="269.39"/>
    <s v="Cancelled"/>
    <n v="25"/>
  </r>
  <r>
    <x v="375"/>
    <x v="43"/>
    <x v="1"/>
    <x v="23"/>
    <s v="Cust_75"/>
    <x v="0"/>
    <x v="2"/>
    <x v="2"/>
    <n v="756761"/>
    <x v="2"/>
    <s v="SKU175"/>
    <s v="Product_175"/>
    <s v="Frozen"/>
    <n v="6"/>
    <n v="4"/>
    <n v="78.319999999999993"/>
    <n v="3.92"/>
    <n v="309.36"/>
    <n v="15.47"/>
    <n v="10"/>
    <n v="15"/>
    <n v="349.83"/>
    <s v="Delivered"/>
    <n v="20"/>
  </r>
  <r>
    <x v="376"/>
    <x v="44"/>
    <x v="0"/>
    <x v="26"/>
    <s v="Cust_76"/>
    <x v="0"/>
    <x v="2"/>
    <x v="2"/>
    <n v="464662"/>
    <x v="6"/>
    <s v="SKU176"/>
    <s v="Product_176"/>
    <s v="Veg"/>
    <n v="3"/>
    <n v="1"/>
    <n v="120.92"/>
    <n v="12.09"/>
    <n v="108.83"/>
    <n v="5.44"/>
    <n v="0"/>
    <n v="15"/>
    <n v="129.27000000000001"/>
    <s v="Cancelled"/>
    <n v="25"/>
  </r>
  <r>
    <x v="377"/>
    <x v="51"/>
    <x v="0"/>
    <x v="28"/>
    <s v="Cust_77"/>
    <x v="0"/>
    <x v="1"/>
    <x v="2"/>
    <n v="832763"/>
    <x v="1"/>
    <s v="SKU177"/>
    <s v="Product_177"/>
    <s v="Fruits"/>
    <n v="6"/>
    <n v="3"/>
    <n v="174.1"/>
    <n v="0"/>
    <n v="522.29999999999995"/>
    <n v="26.11"/>
    <n v="10"/>
    <n v="10"/>
    <n v="568.41"/>
    <s v="Delivered"/>
    <n v="16"/>
  </r>
  <r>
    <x v="378"/>
    <x v="24"/>
    <x v="1"/>
    <x v="19"/>
    <s v="Cust_78"/>
    <x v="0"/>
    <x v="5"/>
    <x v="2"/>
    <n v="980006"/>
    <x v="6"/>
    <s v="SKU178"/>
    <s v="Product_178"/>
    <s v="Frozen"/>
    <n v="6"/>
    <n v="5"/>
    <n v="109.83"/>
    <n v="16.47"/>
    <n v="532.67999999999995"/>
    <n v="26.63"/>
    <n v="20"/>
    <n v="0"/>
    <n v="579.30999999999995"/>
    <s v="Delivered"/>
    <n v="26"/>
  </r>
  <r>
    <x v="379"/>
    <x v="44"/>
    <x v="0"/>
    <x v="26"/>
    <s v="Cust_79"/>
    <x v="0"/>
    <x v="5"/>
    <x v="2"/>
    <n v="811028"/>
    <x v="5"/>
    <s v="SKU179"/>
    <s v="Product_179"/>
    <s v="Bakery"/>
    <n v="6"/>
    <n v="3"/>
    <n v="183.6"/>
    <n v="18.36"/>
    <n v="532.43999999999994"/>
    <n v="26.62"/>
    <n v="20"/>
    <n v="0"/>
    <n v="579.05999999999995"/>
    <s v="Delivered"/>
    <n v="23"/>
  </r>
  <r>
    <x v="380"/>
    <x v="24"/>
    <x v="1"/>
    <x v="19"/>
    <s v="Cust_80"/>
    <x v="0"/>
    <x v="0"/>
    <x v="2"/>
    <n v="284626"/>
    <x v="2"/>
    <s v="SKU180"/>
    <s v="Product_180"/>
    <s v="Other"/>
    <n v="5"/>
    <n v="4"/>
    <n v="156.19999999999999"/>
    <n v="0"/>
    <n v="624.79999999999995"/>
    <n v="31.24"/>
    <n v="0"/>
    <n v="20"/>
    <n v="676.04"/>
    <s v="Delivered"/>
    <n v="23"/>
  </r>
  <r>
    <x v="381"/>
    <x v="2"/>
    <x v="1"/>
    <x v="2"/>
    <s v="Cust_81"/>
    <x v="0"/>
    <x v="2"/>
    <x v="2"/>
    <n v="192769"/>
    <x v="0"/>
    <s v="SKU181"/>
    <s v="Product_181"/>
    <s v="FRUITS "/>
    <n v="7"/>
    <n v="4"/>
    <n v="126.65"/>
    <n v="6.33"/>
    <n v="500.27"/>
    <n v="25.01"/>
    <n v="20"/>
    <n v="5"/>
    <n v="550.28000000000009"/>
    <s v="Delivered"/>
    <n v="30"/>
  </r>
  <r>
    <x v="382"/>
    <x v="38"/>
    <x v="1"/>
    <x v="20"/>
    <s v="Cust_82"/>
    <x v="2"/>
    <x v="4"/>
    <x v="2"/>
    <n v="860278"/>
    <x v="2"/>
    <s v="SKU182"/>
    <s v="Product_182"/>
    <s v="Frozen"/>
    <n v="6"/>
    <n v="1"/>
    <n v="131.49"/>
    <n v="0"/>
    <n v="131.49"/>
    <n v="6.57"/>
    <n v="0"/>
    <n v="0"/>
    <n v="138.06"/>
    <s v="Delivered"/>
    <n v="25"/>
  </r>
  <r>
    <x v="383"/>
    <x v="59"/>
    <x v="0"/>
    <x v="3"/>
    <s v="Cust_83"/>
    <x v="0"/>
    <x v="2"/>
    <x v="2"/>
    <n v="623406"/>
    <x v="6"/>
    <s v="SKU183"/>
    <s v="Product_183"/>
    <s v="Essentials"/>
    <n v="10"/>
    <n v="3"/>
    <n v="131.84"/>
    <n v="0"/>
    <n v="395.52"/>
    <n v="19.78"/>
    <n v="30"/>
    <n v="10"/>
    <n v="455.3"/>
    <s v="Delivered"/>
    <n v="23"/>
  </r>
  <r>
    <x v="384"/>
    <x v="38"/>
    <x v="1"/>
    <x v="20"/>
    <s v="Cust_84"/>
    <x v="2"/>
    <x v="4"/>
    <x v="2"/>
    <n v="269530"/>
    <x v="6"/>
    <s v="SKU184"/>
    <s v="Product_184"/>
    <s v="Dairy"/>
    <n v="5"/>
    <n v="1"/>
    <n v="93.71"/>
    <n v="9.3699999999999992"/>
    <n v="84.339999999999989"/>
    <n v="4.22"/>
    <n v="30"/>
    <n v="20"/>
    <n v="138.56"/>
    <s v="Cancelled"/>
    <n v="25"/>
  </r>
  <r>
    <x v="385"/>
    <x v="17"/>
    <x v="1"/>
    <x v="14"/>
    <s v="Cust_85"/>
    <x v="0"/>
    <x v="2"/>
    <x v="2"/>
    <n v="526009"/>
    <x v="0"/>
    <s v="SKU185"/>
    <s v="Product_185"/>
    <s v="Bakery"/>
    <n v="6"/>
    <n v="3"/>
    <n v="120.03"/>
    <n v="0"/>
    <n v="360.09"/>
    <n v="18"/>
    <n v="30"/>
    <n v="5"/>
    <n v="413.09"/>
    <s v="Delivered"/>
    <n v="31"/>
  </r>
  <r>
    <x v="386"/>
    <x v="47"/>
    <x v="0"/>
    <x v="7"/>
    <s v="Cust_86"/>
    <x v="0"/>
    <x v="1"/>
    <x v="2"/>
    <n v="656718"/>
    <x v="2"/>
    <s v="SKU186"/>
    <s v="Product_186"/>
    <s v="Veg"/>
    <n v="3"/>
    <n v="1"/>
    <n v="107.43"/>
    <n v="5.37"/>
    <n v="102.06"/>
    <n v="5.0999999999999996"/>
    <n v="30"/>
    <n v="20"/>
    <n v="157.16"/>
    <s v="Delivered"/>
    <n v="19"/>
  </r>
  <r>
    <x v="387"/>
    <x v="44"/>
    <x v="0"/>
    <x v="26"/>
    <s v="Cust_87"/>
    <x v="0"/>
    <x v="5"/>
    <x v="2"/>
    <n v="118990"/>
    <x v="5"/>
    <s v="SKU187"/>
    <s v="Product_187"/>
    <s v="Fruits"/>
    <n v="6"/>
    <n v="2"/>
    <n v="9.8800000000000008"/>
    <n v="0.49"/>
    <n v="19.27"/>
    <n v="0.96"/>
    <n v="0"/>
    <n v="20"/>
    <n v="40.229999999999997"/>
    <s v="Delivered"/>
    <n v="38"/>
  </r>
  <r>
    <x v="388"/>
    <x v="30"/>
    <x v="1"/>
    <x v="22"/>
    <s v="Cust_88"/>
    <x v="0"/>
    <x v="3"/>
    <x v="2"/>
    <n v="593216"/>
    <x v="0"/>
    <s v="SKU188"/>
    <s v="Product_188"/>
    <s v="snaks"/>
    <n v="5"/>
    <n v="4"/>
    <n v="100.48"/>
    <n v="10.050000000000001"/>
    <n v="391.87"/>
    <n v="19.59"/>
    <n v="10"/>
    <n v="10"/>
    <n v="431.46"/>
    <s v="Delivered"/>
    <n v="22"/>
  </r>
  <r>
    <x v="389"/>
    <x v="53"/>
    <x v="0"/>
    <x v="29"/>
    <s v="Cust_89"/>
    <x v="0"/>
    <x v="0"/>
    <x v="2"/>
    <n v="184703"/>
    <x v="3"/>
    <s v="SKU189"/>
    <s v="Product_189"/>
    <s v="Frozen"/>
    <n v="6"/>
    <n v="3"/>
    <n v="160.37"/>
    <n v="16.04"/>
    <n v="465.07"/>
    <n v="23.25"/>
    <n v="0"/>
    <n v="5"/>
    <n v="493.32"/>
    <s v="Delivered"/>
    <n v="23"/>
  </r>
  <r>
    <x v="390"/>
    <x v="13"/>
    <x v="0"/>
    <x v="11"/>
    <s v="Cust_90"/>
    <x v="0"/>
    <x v="1"/>
    <x v="2"/>
    <n v="953900"/>
    <x v="0"/>
    <s v="SKU190"/>
    <s v="Product_190"/>
    <s v="snaks"/>
    <n v="5"/>
    <n v="3"/>
    <n v="99.61"/>
    <n v="14.94"/>
    <n v="283.89"/>
    <n v="14.19"/>
    <n v="10"/>
    <n v="20"/>
    <n v="328.08"/>
    <s v="Cancelled"/>
    <n v="25"/>
  </r>
  <r>
    <x v="391"/>
    <x v="22"/>
    <x v="0"/>
    <x v="14"/>
    <s v="Cust_91"/>
    <x v="0"/>
    <x v="0"/>
    <x v="2"/>
    <n v="667815"/>
    <x v="2"/>
    <s v="SKU191"/>
    <s v="Product_191"/>
    <s v="Veg"/>
    <n v="3"/>
    <n v="2"/>
    <n v="156.19"/>
    <n v="0"/>
    <n v="312.38"/>
    <n v="15.62"/>
    <n v="20"/>
    <n v="20"/>
    <n v="368"/>
    <s v="Delivered"/>
    <n v="35"/>
  </r>
  <r>
    <x v="392"/>
    <x v="39"/>
    <x v="1"/>
    <x v="26"/>
    <s v="Cust_92"/>
    <x v="0"/>
    <x v="5"/>
    <x v="2"/>
    <n v="375011"/>
    <x v="5"/>
    <s v="SKU192"/>
    <s v="Product_192"/>
    <s v="Dairy"/>
    <n v="5"/>
    <n v="4"/>
    <n v="15.37"/>
    <n v="0"/>
    <n v="61.48"/>
    <n v="3.07"/>
    <n v="0"/>
    <n v="10"/>
    <n v="74.55"/>
    <s v="Cancelled"/>
    <n v="25"/>
  </r>
  <r>
    <x v="393"/>
    <x v="22"/>
    <x v="0"/>
    <x v="14"/>
    <s v="Cust_93"/>
    <x v="2"/>
    <x v="4"/>
    <x v="2"/>
    <n v="950193"/>
    <x v="1"/>
    <s v="SKU193"/>
    <s v="Product_193"/>
    <s v="DIARY"/>
    <n v="5"/>
    <n v="3"/>
    <n v="106.28"/>
    <n v="0"/>
    <n v="318.83999999999997"/>
    <n v="15.94"/>
    <n v="10"/>
    <n v="5"/>
    <n v="349.78"/>
    <s v="Delivered"/>
    <n v="15"/>
  </r>
  <r>
    <x v="394"/>
    <x v="40"/>
    <x v="1"/>
    <x v="27"/>
    <s v="Cust_94"/>
    <x v="0"/>
    <x v="2"/>
    <x v="2"/>
    <n v="360220"/>
    <x v="3"/>
    <s v="SKU194"/>
    <s v="Product_194"/>
    <s v="Beverages"/>
    <n v="9"/>
    <n v="7"/>
    <n v="167.08"/>
    <n v="8.35"/>
    <n v="1161.21"/>
    <n v="58.06"/>
    <n v="10"/>
    <n v="5"/>
    <n v="1234.27"/>
    <s v="Delivered"/>
    <n v="31"/>
  </r>
  <r>
    <x v="395"/>
    <x v="6"/>
    <x v="1"/>
    <x v="1"/>
    <s v="Cust_95"/>
    <x v="0"/>
    <x v="2"/>
    <x v="2"/>
    <n v="316204"/>
    <x v="0"/>
    <s v="SKU195"/>
    <s v="Product_195"/>
    <s v="Veg"/>
    <n v="3"/>
    <n v="3"/>
    <n v="241.07"/>
    <n v="24.11"/>
    <n v="699.1"/>
    <n v="34.96"/>
    <n v="30"/>
    <n v="15"/>
    <n v="779.06000000000006"/>
    <s v="Returned"/>
    <n v="25"/>
  </r>
  <r>
    <x v="396"/>
    <x v="51"/>
    <x v="0"/>
    <x v="28"/>
    <s v="Cust_96"/>
    <x v="0"/>
    <x v="3"/>
    <x v="2"/>
    <n v="524528"/>
    <x v="5"/>
    <s v="SKU196"/>
    <s v="Product_196"/>
    <s v="FRUITS "/>
    <n v="7"/>
    <n v="3"/>
    <n v="162.91999999999999"/>
    <n v="16.29"/>
    <n v="472.47"/>
    <n v="23.62"/>
    <n v="30"/>
    <n v="15"/>
    <n v="541.08999999999992"/>
    <s v="Delivered"/>
    <n v="32"/>
  </r>
  <r>
    <x v="397"/>
    <x v="43"/>
    <x v="1"/>
    <x v="23"/>
    <s v="Cust_97"/>
    <x v="0"/>
    <x v="1"/>
    <x v="2"/>
    <n v="599797"/>
    <x v="0"/>
    <s v="SKU197"/>
    <s v="Product_197"/>
    <s v="DIARY"/>
    <n v="5"/>
    <n v="2"/>
    <n v="131.53"/>
    <n v="0"/>
    <n v="263.06"/>
    <n v="13.15"/>
    <n v="10"/>
    <n v="10"/>
    <n v="296.20999999999998"/>
    <s v="Failed"/>
    <n v="25"/>
  </r>
  <r>
    <x v="398"/>
    <x v="58"/>
    <x v="0"/>
    <x v="19"/>
    <s v="Cust_98"/>
    <x v="0"/>
    <x v="1"/>
    <x v="2"/>
    <n v="511236"/>
    <x v="5"/>
    <s v="SKU198"/>
    <s v="Product_198"/>
    <s v="Snacks"/>
    <n v="6"/>
    <n v="3"/>
    <n v="212.94"/>
    <n v="0"/>
    <n v="638.81999999999994"/>
    <n v="31.94"/>
    <n v="10"/>
    <n v="20"/>
    <n v="700.76"/>
    <s v="Delivered"/>
    <n v="34"/>
  </r>
  <r>
    <x v="399"/>
    <x v="5"/>
    <x v="1"/>
    <x v="0"/>
    <s v="Cust_99"/>
    <x v="0"/>
    <x v="1"/>
    <x v="2"/>
    <n v="470858"/>
    <x v="1"/>
    <s v="SKU199"/>
    <s v="Product_199"/>
    <s v="Other"/>
    <n v="5"/>
    <n v="6"/>
    <n v="129.88999999999999"/>
    <n v="19.48"/>
    <n v="759.8599999999999"/>
    <n v="37.99"/>
    <n v="30"/>
    <n v="20"/>
    <n v="847.84999999999991"/>
    <s v="Delivered"/>
    <n v="25"/>
  </r>
  <r>
    <x v="400"/>
    <x v="36"/>
    <x v="1"/>
    <x v="17"/>
    <s v="Cust_100"/>
    <x v="0"/>
    <x v="2"/>
    <x v="2"/>
    <n v="858108"/>
    <x v="4"/>
    <s v="SKU0"/>
    <s v="Product_0"/>
    <s v="Baby"/>
    <n v="4"/>
    <n v="4"/>
    <n v="160.62"/>
    <n v="16.059999999999999"/>
    <n v="626.42000000000007"/>
    <n v="31.32"/>
    <n v="30"/>
    <n v="10"/>
    <n v="697.74000000000012"/>
    <s v="Delivered"/>
    <n v="20"/>
  </r>
  <r>
    <x v="401"/>
    <x v="15"/>
    <x v="1"/>
    <x v="13"/>
    <s v="Cust_101"/>
    <x v="1"/>
    <x v="4"/>
    <x v="2"/>
    <n v="168323"/>
    <x v="0"/>
    <s v="SKU1"/>
    <s v="Product_1"/>
    <s v="Fruits"/>
    <n v="6"/>
    <n v="2"/>
    <n v="137.87"/>
    <n v="0"/>
    <n v="275.74"/>
    <n v="13.79"/>
    <n v="0"/>
    <n v="15"/>
    <n v="304.52999999999997"/>
    <s v="Cancelled"/>
    <n v="25"/>
  </r>
  <r>
    <x v="402"/>
    <x v="45"/>
    <x v="1"/>
    <x v="28"/>
    <s v="Cust_102"/>
    <x v="2"/>
    <x v="4"/>
    <x v="2"/>
    <n v="155841"/>
    <x v="0"/>
    <s v="SKU2"/>
    <s v="Product_2"/>
    <s v="Veg"/>
    <n v="3"/>
    <n v="4"/>
    <n v="82.8"/>
    <n v="0"/>
    <n v="331.2"/>
    <n v="16.559999999999999"/>
    <n v="30"/>
    <n v="0"/>
    <n v="377.76"/>
    <s v="Delivered"/>
    <n v="49"/>
  </r>
  <r>
    <x v="403"/>
    <x v="22"/>
    <x v="0"/>
    <x v="14"/>
    <s v="Cust_103"/>
    <x v="1"/>
    <x v="4"/>
    <x v="2"/>
    <n v="103696"/>
    <x v="0"/>
    <s v="SKU3"/>
    <s v="Product_3"/>
    <s v="Frozen"/>
    <n v="6"/>
    <n v="4"/>
    <n v="226.37"/>
    <n v="11.32"/>
    <n v="894.16"/>
    <n v="44.71"/>
    <n v="10"/>
    <n v="15"/>
    <n v="963.87"/>
    <s v="Delivered"/>
    <n v="25"/>
  </r>
  <r>
    <x v="404"/>
    <x v="51"/>
    <x v="0"/>
    <x v="28"/>
    <s v="Cust_104"/>
    <x v="0"/>
    <x v="3"/>
    <x v="2"/>
    <n v="939953"/>
    <x v="0"/>
    <s v="SKU4"/>
    <s v="Product_4"/>
    <s v="snaks"/>
    <n v="5"/>
    <n v="3"/>
    <n v="208.22"/>
    <n v="20.82"/>
    <n v="603.83999999999992"/>
    <n v="30.19"/>
    <n v="10"/>
    <n v="10"/>
    <n v="654.03"/>
    <s v="Cancelled"/>
    <n v="25"/>
  </r>
  <r>
    <x v="405"/>
    <x v="23"/>
    <x v="1"/>
    <x v="4"/>
    <s v="Cust_105"/>
    <x v="0"/>
    <x v="1"/>
    <x v="2"/>
    <n v="867876"/>
    <x v="1"/>
    <s v="SKU5"/>
    <s v="Product_5"/>
    <s v="bevrage"/>
    <n v="7"/>
    <n v="3"/>
    <n v="166.1"/>
    <n v="0"/>
    <n v="498.3"/>
    <n v="24.91"/>
    <n v="0"/>
    <n v="0"/>
    <n v="523.20999999999992"/>
    <s v="Delivered"/>
    <n v="39"/>
  </r>
  <r>
    <x v="406"/>
    <x v="27"/>
    <x v="0"/>
    <x v="21"/>
    <s v="Cust_106"/>
    <x v="0"/>
    <x v="5"/>
    <x v="2"/>
    <n v="440676"/>
    <x v="0"/>
    <s v="SKU6"/>
    <s v="Product_6"/>
    <s v="Other"/>
    <n v="5"/>
    <n v="2"/>
    <n v="171.88"/>
    <n v="8.59"/>
    <n v="335.17"/>
    <n v="16.760000000000002"/>
    <n v="10"/>
    <n v="15"/>
    <n v="376.93"/>
    <s v="Cancelled"/>
    <n v="25"/>
  </r>
  <r>
    <x v="407"/>
    <x v="32"/>
    <x v="0"/>
    <x v="23"/>
    <s v="Cust_107"/>
    <x v="0"/>
    <x v="2"/>
    <x v="2"/>
    <n v="208946"/>
    <x v="5"/>
    <s v="SKU7"/>
    <s v="Product_7"/>
    <s v="Veg"/>
    <n v="3"/>
    <n v="3"/>
    <n v="97.82"/>
    <n v="0"/>
    <n v="293.45999999999998"/>
    <n v="14.67"/>
    <n v="20"/>
    <n v="5"/>
    <n v="333.13"/>
    <s v="Delivered"/>
    <n v="36"/>
  </r>
  <r>
    <x v="408"/>
    <x v="16"/>
    <x v="1"/>
    <x v="10"/>
    <s v="Cust_108"/>
    <x v="0"/>
    <x v="1"/>
    <x v="2"/>
    <n v="728889"/>
    <x v="0"/>
    <s v="SKU8"/>
    <s v="Product_8"/>
    <s v="Beverages"/>
    <n v="9"/>
    <n v="4"/>
    <n v="105.96"/>
    <n v="15.89"/>
    <n v="407.95"/>
    <n v="20.399999999999999"/>
    <n v="20"/>
    <n v="20"/>
    <n v="468.35"/>
    <s v="Delivered"/>
    <n v="29"/>
  </r>
  <r>
    <x v="409"/>
    <x v="33"/>
    <x v="0"/>
    <x v="9"/>
    <s v="Cust_109"/>
    <x v="0"/>
    <x v="5"/>
    <x v="2"/>
    <n v="882215"/>
    <x v="4"/>
    <s v="SKU9"/>
    <s v="Product_9"/>
    <s v="bevrage"/>
    <n v="7"/>
    <n v="3"/>
    <n v="97.01"/>
    <n v="4.8499999999999996"/>
    <n v="286.18"/>
    <n v="14.31"/>
    <n v="0"/>
    <n v="10"/>
    <n v="310.49"/>
    <s v="Delivered"/>
    <n v="16"/>
  </r>
  <r>
    <x v="410"/>
    <x v="16"/>
    <x v="1"/>
    <x v="10"/>
    <s v="Cust_110"/>
    <x v="0"/>
    <x v="3"/>
    <x v="2"/>
    <n v="507085"/>
    <x v="2"/>
    <s v="SKU10"/>
    <s v="Product_10"/>
    <s v="Baby"/>
    <n v="4"/>
    <n v="7"/>
    <n v="122.27"/>
    <n v="6.11"/>
    <n v="849.78"/>
    <n v="42.49"/>
    <n v="20"/>
    <n v="20"/>
    <n v="932.27"/>
    <s v="Delivered"/>
    <n v="30"/>
  </r>
  <r>
    <x v="411"/>
    <x v="59"/>
    <x v="0"/>
    <x v="3"/>
    <s v="Cust_111"/>
    <x v="2"/>
    <x v="4"/>
    <x v="2"/>
    <n v="471994"/>
    <x v="6"/>
    <s v="SKU11"/>
    <s v="Product_11"/>
    <s v="Frozen"/>
    <n v="6"/>
    <n v="7"/>
    <n v="120.41"/>
    <n v="12.04"/>
    <n v="830.83"/>
    <n v="41.54"/>
    <n v="30"/>
    <n v="15"/>
    <n v="917.37"/>
    <s v="Cancelled"/>
    <n v="25"/>
  </r>
  <r>
    <x v="412"/>
    <x v="19"/>
    <x v="1"/>
    <x v="16"/>
    <s v="Cust_112"/>
    <x v="2"/>
    <x v="4"/>
    <x v="2"/>
    <n v="247745"/>
    <x v="0"/>
    <s v="SKU12"/>
    <s v="Product_12"/>
    <s v="Other"/>
    <n v="5"/>
    <n v="4"/>
    <n v="131.08000000000001"/>
    <n v="6.55"/>
    <n v="517.7700000000001"/>
    <n v="25.89"/>
    <n v="0"/>
    <n v="0"/>
    <n v="543.66000000000008"/>
    <s v="Delivered"/>
    <n v="46"/>
  </r>
  <r>
    <x v="413"/>
    <x v="20"/>
    <x v="0"/>
    <x v="17"/>
    <s v="Cust_113"/>
    <x v="0"/>
    <x v="3"/>
    <x v="2"/>
    <n v="870326"/>
    <x v="1"/>
    <s v="SKU13"/>
    <s v="Product_13"/>
    <s v="FRUITS "/>
    <n v="7"/>
    <n v="1"/>
    <n v="257.33999999999997"/>
    <n v="25.73"/>
    <n v="231.61"/>
    <n v="11.58"/>
    <n v="0"/>
    <n v="15"/>
    <n v="258.19"/>
    <s v="Delivered"/>
    <n v="9"/>
  </r>
  <r>
    <x v="414"/>
    <x v="20"/>
    <x v="0"/>
    <x v="17"/>
    <s v="Cust_114"/>
    <x v="0"/>
    <x v="5"/>
    <x v="2"/>
    <n v="812509"/>
    <x v="3"/>
    <s v="SKU14"/>
    <s v="Product_14"/>
    <s v="Dairy"/>
    <n v="5"/>
    <n v="3"/>
    <n v="142.27000000000001"/>
    <n v="7.11"/>
    <n v="419.7"/>
    <n v="20.99"/>
    <n v="0"/>
    <n v="0"/>
    <n v="440.69000000000011"/>
    <s v="Delivered"/>
    <n v="17"/>
  </r>
  <r>
    <x v="415"/>
    <x v="52"/>
    <x v="0"/>
    <x v="27"/>
    <s v="Cust_115"/>
    <x v="0"/>
    <x v="5"/>
    <x v="2"/>
    <n v="863529"/>
    <x v="1"/>
    <s v="SKU15"/>
    <s v="Product_15"/>
    <s v="Dairy"/>
    <n v="5"/>
    <n v="3"/>
    <n v="24.11"/>
    <n v="3.62"/>
    <n v="68.709999999999994"/>
    <n v="3.44"/>
    <n v="30"/>
    <n v="5"/>
    <n v="107.15"/>
    <s v="Delivered"/>
    <n v="29"/>
  </r>
  <r>
    <x v="416"/>
    <x v="32"/>
    <x v="0"/>
    <x v="23"/>
    <s v="Cust_116"/>
    <x v="2"/>
    <x v="4"/>
    <x v="2"/>
    <n v="924834"/>
    <x v="0"/>
    <s v="SKU16"/>
    <s v="Product_16"/>
    <s v="Beverages"/>
    <n v="9"/>
    <n v="1"/>
    <n v="129.41999999999999"/>
    <n v="19.41"/>
    <n v="110.01"/>
    <n v="5.5"/>
    <n v="30"/>
    <n v="0"/>
    <n v="145.51"/>
    <s v="Delivered"/>
    <n v="30"/>
  </r>
  <r>
    <x v="417"/>
    <x v="47"/>
    <x v="0"/>
    <x v="7"/>
    <s v="Cust_117"/>
    <x v="0"/>
    <x v="5"/>
    <x v="2"/>
    <n v="253484"/>
    <x v="0"/>
    <s v="SKU17"/>
    <s v="Product_17"/>
    <s v="Frozen"/>
    <n v="6"/>
    <n v="4"/>
    <n v="145.55000000000001"/>
    <n v="7.28"/>
    <n v="574.92000000000007"/>
    <n v="28.75"/>
    <n v="20"/>
    <n v="0"/>
    <n v="623.67000000000007"/>
    <s v="Delivered"/>
    <n v="25"/>
  </r>
  <r>
    <x v="418"/>
    <x v="5"/>
    <x v="1"/>
    <x v="0"/>
    <s v="Cust_118"/>
    <x v="0"/>
    <x v="2"/>
    <x v="3"/>
    <n v="768516"/>
    <x v="2"/>
    <s v="SKU18"/>
    <s v="Product_18"/>
    <s v="Veg"/>
    <n v="3"/>
    <n v="3"/>
    <n v="151.72999999999999"/>
    <n v="7.59"/>
    <n v="447.6"/>
    <n v="22.38"/>
    <n v="30"/>
    <n v="0"/>
    <n v="499.98"/>
    <s v="Delivered"/>
    <n v="22"/>
  </r>
  <r>
    <x v="419"/>
    <x v="26"/>
    <x v="1"/>
    <x v="5"/>
    <s v="Cust_119"/>
    <x v="0"/>
    <x v="5"/>
    <x v="3"/>
    <n v="238286"/>
    <x v="6"/>
    <s v="SKU19"/>
    <s v="Product_19"/>
    <s v="Bakery"/>
    <n v="6"/>
    <n v="1"/>
    <n v="133.93"/>
    <n v="20.09"/>
    <n v="113.84"/>
    <n v="5.69"/>
    <n v="0"/>
    <n v="5"/>
    <n v="124.53"/>
    <s v="Failed"/>
    <n v="25"/>
  </r>
  <r>
    <x v="420"/>
    <x v="26"/>
    <x v="1"/>
    <x v="5"/>
    <s v="Cust_120"/>
    <x v="0"/>
    <x v="1"/>
    <x v="3"/>
    <n v="904807"/>
    <x v="3"/>
    <s v="SKU20"/>
    <s v="Product_20"/>
    <s v="Frozen"/>
    <n v="6"/>
    <n v="1"/>
    <n v="188.26"/>
    <n v="0"/>
    <n v="188.26"/>
    <n v="9.41"/>
    <n v="10"/>
    <n v="0"/>
    <n v="207.67"/>
    <s v="Returned"/>
    <n v="25"/>
  </r>
  <r>
    <x v="421"/>
    <x v="48"/>
    <x v="0"/>
    <x v="13"/>
    <s v="Cust_121"/>
    <x v="0"/>
    <x v="5"/>
    <x v="3"/>
    <n v="305776"/>
    <x v="5"/>
    <s v="SKU21"/>
    <s v="Product_21"/>
    <s v="Frozen"/>
    <n v="6"/>
    <n v="3"/>
    <n v="173.67"/>
    <n v="8.68"/>
    <n v="512.33000000000004"/>
    <n v="25.62"/>
    <n v="20"/>
    <n v="0"/>
    <n v="557.95000000000005"/>
    <s v="Delivered"/>
    <n v="3"/>
  </r>
  <r>
    <x v="422"/>
    <x v="6"/>
    <x v="1"/>
    <x v="1"/>
    <s v="Cust_122"/>
    <x v="0"/>
    <x v="1"/>
    <x v="3"/>
    <n v="441102"/>
    <x v="4"/>
    <s v="SKU22"/>
    <s v="Product_22"/>
    <s v="Other"/>
    <n v="5"/>
    <n v="3"/>
    <n v="40.6"/>
    <n v="2.0299999999999998"/>
    <n v="119.77"/>
    <n v="5.99"/>
    <n v="20"/>
    <n v="20"/>
    <n v="165.76"/>
    <s v="Delivered"/>
    <n v="16"/>
  </r>
  <r>
    <x v="423"/>
    <x v="19"/>
    <x v="1"/>
    <x v="16"/>
    <s v="Cust_123"/>
    <x v="0"/>
    <x v="2"/>
    <x v="3"/>
    <n v="701891"/>
    <x v="0"/>
    <s v="SKU23"/>
    <s v="Product_23"/>
    <s v="Veg"/>
    <n v="3"/>
    <n v="1"/>
    <n v="245.98"/>
    <n v="0"/>
    <n v="245.98"/>
    <n v="12.3"/>
    <n v="20"/>
    <n v="0"/>
    <n v="278.27999999999997"/>
    <s v="Failed"/>
    <n v="25"/>
  </r>
  <r>
    <x v="424"/>
    <x v="22"/>
    <x v="0"/>
    <x v="14"/>
    <s v="Cust_124"/>
    <x v="0"/>
    <x v="0"/>
    <x v="3"/>
    <n v="907015"/>
    <x v="1"/>
    <s v="SKU24"/>
    <s v="Product_24"/>
    <s v="bevrage"/>
    <n v="7"/>
    <n v="2"/>
    <n v="74.52"/>
    <n v="3.73"/>
    <n v="145.31"/>
    <n v="7.27"/>
    <n v="30"/>
    <n v="5"/>
    <n v="187.58"/>
    <s v="Delivered"/>
    <n v="9"/>
  </r>
  <r>
    <x v="425"/>
    <x v="29"/>
    <x v="1"/>
    <x v="21"/>
    <s v="Cust_125"/>
    <x v="0"/>
    <x v="1"/>
    <x v="3"/>
    <n v="726256"/>
    <x v="4"/>
    <s v="SKU25"/>
    <s v="Product_25"/>
    <s v="Dairy"/>
    <n v="5"/>
    <n v="1"/>
    <n v="199.28"/>
    <n v="19.93"/>
    <n v="179.35"/>
    <n v="8.9700000000000006"/>
    <n v="0"/>
    <n v="15"/>
    <n v="203.32"/>
    <s v="Delivered"/>
    <n v="27"/>
  </r>
  <r>
    <x v="426"/>
    <x v="31"/>
    <x v="0"/>
    <x v="22"/>
    <s v="Cust_126"/>
    <x v="0"/>
    <x v="5"/>
    <x v="3"/>
    <n v="142291"/>
    <x v="1"/>
    <s v="SKU26"/>
    <s v="Product_26"/>
    <s v="Snacks"/>
    <n v="6"/>
    <n v="3"/>
    <n v="17.72"/>
    <n v="0.89"/>
    <n v="52.27"/>
    <n v="2.61"/>
    <n v="30"/>
    <n v="0"/>
    <n v="84.88"/>
    <s v="Delivered"/>
    <n v="20"/>
  </r>
  <r>
    <x v="427"/>
    <x v="22"/>
    <x v="0"/>
    <x v="14"/>
    <s v="Cust_127"/>
    <x v="0"/>
    <x v="1"/>
    <x v="3"/>
    <n v="729698"/>
    <x v="1"/>
    <s v="SKU27"/>
    <s v="Product_27"/>
    <s v="snaks"/>
    <n v="5"/>
    <n v="1"/>
    <n v="216.61"/>
    <n v="0"/>
    <n v="216.61"/>
    <n v="10.83"/>
    <n v="30"/>
    <n v="0"/>
    <n v="257.44000000000011"/>
    <s v="Delivered"/>
    <n v="29"/>
  </r>
  <r>
    <x v="428"/>
    <x v="55"/>
    <x v="1"/>
    <x v="11"/>
    <s v="Cust_128"/>
    <x v="0"/>
    <x v="5"/>
    <x v="3"/>
    <n v="396063"/>
    <x v="0"/>
    <s v="SKU28"/>
    <s v="Product_28"/>
    <s v="Other"/>
    <n v="5"/>
    <n v="4"/>
    <n v="95.58"/>
    <n v="9.56"/>
    <n v="372.76"/>
    <n v="18.64"/>
    <n v="10"/>
    <n v="0"/>
    <n v="401.4"/>
    <s v="Delivered"/>
    <n v="31"/>
  </r>
  <r>
    <x v="429"/>
    <x v="21"/>
    <x v="2"/>
    <x v="18"/>
    <s v="Cust_129"/>
    <x v="2"/>
    <x v="4"/>
    <x v="3"/>
    <n v="471513"/>
    <x v="2"/>
    <s v="SKU29"/>
    <s v="Product_29"/>
    <s v="Baby"/>
    <n v="4"/>
    <n v="3"/>
    <n v="222.12"/>
    <n v="11.11"/>
    <n v="655.25"/>
    <n v="32.76"/>
    <n v="20"/>
    <n v="5"/>
    <n v="713.01"/>
    <s v="Delivered"/>
    <n v="41"/>
  </r>
  <r>
    <x v="430"/>
    <x v="51"/>
    <x v="0"/>
    <x v="28"/>
    <s v="Cust_130"/>
    <x v="0"/>
    <x v="0"/>
    <x v="3"/>
    <n v="694821"/>
    <x v="2"/>
    <s v="SKU30"/>
    <s v="Product_30"/>
    <s v="bevrage"/>
    <n v="7"/>
    <n v="3"/>
    <n v="106.92"/>
    <n v="5.35"/>
    <n v="315.41000000000003"/>
    <n v="15.77"/>
    <n v="10"/>
    <n v="20"/>
    <n v="361.17999999999989"/>
    <s v="Delivered"/>
    <n v="13"/>
  </r>
  <r>
    <x v="431"/>
    <x v="8"/>
    <x v="1"/>
    <x v="6"/>
    <s v="Cust_131"/>
    <x v="0"/>
    <x v="5"/>
    <x v="3"/>
    <n v="755348"/>
    <x v="0"/>
    <s v="SKU31"/>
    <s v="Product_31"/>
    <s v="Dairy"/>
    <n v="5"/>
    <n v="2"/>
    <n v="175.3"/>
    <n v="8.77"/>
    <n v="341.83"/>
    <n v="17.09"/>
    <n v="10"/>
    <n v="10"/>
    <n v="378.92"/>
    <s v="Delivered"/>
    <n v="10"/>
  </r>
  <r>
    <x v="432"/>
    <x v="39"/>
    <x v="1"/>
    <x v="26"/>
    <s v="Cust_132"/>
    <x v="0"/>
    <x v="3"/>
    <x v="3"/>
    <n v="461447"/>
    <x v="0"/>
    <s v="SKU32"/>
    <s v="Product_32"/>
    <s v="Essentials"/>
    <n v="10"/>
    <n v="3"/>
    <n v="86.96"/>
    <n v="0"/>
    <n v="260.88"/>
    <n v="13.04"/>
    <n v="20"/>
    <n v="15"/>
    <n v="308.92"/>
    <s v="Failed"/>
    <n v="25"/>
  </r>
  <r>
    <x v="433"/>
    <x v="44"/>
    <x v="0"/>
    <x v="26"/>
    <s v="Cust_133"/>
    <x v="0"/>
    <x v="1"/>
    <x v="3"/>
    <n v="746238"/>
    <x v="5"/>
    <s v="SKU33"/>
    <s v="Product_33"/>
    <s v="Frozen"/>
    <n v="6"/>
    <n v="1"/>
    <n v="36.25"/>
    <n v="3.62"/>
    <n v="32.630000000000003"/>
    <n v="1.63"/>
    <n v="30"/>
    <n v="0"/>
    <n v="64.260000000000005"/>
    <s v="Delivered"/>
    <n v="26"/>
  </r>
  <r>
    <x v="434"/>
    <x v="25"/>
    <x v="0"/>
    <x v="20"/>
    <s v="Cust_134"/>
    <x v="1"/>
    <x v="4"/>
    <x v="3"/>
    <n v="119477"/>
    <x v="0"/>
    <s v="SKU34"/>
    <s v="Product_34"/>
    <s v="Beverages"/>
    <n v="9"/>
    <n v="2"/>
    <n v="177.46"/>
    <n v="17.75"/>
    <n v="337.17"/>
    <n v="16.86"/>
    <n v="0"/>
    <n v="5"/>
    <n v="359.03"/>
    <s v="Delivered"/>
    <n v="35"/>
  </r>
  <r>
    <x v="435"/>
    <x v="45"/>
    <x v="1"/>
    <x v="28"/>
    <s v="Cust_135"/>
    <x v="0"/>
    <x v="0"/>
    <x v="3"/>
    <n v="505105"/>
    <x v="2"/>
    <s v="SKU35"/>
    <s v="Product_35"/>
    <s v="Frozen"/>
    <n v="6"/>
    <n v="2"/>
    <n v="126.57"/>
    <n v="0"/>
    <n v="253.14"/>
    <n v="12.66"/>
    <n v="20"/>
    <n v="20"/>
    <n v="305.8"/>
    <s v="Delivered"/>
    <n v="35"/>
  </r>
  <r>
    <x v="436"/>
    <x v="18"/>
    <x v="0"/>
    <x v="15"/>
    <s v="Cust_136"/>
    <x v="2"/>
    <x v="4"/>
    <x v="3"/>
    <n v="345300"/>
    <x v="5"/>
    <s v="SKU36"/>
    <s v="Product_36"/>
    <s v="Veg"/>
    <n v="3"/>
    <n v="2"/>
    <n v="159.97"/>
    <n v="16"/>
    <n v="303.94"/>
    <n v="15.2"/>
    <n v="0"/>
    <n v="10"/>
    <n v="329.14"/>
    <s v="Failed"/>
    <n v="25"/>
  </r>
  <r>
    <x v="437"/>
    <x v="29"/>
    <x v="1"/>
    <x v="21"/>
    <s v="Cust_137"/>
    <x v="1"/>
    <x v="4"/>
    <x v="3"/>
    <n v="335419"/>
    <x v="5"/>
    <s v="SKU37"/>
    <s v="Product_37"/>
    <s v="Bakery"/>
    <n v="6"/>
    <n v="7"/>
    <n v="171.47"/>
    <n v="0"/>
    <n v="1200.29"/>
    <n v="60.01"/>
    <n v="0"/>
    <n v="0"/>
    <n v="1260.3"/>
    <s v="Delivered"/>
    <n v="18"/>
  </r>
  <r>
    <x v="438"/>
    <x v="19"/>
    <x v="1"/>
    <x v="16"/>
    <s v="Cust_138"/>
    <x v="2"/>
    <x v="4"/>
    <x v="3"/>
    <n v="709312"/>
    <x v="1"/>
    <s v="SKU38"/>
    <s v="Product_38"/>
    <s v="Veg"/>
    <n v="3"/>
    <n v="3"/>
    <n v="85.07"/>
    <n v="8.51"/>
    <n v="246.7"/>
    <n v="12.34"/>
    <n v="10"/>
    <n v="15"/>
    <n v="284.04000000000002"/>
    <s v="Delivered"/>
    <n v="19"/>
  </r>
  <r>
    <x v="439"/>
    <x v="2"/>
    <x v="1"/>
    <x v="2"/>
    <s v="Cust_139"/>
    <x v="0"/>
    <x v="0"/>
    <x v="3"/>
    <n v="317813"/>
    <x v="5"/>
    <s v="SKU39"/>
    <s v="Product_39"/>
    <s v="snaks"/>
    <n v="5"/>
    <n v="1"/>
    <n v="62.05"/>
    <n v="9.31"/>
    <n v="52.739999999999988"/>
    <n v="2.64"/>
    <n v="0"/>
    <n v="5"/>
    <n v="60.38"/>
    <s v="Delivered"/>
    <n v="14"/>
  </r>
  <r>
    <x v="440"/>
    <x v="59"/>
    <x v="0"/>
    <x v="3"/>
    <s v="Cust_140"/>
    <x v="0"/>
    <x v="0"/>
    <x v="3"/>
    <n v="932595"/>
    <x v="0"/>
    <s v="SKU40"/>
    <s v="Product_40"/>
    <s v="FRUITS "/>
    <n v="7"/>
    <n v="6"/>
    <n v="16.45"/>
    <n v="2.4700000000000002"/>
    <n v="96.22999999999999"/>
    <n v="4.8099999999999996"/>
    <n v="30"/>
    <n v="5"/>
    <n v="136.04"/>
    <s v="Delivered"/>
    <n v="18"/>
  </r>
  <r>
    <x v="441"/>
    <x v="12"/>
    <x v="0"/>
    <x v="10"/>
    <s v="Cust_141"/>
    <x v="0"/>
    <x v="0"/>
    <x v="3"/>
    <n v="619570"/>
    <x v="4"/>
    <s v="SKU41"/>
    <s v="Product_41"/>
    <s v="snaks"/>
    <n v="5"/>
    <n v="4"/>
    <n v="154.78"/>
    <n v="7.74"/>
    <n v="611.38"/>
    <n v="30.57"/>
    <n v="0"/>
    <n v="0"/>
    <n v="641.95000000000005"/>
    <s v="Delivered"/>
    <n v="21"/>
  </r>
  <r>
    <x v="442"/>
    <x v="46"/>
    <x v="1"/>
    <x v="25"/>
    <s v="Cust_142"/>
    <x v="0"/>
    <x v="0"/>
    <x v="3"/>
    <n v="676201"/>
    <x v="6"/>
    <s v="SKU42"/>
    <s v="Product_42"/>
    <s v="Fruits"/>
    <n v="6"/>
    <n v="1"/>
    <n v="84.15"/>
    <n v="0"/>
    <n v="84.15"/>
    <n v="4.21"/>
    <n v="10"/>
    <n v="15"/>
    <n v="113.36"/>
    <s v="Delivered"/>
    <n v="39"/>
  </r>
  <r>
    <x v="443"/>
    <x v="44"/>
    <x v="0"/>
    <x v="26"/>
    <s v="Cust_143"/>
    <x v="2"/>
    <x v="4"/>
    <x v="3"/>
    <n v="861401"/>
    <x v="3"/>
    <s v="SKU43"/>
    <s v="Product_43"/>
    <s v="Essentials"/>
    <n v="10"/>
    <n v="1"/>
    <n v="133.71"/>
    <n v="0"/>
    <n v="133.71"/>
    <n v="6.69"/>
    <n v="0"/>
    <n v="0"/>
    <n v="140.4"/>
    <s v="Delivered"/>
    <n v="26"/>
  </r>
  <r>
    <x v="444"/>
    <x v="21"/>
    <x v="2"/>
    <x v="18"/>
    <s v="Cust_144"/>
    <x v="0"/>
    <x v="1"/>
    <x v="3"/>
    <n v="480634"/>
    <x v="0"/>
    <s v="SKU44"/>
    <s v="Product_44"/>
    <s v="FRUITS "/>
    <n v="7"/>
    <n v="1"/>
    <n v="159.03"/>
    <n v="7.95"/>
    <n v="151.08000000000001"/>
    <n v="7.55"/>
    <n v="0"/>
    <n v="15"/>
    <n v="173.63"/>
    <s v="Delivered"/>
    <n v="9"/>
  </r>
  <r>
    <x v="445"/>
    <x v="53"/>
    <x v="0"/>
    <x v="29"/>
    <s v="Cust_145"/>
    <x v="0"/>
    <x v="3"/>
    <x v="3"/>
    <n v="145833"/>
    <x v="0"/>
    <s v="SKU45"/>
    <s v="Product_45"/>
    <s v="Other"/>
    <n v="5"/>
    <n v="4"/>
    <n v="168.2"/>
    <n v="25.23"/>
    <n v="647.56999999999994"/>
    <n v="32.380000000000003"/>
    <n v="20"/>
    <n v="20"/>
    <n v="719.94999999999993"/>
    <s v="Delivered"/>
    <n v="32"/>
  </r>
  <r>
    <x v="446"/>
    <x v="35"/>
    <x v="0"/>
    <x v="25"/>
    <s v="Cust_146"/>
    <x v="0"/>
    <x v="0"/>
    <x v="3"/>
    <n v="564507"/>
    <x v="5"/>
    <s v="SKU46"/>
    <s v="Product_46"/>
    <s v="Frozen"/>
    <n v="6"/>
    <n v="4"/>
    <n v="117.08"/>
    <n v="11.71"/>
    <n v="456.61"/>
    <n v="22.83"/>
    <n v="20"/>
    <n v="5"/>
    <n v="504.44"/>
    <s v="Delivered"/>
    <n v="29"/>
  </r>
  <r>
    <x v="447"/>
    <x v="11"/>
    <x v="1"/>
    <x v="9"/>
    <s v="Cust_147"/>
    <x v="0"/>
    <x v="1"/>
    <x v="3"/>
    <n v="719164"/>
    <x v="4"/>
    <s v="SKU47"/>
    <s v="Product_47"/>
    <s v="Essentials"/>
    <n v="10"/>
    <n v="2"/>
    <n v="133.22"/>
    <n v="19.98"/>
    <n v="246.46"/>
    <n v="12.32"/>
    <n v="10"/>
    <n v="5"/>
    <n v="273.77999999999997"/>
    <s v="Delivered"/>
    <n v="31"/>
  </r>
  <r>
    <x v="448"/>
    <x v="2"/>
    <x v="1"/>
    <x v="2"/>
    <s v="Cust_148"/>
    <x v="0"/>
    <x v="2"/>
    <x v="3"/>
    <n v="588019"/>
    <x v="0"/>
    <s v="SKU48"/>
    <s v="Product_48"/>
    <s v="Frozen"/>
    <n v="6"/>
    <n v="3"/>
    <n v="97.91"/>
    <n v="4.9000000000000004"/>
    <n v="288.83"/>
    <n v="14.44"/>
    <n v="30"/>
    <n v="0"/>
    <n v="333.27"/>
    <s v="Delivered"/>
    <n v="20"/>
  </r>
  <r>
    <x v="449"/>
    <x v="25"/>
    <x v="0"/>
    <x v="20"/>
    <s v="Cust_149"/>
    <x v="0"/>
    <x v="2"/>
    <x v="3"/>
    <n v="473216"/>
    <x v="6"/>
    <s v="SKU49"/>
    <s v="Product_49"/>
    <s v="Beverages"/>
    <n v="9"/>
    <n v="4"/>
    <n v="188.47"/>
    <n v="28.27"/>
    <n v="725.61"/>
    <n v="36.28"/>
    <n v="0"/>
    <n v="10"/>
    <n v="771.89"/>
    <s v="Delivered"/>
    <n v="24"/>
  </r>
  <r>
    <x v="450"/>
    <x v="59"/>
    <x v="0"/>
    <x v="3"/>
    <s v="Cust_150"/>
    <x v="0"/>
    <x v="2"/>
    <x v="3"/>
    <n v="530179"/>
    <x v="1"/>
    <s v="SKU50"/>
    <s v="Product_50"/>
    <s v="Frozen"/>
    <n v="6"/>
    <n v="4"/>
    <n v="197.48"/>
    <n v="19.75"/>
    <n v="770.17"/>
    <n v="38.51"/>
    <n v="20"/>
    <n v="0"/>
    <n v="828.68"/>
    <s v="Delivered"/>
    <n v="8"/>
  </r>
  <r>
    <x v="451"/>
    <x v="12"/>
    <x v="0"/>
    <x v="10"/>
    <s v="Cust_151"/>
    <x v="0"/>
    <x v="0"/>
    <x v="3"/>
    <n v="461719"/>
    <x v="0"/>
    <s v="SKU51"/>
    <s v="Product_51"/>
    <s v="Other"/>
    <n v="5"/>
    <n v="2"/>
    <n v="137.99"/>
    <n v="20.7"/>
    <n v="255.28"/>
    <n v="12.76"/>
    <n v="10"/>
    <n v="20"/>
    <n v="298.04000000000002"/>
    <s v="Cancelled"/>
    <n v="25"/>
  </r>
  <r>
    <x v="452"/>
    <x v="50"/>
    <x v="1"/>
    <x v="30"/>
    <s v="Cust_152"/>
    <x v="1"/>
    <x v="4"/>
    <x v="3"/>
    <n v="941708"/>
    <x v="2"/>
    <s v="SKU52"/>
    <s v="Product_52"/>
    <s v="Bakery"/>
    <n v="6"/>
    <n v="5"/>
    <n v="141.79"/>
    <n v="0"/>
    <n v="708.94999999999993"/>
    <n v="35.450000000000003"/>
    <n v="10"/>
    <n v="10"/>
    <n v="764.4"/>
    <s v="Delivered"/>
    <n v="32"/>
  </r>
  <r>
    <x v="453"/>
    <x v="44"/>
    <x v="0"/>
    <x v="26"/>
    <s v="Cust_153"/>
    <x v="0"/>
    <x v="2"/>
    <x v="3"/>
    <n v="838096"/>
    <x v="0"/>
    <s v="SKU53"/>
    <s v="Product_53"/>
    <s v="Baby"/>
    <n v="4"/>
    <n v="1"/>
    <n v="150.04"/>
    <n v="22.51"/>
    <n v="127.53"/>
    <n v="6.38"/>
    <n v="20"/>
    <n v="20"/>
    <n v="173.91"/>
    <s v="Delivered"/>
    <n v="25"/>
  </r>
  <r>
    <x v="454"/>
    <x v="21"/>
    <x v="2"/>
    <x v="18"/>
    <s v="Cust_154"/>
    <x v="1"/>
    <x v="4"/>
    <x v="3"/>
    <n v="375049"/>
    <x v="1"/>
    <s v="SKU54"/>
    <s v="Product_54"/>
    <s v="Other"/>
    <n v="5"/>
    <n v="6"/>
    <n v="122.4"/>
    <n v="18.36"/>
    <n v="716.04000000000008"/>
    <n v="35.799999999999997"/>
    <n v="30"/>
    <n v="0"/>
    <n v="781.84"/>
    <s v="Cancelled"/>
    <n v="25"/>
  </r>
  <r>
    <x v="455"/>
    <x v="22"/>
    <x v="0"/>
    <x v="14"/>
    <s v="Cust_155"/>
    <x v="0"/>
    <x v="1"/>
    <x v="3"/>
    <n v="471344"/>
    <x v="6"/>
    <s v="SKU55"/>
    <s v="Product_55"/>
    <s v="Frozen"/>
    <n v="6"/>
    <n v="3"/>
    <n v="88.44"/>
    <n v="0"/>
    <n v="265.32"/>
    <n v="13.27"/>
    <n v="10"/>
    <n v="0"/>
    <n v="288.58999999999997"/>
    <s v="Delivered"/>
    <n v="26"/>
  </r>
  <r>
    <x v="456"/>
    <x v="1"/>
    <x v="0"/>
    <x v="1"/>
    <s v="Cust_156"/>
    <x v="0"/>
    <x v="3"/>
    <x v="3"/>
    <n v="359480"/>
    <x v="1"/>
    <s v="SKU56"/>
    <s v="Product_56"/>
    <s v="Beverages"/>
    <n v="9"/>
    <n v="3"/>
    <n v="52.97"/>
    <n v="5.3"/>
    <n v="153.61000000000001"/>
    <n v="7.68"/>
    <n v="10"/>
    <n v="0"/>
    <n v="171.29"/>
    <s v="Delivered"/>
    <n v="14"/>
  </r>
  <r>
    <x v="457"/>
    <x v="6"/>
    <x v="1"/>
    <x v="1"/>
    <s v="Cust_157"/>
    <x v="0"/>
    <x v="2"/>
    <x v="3"/>
    <n v="233498"/>
    <x v="1"/>
    <s v="SKU57"/>
    <s v="Product_57"/>
    <s v="Baby"/>
    <n v="4"/>
    <n v="5"/>
    <n v="157.02000000000001"/>
    <n v="7.85"/>
    <n v="777.25"/>
    <n v="38.86"/>
    <n v="20"/>
    <n v="10"/>
    <n v="846.11"/>
    <s v="Delivered"/>
    <n v="29"/>
  </r>
  <r>
    <x v="458"/>
    <x v="57"/>
    <x v="0"/>
    <x v="18"/>
    <s v="Cust_158"/>
    <x v="0"/>
    <x v="3"/>
    <x v="3"/>
    <n v="818316"/>
    <x v="2"/>
    <s v="SKU58"/>
    <s v="Product_58"/>
    <s v="Other"/>
    <n v="5"/>
    <n v="2"/>
    <n v="124.18"/>
    <n v="12.42"/>
    <n v="235.94"/>
    <n v="11.8"/>
    <n v="0"/>
    <n v="5"/>
    <n v="252.74"/>
    <s v="Delivered"/>
    <n v="18"/>
  </r>
  <r>
    <x v="459"/>
    <x v="9"/>
    <x v="1"/>
    <x v="7"/>
    <s v="Cust_159"/>
    <x v="0"/>
    <x v="1"/>
    <x v="3"/>
    <n v="333540"/>
    <x v="5"/>
    <s v="SKU59"/>
    <s v="Product_59"/>
    <s v="DIARY"/>
    <n v="5"/>
    <n v="1"/>
    <n v="38.840000000000003"/>
    <n v="1.94"/>
    <n v="36.900000000000013"/>
    <n v="1.85"/>
    <n v="10"/>
    <n v="0"/>
    <n v="48.750000000000007"/>
    <s v="Delivered"/>
    <n v="23"/>
  </r>
  <r>
    <x v="460"/>
    <x v="22"/>
    <x v="0"/>
    <x v="14"/>
    <s v="Cust_160"/>
    <x v="0"/>
    <x v="1"/>
    <x v="3"/>
    <n v="281561"/>
    <x v="3"/>
    <s v="SKU60"/>
    <s v="Product_60"/>
    <s v="Veg"/>
    <n v="3"/>
    <n v="4"/>
    <n v="78.89"/>
    <n v="7.89"/>
    <n v="307.67"/>
    <n v="15.38"/>
    <n v="30"/>
    <n v="15"/>
    <n v="368.05"/>
    <s v="Delivered"/>
    <n v="23"/>
  </r>
  <r>
    <x v="461"/>
    <x v="15"/>
    <x v="1"/>
    <x v="13"/>
    <s v="Cust_161"/>
    <x v="0"/>
    <x v="5"/>
    <x v="3"/>
    <n v="500826"/>
    <x v="0"/>
    <s v="SKU61"/>
    <s v="Product_61"/>
    <s v="FRUITS "/>
    <n v="7"/>
    <n v="1"/>
    <n v="17.559999999999999"/>
    <n v="1.76"/>
    <n v="15.8"/>
    <n v="0.79"/>
    <n v="20"/>
    <n v="15"/>
    <n v="51.59"/>
    <s v="Failed"/>
    <n v="25"/>
  </r>
  <r>
    <x v="462"/>
    <x v="38"/>
    <x v="1"/>
    <x v="20"/>
    <s v="Cust_162"/>
    <x v="0"/>
    <x v="2"/>
    <x v="3"/>
    <n v="462441"/>
    <x v="1"/>
    <s v="SKU62"/>
    <s v="Product_62"/>
    <s v="Beverages"/>
    <n v="9"/>
    <n v="2"/>
    <n v="110.2"/>
    <n v="11.02"/>
    <n v="209.38"/>
    <n v="10.47"/>
    <n v="20"/>
    <n v="0"/>
    <n v="239.85"/>
    <s v="Delivered"/>
    <n v="26"/>
  </r>
  <r>
    <x v="463"/>
    <x v="24"/>
    <x v="1"/>
    <x v="19"/>
    <s v="Cust_163"/>
    <x v="1"/>
    <x v="4"/>
    <x v="3"/>
    <n v="182409"/>
    <x v="0"/>
    <s v="SKU63"/>
    <s v="Product_63"/>
    <s v="Other"/>
    <n v="5"/>
    <n v="2"/>
    <n v="187.04"/>
    <n v="28.06"/>
    <n v="346.02"/>
    <n v="17.3"/>
    <n v="30"/>
    <n v="5"/>
    <n v="398.32"/>
    <s v="Delivered"/>
    <n v="39"/>
  </r>
  <r>
    <x v="464"/>
    <x v="28"/>
    <x v="0"/>
    <x v="8"/>
    <s v="Cust_164"/>
    <x v="0"/>
    <x v="0"/>
    <x v="3"/>
    <n v="108024"/>
    <x v="1"/>
    <s v="SKU64"/>
    <s v="Product_64"/>
    <s v="Veg"/>
    <n v="3"/>
    <n v="3"/>
    <n v="200.14"/>
    <n v="20.010000000000002"/>
    <n v="580.41"/>
    <n v="29.02"/>
    <n v="0"/>
    <n v="20"/>
    <n v="629.42999999999995"/>
    <s v="Delivered"/>
    <n v="15"/>
  </r>
  <r>
    <x v="465"/>
    <x v="50"/>
    <x v="1"/>
    <x v="30"/>
    <s v="Cust_165"/>
    <x v="1"/>
    <x v="4"/>
    <x v="3"/>
    <n v="243927"/>
    <x v="0"/>
    <s v="SKU65"/>
    <s v="Product_65"/>
    <s v="Frozen"/>
    <n v="6"/>
    <n v="1"/>
    <n v="144.29"/>
    <n v="7.21"/>
    <n v="137.08000000000001"/>
    <n v="6.85"/>
    <n v="0"/>
    <n v="5"/>
    <n v="148.93"/>
    <s v="Delivered"/>
    <n v="24"/>
  </r>
  <r>
    <x v="466"/>
    <x v="47"/>
    <x v="0"/>
    <x v="7"/>
    <s v="Cust_166"/>
    <x v="0"/>
    <x v="2"/>
    <x v="3"/>
    <n v="497674"/>
    <x v="6"/>
    <s v="SKU66"/>
    <s v="Product_66"/>
    <s v="Fruits"/>
    <n v="6"/>
    <n v="2"/>
    <n v="64.55"/>
    <n v="3.23"/>
    <n v="125.87"/>
    <n v="6.29"/>
    <n v="0"/>
    <n v="10"/>
    <n v="142.16"/>
    <s v="Delivered"/>
    <n v="18"/>
  </r>
  <r>
    <x v="467"/>
    <x v="7"/>
    <x v="0"/>
    <x v="5"/>
    <s v="Cust_167"/>
    <x v="0"/>
    <x v="5"/>
    <x v="3"/>
    <n v="105668"/>
    <x v="2"/>
    <s v="SKU67"/>
    <s v="Product_67"/>
    <s v="Dairy"/>
    <n v="5"/>
    <n v="6"/>
    <n v="72.17"/>
    <n v="3.61"/>
    <n v="429.41"/>
    <n v="21.47"/>
    <n v="10"/>
    <n v="10"/>
    <n v="470.88"/>
    <s v="Returned"/>
    <n v="25"/>
  </r>
  <r>
    <x v="468"/>
    <x v="15"/>
    <x v="1"/>
    <x v="13"/>
    <s v="Cust_168"/>
    <x v="0"/>
    <x v="5"/>
    <x v="3"/>
    <n v="730421"/>
    <x v="6"/>
    <s v="SKU68"/>
    <s v="Product_68"/>
    <s v="Frozen"/>
    <n v="6"/>
    <n v="3"/>
    <n v="222.34"/>
    <n v="0"/>
    <n v="667.02"/>
    <n v="33.35"/>
    <n v="10"/>
    <n v="5"/>
    <n v="715.37"/>
    <s v="Delivered"/>
    <n v="26"/>
  </r>
  <r>
    <x v="469"/>
    <x v="14"/>
    <x v="0"/>
    <x v="12"/>
    <s v="Cust_169"/>
    <x v="0"/>
    <x v="5"/>
    <x v="3"/>
    <n v="188835"/>
    <x v="6"/>
    <s v="SKU69"/>
    <s v="Product_69"/>
    <s v="Fruits"/>
    <n v="6"/>
    <n v="6"/>
    <n v="149.36000000000001"/>
    <n v="0"/>
    <n v="896.16000000000008"/>
    <n v="44.81"/>
    <n v="0"/>
    <n v="15"/>
    <n v="955.97"/>
    <s v="Delivered"/>
    <n v="17"/>
  </r>
  <r>
    <x v="470"/>
    <x v="59"/>
    <x v="0"/>
    <x v="3"/>
    <s v="Cust_170"/>
    <x v="1"/>
    <x v="4"/>
    <x v="3"/>
    <n v="824174"/>
    <x v="1"/>
    <s v="SKU70"/>
    <s v="Product_70"/>
    <s v="Veg"/>
    <n v="3"/>
    <n v="3"/>
    <n v="225.94"/>
    <n v="11.3"/>
    <n v="666.52"/>
    <n v="33.33"/>
    <n v="0"/>
    <n v="15"/>
    <n v="714.85"/>
    <s v="Delivered"/>
    <n v="18"/>
  </r>
  <r>
    <x v="471"/>
    <x v="11"/>
    <x v="1"/>
    <x v="9"/>
    <s v="Cust_171"/>
    <x v="0"/>
    <x v="3"/>
    <x v="3"/>
    <n v="468760"/>
    <x v="4"/>
    <s v="SKU71"/>
    <s v="Product_71"/>
    <s v="Beverages"/>
    <n v="9"/>
    <n v="3"/>
    <n v="67.45"/>
    <n v="10.119999999999999"/>
    <n v="192.23"/>
    <n v="9.61"/>
    <n v="20"/>
    <n v="0"/>
    <n v="221.84"/>
    <s v="Delivered"/>
    <n v="33"/>
  </r>
  <r>
    <x v="472"/>
    <x v="41"/>
    <x v="0"/>
    <x v="6"/>
    <s v="Cust_172"/>
    <x v="0"/>
    <x v="3"/>
    <x v="3"/>
    <n v="409550"/>
    <x v="4"/>
    <s v="SKU72"/>
    <s v="Product_72"/>
    <s v="Veg"/>
    <n v="3"/>
    <n v="1"/>
    <n v="171.39"/>
    <n v="25.71"/>
    <n v="145.68"/>
    <n v="7.28"/>
    <n v="30"/>
    <n v="20"/>
    <n v="202.96"/>
    <s v="Delivered"/>
    <n v="42"/>
  </r>
  <r>
    <x v="473"/>
    <x v="57"/>
    <x v="0"/>
    <x v="18"/>
    <s v="Cust_173"/>
    <x v="0"/>
    <x v="2"/>
    <x v="3"/>
    <n v="752416"/>
    <x v="4"/>
    <s v="SKU73"/>
    <s v="Product_73"/>
    <s v="Essentials"/>
    <n v="10"/>
    <n v="7"/>
    <n v="61.35"/>
    <n v="6.14"/>
    <n v="423.31"/>
    <n v="21.17"/>
    <n v="10"/>
    <n v="10"/>
    <n v="464.48"/>
    <s v="Delivered"/>
    <n v="30"/>
  </r>
  <r>
    <x v="474"/>
    <x v="31"/>
    <x v="0"/>
    <x v="22"/>
    <s v="Cust_174"/>
    <x v="0"/>
    <x v="3"/>
    <x v="3"/>
    <n v="776585"/>
    <x v="1"/>
    <s v="SKU74"/>
    <s v="Product_74"/>
    <s v="Frozen"/>
    <n v="6"/>
    <n v="3"/>
    <n v="219.86"/>
    <n v="21.99"/>
    <n v="637.59"/>
    <n v="31.88"/>
    <n v="20"/>
    <n v="10"/>
    <n v="699.47"/>
    <s v="Delivered"/>
    <n v="32"/>
  </r>
  <r>
    <x v="475"/>
    <x v="16"/>
    <x v="1"/>
    <x v="10"/>
    <s v="Cust_175"/>
    <x v="0"/>
    <x v="0"/>
    <x v="3"/>
    <n v="900819"/>
    <x v="0"/>
    <s v="SKU75"/>
    <s v="Product_75"/>
    <s v="bevrage"/>
    <n v="7"/>
    <n v="2"/>
    <n v="117.39"/>
    <n v="0"/>
    <n v="234.78"/>
    <n v="11.74"/>
    <n v="30"/>
    <n v="20"/>
    <n v="296.52"/>
    <s v="Failed"/>
    <n v="25"/>
  </r>
  <r>
    <x v="476"/>
    <x v="9"/>
    <x v="1"/>
    <x v="7"/>
    <s v="Cust_176"/>
    <x v="0"/>
    <x v="5"/>
    <x v="3"/>
    <n v="865791"/>
    <x v="1"/>
    <s v="SKU76"/>
    <s v="Product_76"/>
    <s v="bevrage"/>
    <n v="7"/>
    <n v="4"/>
    <n v="124.02"/>
    <n v="6.2"/>
    <n v="489.88"/>
    <n v="24.49"/>
    <n v="0"/>
    <n v="0"/>
    <n v="514.37"/>
    <s v="Delivered"/>
    <n v="36"/>
  </r>
  <r>
    <x v="477"/>
    <x v="17"/>
    <x v="1"/>
    <x v="14"/>
    <s v="Cust_177"/>
    <x v="0"/>
    <x v="0"/>
    <x v="3"/>
    <n v="524032"/>
    <x v="3"/>
    <s v="SKU77"/>
    <s v="Product_77"/>
    <s v="snaks"/>
    <n v="5"/>
    <n v="2"/>
    <n v="70.12"/>
    <n v="0"/>
    <n v="140.24"/>
    <n v="7.01"/>
    <n v="0"/>
    <n v="0"/>
    <n v="147.25"/>
    <s v="Delivered"/>
    <n v="31"/>
  </r>
  <r>
    <x v="478"/>
    <x v="26"/>
    <x v="1"/>
    <x v="5"/>
    <s v="Cust_178"/>
    <x v="0"/>
    <x v="5"/>
    <x v="3"/>
    <n v="526070"/>
    <x v="6"/>
    <s v="SKU78"/>
    <s v="Product_78"/>
    <s v="snaks"/>
    <n v="5"/>
    <n v="6"/>
    <n v="119.18"/>
    <n v="5.96"/>
    <n v="709.12"/>
    <n v="35.46"/>
    <n v="30"/>
    <n v="20"/>
    <n v="794.58"/>
    <s v="Delivered"/>
    <n v="27"/>
  </r>
  <r>
    <x v="479"/>
    <x v="28"/>
    <x v="0"/>
    <x v="8"/>
    <s v="Cust_179"/>
    <x v="0"/>
    <x v="0"/>
    <x v="3"/>
    <n v="106968"/>
    <x v="1"/>
    <s v="SKU79"/>
    <s v="Product_79"/>
    <s v="Essentials"/>
    <n v="10"/>
    <n v="2"/>
    <n v="23.67"/>
    <n v="2.37"/>
    <n v="44.970000000000013"/>
    <n v="2.25"/>
    <n v="10"/>
    <n v="0"/>
    <n v="57.220000000000013"/>
    <s v="Delivered"/>
    <n v="20"/>
  </r>
  <r>
    <x v="480"/>
    <x v="17"/>
    <x v="1"/>
    <x v="14"/>
    <s v="Cust_180"/>
    <x v="0"/>
    <x v="1"/>
    <x v="3"/>
    <n v="613942"/>
    <x v="1"/>
    <s v="SKU80"/>
    <s v="Product_80"/>
    <s v="Essentials"/>
    <n v="10"/>
    <n v="6"/>
    <n v="202.89"/>
    <n v="30.43"/>
    <n v="1186.9100000000001"/>
    <n v="59.35"/>
    <n v="0"/>
    <n v="5"/>
    <n v="1251.26"/>
    <s v="Delivered"/>
    <n v="37"/>
  </r>
  <r>
    <x v="481"/>
    <x v="42"/>
    <x v="1"/>
    <x v="24"/>
    <s v="Cust_181"/>
    <x v="0"/>
    <x v="3"/>
    <x v="3"/>
    <n v="747652"/>
    <x v="1"/>
    <s v="SKU81"/>
    <s v="Product_81"/>
    <s v="DIARY"/>
    <n v="5"/>
    <n v="5"/>
    <n v="141.55000000000001"/>
    <n v="21.23"/>
    <n v="686.52"/>
    <n v="34.33"/>
    <n v="20"/>
    <n v="10"/>
    <n v="750.85"/>
    <s v="Returned"/>
    <n v="25"/>
  </r>
  <r>
    <x v="482"/>
    <x v="45"/>
    <x v="1"/>
    <x v="28"/>
    <s v="Cust_182"/>
    <x v="0"/>
    <x v="0"/>
    <x v="3"/>
    <n v="694557"/>
    <x v="4"/>
    <s v="SKU82"/>
    <s v="Product_82"/>
    <s v="Other"/>
    <n v="5"/>
    <n v="4"/>
    <n v="115.55"/>
    <n v="11.55"/>
    <n v="450.65"/>
    <n v="22.53"/>
    <n v="0"/>
    <n v="5"/>
    <n v="478.17999999999989"/>
    <s v="Cancelled"/>
    <n v="25"/>
  </r>
  <r>
    <x v="483"/>
    <x v="14"/>
    <x v="0"/>
    <x v="12"/>
    <s v="Cust_183"/>
    <x v="1"/>
    <x v="4"/>
    <x v="3"/>
    <n v="930371"/>
    <x v="1"/>
    <s v="SKU83"/>
    <s v="Product_83"/>
    <s v="DIARY"/>
    <n v="5"/>
    <n v="2"/>
    <n v="61.61"/>
    <n v="9.24"/>
    <n v="113.98"/>
    <n v="5.7"/>
    <n v="0"/>
    <n v="0"/>
    <n v="119.68"/>
    <s v="Delivered"/>
    <n v="6"/>
  </r>
  <r>
    <x v="484"/>
    <x v="22"/>
    <x v="0"/>
    <x v="14"/>
    <s v="Cust_184"/>
    <x v="0"/>
    <x v="0"/>
    <x v="3"/>
    <n v="407086"/>
    <x v="2"/>
    <s v="SKU84"/>
    <s v="Product_84"/>
    <s v="snaks"/>
    <n v="5"/>
    <n v="6"/>
    <n v="218.05"/>
    <n v="32.71"/>
    <n v="1275.5899999999999"/>
    <n v="63.78"/>
    <n v="0"/>
    <n v="0"/>
    <n v="1339.37"/>
    <s v="Delivered"/>
    <n v="29"/>
  </r>
  <r>
    <x v="485"/>
    <x v="37"/>
    <x v="1"/>
    <x v="12"/>
    <s v="Cust_185"/>
    <x v="0"/>
    <x v="2"/>
    <x v="3"/>
    <n v="894760"/>
    <x v="0"/>
    <s v="SKU85"/>
    <s v="Product_85"/>
    <s v="Beverages"/>
    <n v="9"/>
    <n v="3"/>
    <n v="175"/>
    <n v="26.25"/>
    <n v="498.75"/>
    <n v="24.94"/>
    <n v="20"/>
    <n v="20"/>
    <n v="563.69000000000005"/>
    <s v="Delivered"/>
    <n v="18"/>
  </r>
  <r>
    <x v="486"/>
    <x v="4"/>
    <x v="0"/>
    <x v="4"/>
    <s v="Cust_186"/>
    <x v="0"/>
    <x v="0"/>
    <x v="3"/>
    <n v="858761"/>
    <x v="0"/>
    <s v="SKU86"/>
    <s v="Product_86"/>
    <s v="Frozen"/>
    <n v="6"/>
    <n v="1"/>
    <n v="125.55"/>
    <n v="12.55"/>
    <n v="113"/>
    <n v="5.65"/>
    <n v="30"/>
    <n v="0"/>
    <n v="148.65"/>
    <s v="Delivered"/>
    <n v="17"/>
  </r>
  <r>
    <x v="487"/>
    <x v="47"/>
    <x v="0"/>
    <x v="7"/>
    <s v="Cust_187"/>
    <x v="0"/>
    <x v="3"/>
    <x v="3"/>
    <n v="333612"/>
    <x v="3"/>
    <s v="SKU87"/>
    <s v="Product_87"/>
    <s v="Bakery"/>
    <n v="6"/>
    <n v="3"/>
    <n v="37.44"/>
    <n v="1.87"/>
    <n v="110.45"/>
    <n v="5.52"/>
    <n v="30"/>
    <n v="15"/>
    <n v="160.97"/>
    <s v="Delivered"/>
    <n v="21"/>
  </r>
  <r>
    <x v="488"/>
    <x v="51"/>
    <x v="0"/>
    <x v="28"/>
    <s v="Cust_188"/>
    <x v="0"/>
    <x v="5"/>
    <x v="3"/>
    <n v="170463"/>
    <x v="6"/>
    <s v="SKU88"/>
    <s v="Product_88"/>
    <s v="Veg"/>
    <n v="3"/>
    <n v="4"/>
    <n v="96.67"/>
    <n v="9.67"/>
    <n v="377.01"/>
    <n v="18.850000000000001"/>
    <n v="0"/>
    <n v="20"/>
    <n v="415.86"/>
    <s v="Delivered"/>
    <n v="28"/>
  </r>
  <r>
    <x v="489"/>
    <x v="0"/>
    <x v="0"/>
    <x v="0"/>
    <s v="Cust_189"/>
    <x v="0"/>
    <x v="2"/>
    <x v="3"/>
    <n v="755129"/>
    <x v="3"/>
    <s v="SKU89"/>
    <s v="Product_89"/>
    <s v="DIARY"/>
    <n v="5"/>
    <n v="4"/>
    <n v="94.78"/>
    <n v="4.74"/>
    <n v="374.38"/>
    <n v="18.72"/>
    <n v="30"/>
    <n v="10"/>
    <n v="433.1"/>
    <s v="Delivered"/>
    <n v="38"/>
  </r>
  <r>
    <x v="490"/>
    <x v="2"/>
    <x v="1"/>
    <x v="2"/>
    <s v="Cust_190"/>
    <x v="2"/>
    <x v="4"/>
    <x v="3"/>
    <n v="747418"/>
    <x v="1"/>
    <s v="SKU90"/>
    <s v="Product_90"/>
    <s v="Fruits"/>
    <n v="6"/>
    <n v="5"/>
    <n v="146.16"/>
    <n v="0"/>
    <n v="730.8"/>
    <n v="36.54"/>
    <n v="0"/>
    <n v="15"/>
    <n v="782.33999999999992"/>
    <s v="Delivered"/>
    <n v="44"/>
  </r>
  <r>
    <x v="491"/>
    <x v="28"/>
    <x v="0"/>
    <x v="8"/>
    <s v="Cust_191"/>
    <x v="0"/>
    <x v="0"/>
    <x v="3"/>
    <n v="766015"/>
    <x v="1"/>
    <s v="SKU91"/>
    <s v="Product_91"/>
    <s v="Dairy"/>
    <n v="5"/>
    <n v="1"/>
    <n v="96.21"/>
    <n v="9.6199999999999992"/>
    <n v="86.589999999999989"/>
    <n v="4.33"/>
    <n v="30"/>
    <n v="15"/>
    <n v="135.91999999999999"/>
    <s v="Delivered"/>
    <n v="38"/>
  </r>
  <r>
    <x v="492"/>
    <x v="33"/>
    <x v="0"/>
    <x v="9"/>
    <s v="Cust_192"/>
    <x v="1"/>
    <x v="4"/>
    <x v="3"/>
    <n v="336187"/>
    <x v="6"/>
    <s v="SKU92"/>
    <s v="Product_92"/>
    <s v="Essentials"/>
    <n v="10"/>
    <n v="3"/>
    <n v="200.57"/>
    <n v="10.029999999999999"/>
    <n v="591.68000000000006"/>
    <n v="29.58"/>
    <n v="0"/>
    <n v="15"/>
    <n v="636.2600000000001"/>
    <s v="Cancelled"/>
    <n v="25"/>
  </r>
  <r>
    <x v="493"/>
    <x v="42"/>
    <x v="1"/>
    <x v="24"/>
    <s v="Cust_193"/>
    <x v="1"/>
    <x v="4"/>
    <x v="3"/>
    <n v="912395"/>
    <x v="6"/>
    <s v="SKU93"/>
    <s v="Product_93"/>
    <s v="Beverages"/>
    <n v="9"/>
    <n v="1"/>
    <n v="217.57"/>
    <n v="21.76"/>
    <n v="195.81"/>
    <n v="9.7899999999999991"/>
    <n v="20"/>
    <n v="0"/>
    <n v="225.6"/>
    <s v="Delivered"/>
    <n v="32"/>
  </r>
  <r>
    <x v="494"/>
    <x v="44"/>
    <x v="0"/>
    <x v="26"/>
    <s v="Cust_194"/>
    <x v="0"/>
    <x v="5"/>
    <x v="3"/>
    <n v="373820"/>
    <x v="6"/>
    <s v="SKU94"/>
    <s v="Product_94"/>
    <s v="Baby"/>
    <n v="4"/>
    <n v="2"/>
    <n v="178.74"/>
    <n v="26.81"/>
    <n v="330.67"/>
    <n v="16.53"/>
    <n v="30"/>
    <n v="15"/>
    <n v="392.2"/>
    <s v="Delivered"/>
    <n v="14"/>
  </r>
  <r>
    <x v="495"/>
    <x v="41"/>
    <x v="0"/>
    <x v="6"/>
    <s v="Cust_195"/>
    <x v="1"/>
    <x v="4"/>
    <x v="3"/>
    <n v="406093"/>
    <x v="6"/>
    <s v="SKU95"/>
    <s v="Product_95"/>
    <s v="Veg"/>
    <n v="3"/>
    <n v="1"/>
    <n v="90.46"/>
    <n v="0"/>
    <n v="90.46"/>
    <n v="4.5199999999999996"/>
    <n v="20"/>
    <n v="20"/>
    <n v="134.97999999999999"/>
    <s v="Delivered"/>
    <n v="33"/>
  </r>
  <r>
    <x v="496"/>
    <x v="24"/>
    <x v="1"/>
    <x v="19"/>
    <s v="Cust_196"/>
    <x v="0"/>
    <x v="2"/>
    <x v="3"/>
    <n v="616479"/>
    <x v="6"/>
    <s v="SKU96"/>
    <s v="Product_96"/>
    <s v="bevrage"/>
    <n v="7"/>
    <n v="4"/>
    <n v="78.34"/>
    <n v="7.83"/>
    <n v="305.52999999999997"/>
    <n v="15.28"/>
    <n v="20"/>
    <n v="20"/>
    <n v="360.81"/>
    <s v="Delivered"/>
    <n v="28"/>
  </r>
  <r>
    <x v="497"/>
    <x v="11"/>
    <x v="1"/>
    <x v="9"/>
    <s v="Cust_197"/>
    <x v="0"/>
    <x v="3"/>
    <x v="3"/>
    <n v="851731"/>
    <x v="2"/>
    <s v="SKU97"/>
    <s v="Product_97"/>
    <s v="bevrage"/>
    <n v="7"/>
    <n v="1"/>
    <n v="70.48"/>
    <n v="10.57"/>
    <n v="59.91"/>
    <n v="3"/>
    <n v="0"/>
    <n v="15"/>
    <n v="77.91"/>
    <s v="Returned"/>
    <n v="25"/>
  </r>
  <r>
    <x v="498"/>
    <x v="56"/>
    <x v="1"/>
    <x v="15"/>
    <s v="Cust_198"/>
    <x v="1"/>
    <x v="4"/>
    <x v="3"/>
    <n v="892908"/>
    <x v="1"/>
    <s v="SKU98"/>
    <s v="Product_98"/>
    <s v="Veg"/>
    <n v="3"/>
    <n v="1"/>
    <n v="151.97"/>
    <n v="0"/>
    <n v="151.97"/>
    <n v="7.6"/>
    <n v="0"/>
    <n v="10"/>
    <n v="169.57"/>
    <s v="Failed"/>
    <n v="25"/>
  </r>
  <r>
    <x v="499"/>
    <x v="21"/>
    <x v="2"/>
    <x v="18"/>
    <s v="Cust_199"/>
    <x v="2"/>
    <x v="4"/>
    <x v="3"/>
    <n v="703986"/>
    <x v="4"/>
    <s v="SKU99"/>
    <s v="Product_99"/>
    <s v="Bakery"/>
    <n v="6"/>
    <n v="3"/>
    <n v="127.54"/>
    <n v="19.13"/>
    <n v="363.49"/>
    <n v="18.170000000000002"/>
    <n v="0"/>
    <n v="15"/>
    <n v="396.66"/>
    <s v="Cancelled"/>
    <n v="25"/>
  </r>
  <r>
    <x v="500"/>
    <x v="7"/>
    <x v="0"/>
    <x v="5"/>
    <s v="Cust_200"/>
    <x v="1"/>
    <x v="4"/>
    <x v="3"/>
    <n v="573146"/>
    <x v="0"/>
    <s v="SKU100"/>
    <s v="Product_100"/>
    <s v="Essentials"/>
    <n v="10"/>
    <n v="4"/>
    <n v="193.95"/>
    <n v="19.39"/>
    <n v="756.41"/>
    <n v="37.82"/>
    <n v="10"/>
    <n v="15"/>
    <n v="819.23"/>
    <s v="Delivered"/>
    <n v="32"/>
  </r>
  <r>
    <x v="501"/>
    <x v="36"/>
    <x v="1"/>
    <x v="17"/>
    <s v="Cust_201"/>
    <x v="1"/>
    <x v="4"/>
    <x v="3"/>
    <n v="450067"/>
    <x v="4"/>
    <s v="SKU101"/>
    <s v="Product_101"/>
    <s v="Other"/>
    <n v="5"/>
    <n v="3"/>
    <n v="158.27000000000001"/>
    <n v="15.83"/>
    <n v="458.98000000000008"/>
    <n v="22.95"/>
    <n v="10"/>
    <n v="0"/>
    <n v="491.93000000000012"/>
    <s v="Delivered"/>
    <n v="22"/>
  </r>
  <r>
    <x v="502"/>
    <x v="34"/>
    <x v="0"/>
    <x v="24"/>
    <s v="Cust_202"/>
    <x v="0"/>
    <x v="0"/>
    <x v="3"/>
    <n v="901115"/>
    <x v="6"/>
    <s v="SKU102"/>
    <s v="Product_102"/>
    <s v="bevrage"/>
    <n v="7"/>
    <n v="3"/>
    <n v="299.12"/>
    <n v="44.87"/>
    <n v="852.49"/>
    <n v="42.62"/>
    <n v="0"/>
    <n v="0"/>
    <n v="895.11"/>
    <s v="Delivered"/>
    <n v="39"/>
  </r>
  <r>
    <x v="503"/>
    <x v="13"/>
    <x v="0"/>
    <x v="11"/>
    <s v="Cust_203"/>
    <x v="0"/>
    <x v="1"/>
    <x v="3"/>
    <n v="440686"/>
    <x v="3"/>
    <s v="SKU103"/>
    <s v="Product_103"/>
    <s v="FRUITS "/>
    <n v="7"/>
    <n v="3"/>
    <n v="130.49"/>
    <n v="19.57"/>
    <n v="371.9"/>
    <n v="18.600000000000001"/>
    <n v="20"/>
    <n v="15"/>
    <n v="425.50000000000011"/>
    <s v="Delivered"/>
    <n v="26"/>
  </r>
  <r>
    <x v="504"/>
    <x v="52"/>
    <x v="0"/>
    <x v="27"/>
    <s v="Cust_204"/>
    <x v="0"/>
    <x v="2"/>
    <x v="3"/>
    <n v="263244"/>
    <x v="2"/>
    <s v="SKU104"/>
    <s v="Product_104"/>
    <s v="Snacks"/>
    <n v="6"/>
    <n v="1"/>
    <n v="56.06"/>
    <n v="0"/>
    <n v="56.06"/>
    <n v="2.8"/>
    <n v="0"/>
    <n v="15"/>
    <n v="73.86"/>
    <s v="Delivered"/>
    <n v="14"/>
  </r>
  <r>
    <x v="505"/>
    <x v="43"/>
    <x v="1"/>
    <x v="23"/>
    <s v="Cust_205"/>
    <x v="0"/>
    <x v="2"/>
    <x v="3"/>
    <n v="906608"/>
    <x v="0"/>
    <s v="SKU105"/>
    <s v="Product_105"/>
    <s v="Frozen"/>
    <n v="6"/>
    <n v="4"/>
    <n v="215.69"/>
    <n v="0"/>
    <n v="862.76"/>
    <n v="43.14"/>
    <n v="30"/>
    <n v="10"/>
    <n v="945.9"/>
    <s v="Delivered"/>
    <n v="20"/>
  </r>
  <r>
    <x v="506"/>
    <x v="54"/>
    <x v="1"/>
    <x v="18"/>
    <s v="Cust_206"/>
    <x v="0"/>
    <x v="1"/>
    <x v="3"/>
    <n v="748456"/>
    <x v="0"/>
    <s v="SKU106"/>
    <s v="Product_106"/>
    <s v="Veg"/>
    <n v="3"/>
    <n v="3"/>
    <n v="224.68"/>
    <n v="0"/>
    <n v="674.04"/>
    <n v="33.700000000000003"/>
    <n v="20"/>
    <n v="5"/>
    <n v="732.74"/>
    <s v="Delivered"/>
    <n v="4"/>
  </r>
  <r>
    <x v="507"/>
    <x v="5"/>
    <x v="1"/>
    <x v="0"/>
    <s v="Cust_207"/>
    <x v="0"/>
    <x v="3"/>
    <x v="3"/>
    <n v="347572"/>
    <x v="0"/>
    <s v="SKU107"/>
    <s v="Product_107"/>
    <s v="Fruits"/>
    <n v="6"/>
    <n v="4"/>
    <n v="77.430000000000007"/>
    <n v="7.74"/>
    <n v="301.98"/>
    <n v="15.1"/>
    <n v="30"/>
    <n v="0"/>
    <n v="347.08"/>
    <s v="Delivered"/>
    <n v="12"/>
  </r>
  <r>
    <x v="508"/>
    <x v="59"/>
    <x v="0"/>
    <x v="3"/>
    <s v="Cust_208"/>
    <x v="1"/>
    <x v="4"/>
    <x v="3"/>
    <n v="712084"/>
    <x v="6"/>
    <s v="SKU108"/>
    <s v="Product_108"/>
    <s v="Frozen"/>
    <n v="6"/>
    <n v="2"/>
    <n v="99.75"/>
    <n v="9.98"/>
    <n v="189.52"/>
    <n v="9.48"/>
    <n v="20"/>
    <n v="20"/>
    <n v="239"/>
    <s v="Delivered"/>
    <n v="11"/>
  </r>
  <r>
    <x v="509"/>
    <x v="30"/>
    <x v="1"/>
    <x v="22"/>
    <s v="Cust_209"/>
    <x v="0"/>
    <x v="0"/>
    <x v="3"/>
    <n v="554151"/>
    <x v="0"/>
    <s v="SKU109"/>
    <s v="Product_109"/>
    <s v="Beverages"/>
    <n v="9"/>
    <n v="1"/>
    <n v="146.91999999999999"/>
    <n v="22.04"/>
    <n v="124.88"/>
    <n v="6.24"/>
    <n v="30"/>
    <n v="0"/>
    <n v="161.12"/>
    <s v="Delivered"/>
    <n v="40"/>
  </r>
  <r>
    <x v="510"/>
    <x v="40"/>
    <x v="1"/>
    <x v="27"/>
    <s v="Cust_210"/>
    <x v="0"/>
    <x v="3"/>
    <x v="3"/>
    <n v="395866"/>
    <x v="2"/>
    <s v="SKU110"/>
    <s v="Product_110"/>
    <s v="DIARY"/>
    <n v="5"/>
    <n v="1"/>
    <n v="7.2"/>
    <n v="0.36"/>
    <n v="6.84"/>
    <n v="0.34"/>
    <n v="10"/>
    <n v="15"/>
    <n v="32.18"/>
    <s v="Delivered"/>
    <n v="16"/>
  </r>
  <r>
    <x v="511"/>
    <x v="23"/>
    <x v="1"/>
    <x v="4"/>
    <s v="Cust_211"/>
    <x v="0"/>
    <x v="3"/>
    <x v="3"/>
    <n v="389360"/>
    <x v="0"/>
    <s v="SKU111"/>
    <s v="Product_111"/>
    <s v="Veg"/>
    <n v="3"/>
    <n v="6"/>
    <n v="120.03"/>
    <n v="12"/>
    <n v="708.18000000000006"/>
    <n v="35.409999999999997"/>
    <n v="0"/>
    <n v="10"/>
    <n v="753.59"/>
    <s v="Delivered"/>
    <n v="12"/>
  </r>
  <r>
    <x v="512"/>
    <x v="32"/>
    <x v="0"/>
    <x v="23"/>
    <s v="Cust_212"/>
    <x v="0"/>
    <x v="1"/>
    <x v="3"/>
    <n v="524671"/>
    <x v="5"/>
    <s v="SKU112"/>
    <s v="Product_112"/>
    <s v="bevrage"/>
    <n v="7"/>
    <n v="3"/>
    <n v="175.46"/>
    <n v="26.32"/>
    <n v="500.06"/>
    <n v="25"/>
    <n v="0"/>
    <n v="5"/>
    <n v="530.05999999999995"/>
    <s v="Delivered"/>
    <n v="27"/>
  </r>
  <r>
    <x v="513"/>
    <x v="9"/>
    <x v="1"/>
    <x v="7"/>
    <s v="Cust_213"/>
    <x v="0"/>
    <x v="1"/>
    <x v="3"/>
    <n v="726926"/>
    <x v="6"/>
    <s v="SKU113"/>
    <s v="Product_113"/>
    <s v="Baby"/>
    <n v="4"/>
    <n v="1"/>
    <n v="113.89"/>
    <n v="11.39"/>
    <n v="102.5"/>
    <n v="5.12"/>
    <n v="10"/>
    <n v="5"/>
    <n v="122.62"/>
    <s v="Delivered"/>
    <n v="32"/>
  </r>
  <r>
    <x v="514"/>
    <x v="3"/>
    <x v="1"/>
    <x v="3"/>
    <s v="Cust_214"/>
    <x v="0"/>
    <x v="1"/>
    <x v="3"/>
    <n v="137019"/>
    <x v="6"/>
    <s v="SKU114"/>
    <s v="Product_114"/>
    <s v="Baby"/>
    <n v="4"/>
    <n v="1"/>
    <n v="159.07"/>
    <n v="23.86"/>
    <n v="135.21"/>
    <n v="6.76"/>
    <n v="10"/>
    <n v="15"/>
    <n v="166.97"/>
    <s v="Cancelled"/>
    <n v="25"/>
  </r>
  <r>
    <x v="515"/>
    <x v="29"/>
    <x v="1"/>
    <x v="21"/>
    <s v="Cust_215"/>
    <x v="2"/>
    <x v="4"/>
    <x v="3"/>
    <n v="258598"/>
    <x v="0"/>
    <s v="SKU115"/>
    <s v="Product_115"/>
    <s v="Beverages"/>
    <n v="9"/>
    <n v="2"/>
    <n v="130.61000000000001"/>
    <n v="6.53"/>
    <n v="254.69"/>
    <n v="12.73"/>
    <n v="0"/>
    <n v="0"/>
    <n v="267.42"/>
    <s v="Delivered"/>
    <n v="35"/>
  </r>
  <r>
    <x v="516"/>
    <x v="48"/>
    <x v="0"/>
    <x v="13"/>
    <s v="Cust_216"/>
    <x v="0"/>
    <x v="2"/>
    <x v="3"/>
    <n v="929827"/>
    <x v="5"/>
    <s v="SKU116"/>
    <s v="Product_116"/>
    <s v="Dairy"/>
    <n v="5"/>
    <n v="3"/>
    <n v="277.25"/>
    <n v="0"/>
    <n v="831.75"/>
    <n v="41.59"/>
    <n v="30"/>
    <n v="10"/>
    <n v="913.34"/>
    <s v="Returned"/>
    <n v="25"/>
  </r>
  <r>
    <x v="517"/>
    <x v="17"/>
    <x v="1"/>
    <x v="14"/>
    <s v="Cust_217"/>
    <x v="0"/>
    <x v="1"/>
    <x v="3"/>
    <n v="915495"/>
    <x v="2"/>
    <s v="SKU117"/>
    <s v="Product_117"/>
    <s v="Fruits"/>
    <n v="6"/>
    <n v="1"/>
    <n v="158.12"/>
    <n v="15.81"/>
    <n v="142.31"/>
    <n v="7.12"/>
    <n v="0"/>
    <n v="5"/>
    <n v="154.43"/>
    <s v="Delivered"/>
    <n v="28"/>
  </r>
  <r>
    <x v="518"/>
    <x v="57"/>
    <x v="0"/>
    <x v="18"/>
    <s v="Cust_218"/>
    <x v="0"/>
    <x v="5"/>
    <x v="3"/>
    <n v="526673"/>
    <x v="0"/>
    <s v="SKU118"/>
    <s v="Product_118"/>
    <s v="Bakery"/>
    <n v="6"/>
    <n v="5"/>
    <n v="169.25"/>
    <n v="16.93"/>
    <n v="829.32"/>
    <n v="41.47"/>
    <n v="0"/>
    <n v="15"/>
    <n v="885.79000000000008"/>
    <s v="Delivered"/>
    <n v="28"/>
  </r>
  <r>
    <x v="519"/>
    <x v="9"/>
    <x v="1"/>
    <x v="7"/>
    <s v="Cust_219"/>
    <x v="0"/>
    <x v="1"/>
    <x v="3"/>
    <n v="452156"/>
    <x v="5"/>
    <s v="SKU119"/>
    <s v="Product_119"/>
    <s v="Beverages"/>
    <n v="9"/>
    <n v="3"/>
    <n v="185.79"/>
    <n v="0"/>
    <n v="557.37"/>
    <n v="27.87"/>
    <n v="30"/>
    <n v="20"/>
    <n v="635.24"/>
    <s v="Delivered"/>
    <n v="18"/>
  </r>
  <r>
    <x v="520"/>
    <x v="16"/>
    <x v="1"/>
    <x v="10"/>
    <s v="Cust_220"/>
    <x v="2"/>
    <x v="4"/>
    <x v="3"/>
    <n v="967591"/>
    <x v="0"/>
    <s v="SKU120"/>
    <s v="Product_120"/>
    <s v="bevrage"/>
    <n v="7"/>
    <n v="3"/>
    <n v="102.14"/>
    <n v="5.1100000000000003"/>
    <n v="301.31"/>
    <n v="15.07"/>
    <n v="20"/>
    <n v="5"/>
    <n v="341.38"/>
    <s v="Delivered"/>
    <n v="21"/>
  </r>
  <r>
    <x v="521"/>
    <x v="32"/>
    <x v="0"/>
    <x v="23"/>
    <s v="Cust_221"/>
    <x v="0"/>
    <x v="3"/>
    <x v="3"/>
    <n v="543842"/>
    <x v="5"/>
    <s v="SKU121"/>
    <s v="Product_121"/>
    <s v="Essentials"/>
    <n v="10"/>
    <n v="2"/>
    <n v="194.25"/>
    <n v="0"/>
    <n v="388.5"/>
    <n v="19.43"/>
    <n v="30"/>
    <n v="15"/>
    <n v="452.93"/>
    <s v="Delivered"/>
    <n v="20"/>
  </r>
  <r>
    <x v="522"/>
    <x v="24"/>
    <x v="1"/>
    <x v="19"/>
    <s v="Cust_222"/>
    <x v="0"/>
    <x v="1"/>
    <x v="3"/>
    <n v="998035"/>
    <x v="2"/>
    <s v="SKU122"/>
    <s v="Product_122"/>
    <s v="Snacks"/>
    <n v="6"/>
    <n v="2"/>
    <n v="176.44"/>
    <n v="8.82"/>
    <n v="344.06"/>
    <n v="17.2"/>
    <n v="10"/>
    <n v="0"/>
    <n v="371.26"/>
    <s v="Delivered"/>
    <n v="31"/>
  </r>
  <r>
    <x v="523"/>
    <x v="7"/>
    <x v="0"/>
    <x v="5"/>
    <s v="Cust_223"/>
    <x v="0"/>
    <x v="0"/>
    <x v="3"/>
    <n v="293839"/>
    <x v="6"/>
    <s v="SKU123"/>
    <s v="Product_123"/>
    <s v="Bakery"/>
    <n v="6"/>
    <n v="3"/>
    <n v="83.6"/>
    <n v="4.18"/>
    <n v="246.62"/>
    <n v="12.33"/>
    <n v="10"/>
    <n v="0"/>
    <n v="268.95"/>
    <s v="Delivered"/>
    <n v="27"/>
  </r>
  <r>
    <x v="524"/>
    <x v="16"/>
    <x v="1"/>
    <x v="10"/>
    <s v="Cust_224"/>
    <x v="1"/>
    <x v="4"/>
    <x v="3"/>
    <n v="799746"/>
    <x v="3"/>
    <s v="SKU124"/>
    <s v="Product_124"/>
    <s v="Frozen"/>
    <n v="6"/>
    <n v="2"/>
    <n v="200.77"/>
    <n v="10.039999999999999"/>
    <n v="391.5"/>
    <n v="19.579999999999998"/>
    <n v="10"/>
    <n v="10"/>
    <n v="431.08"/>
    <s v="Delivered"/>
    <n v="6"/>
  </r>
  <r>
    <x v="525"/>
    <x v="7"/>
    <x v="0"/>
    <x v="5"/>
    <s v="Cust_225"/>
    <x v="0"/>
    <x v="3"/>
    <x v="3"/>
    <n v="196393"/>
    <x v="0"/>
    <s v="SKU125"/>
    <s v="Product_125"/>
    <s v="Essentials"/>
    <n v="10"/>
    <n v="4"/>
    <n v="129.06"/>
    <n v="19.36"/>
    <n v="496.88"/>
    <n v="24.84"/>
    <n v="20"/>
    <n v="20"/>
    <n v="561.72"/>
    <s v="Failed"/>
    <n v="25"/>
  </r>
  <r>
    <x v="526"/>
    <x v="7"/>
    <x v="0"/>
    <x v="5"/>
    <s v="Cust_226"/>
    <x v="0"/>
    <x v="2"/>
    <x v="3"/>
    <n v="622313"/>
    <x v="6"/>
    <s v="SKU126"/>
    <s v="Product_126"/>
    <s v="Fruits"/>
    <n v="6"/>
    <n v="2"/>
    <n v="66.89"/>
    <n v="0"/>
    <n v="133.78"/>
    <n v="6.69"/>
    <n v="20"/>
    <n v="5"/>
    <n v="165.47"/>
    <s v="Delivered"/>
    <n v="39"/>
  </r>
  <r>
    <x v="527"/>
    <x v="16"/>
    <x v="1"/>
    <x v="10"/>
    <s v="Cust_227"/>
    <x v="0"/>
    <x v="1"/>
    <x v="3"/>
    <n v="839538"/>
    <x v="2"/>
    <s v="SKU127"/>
    <s v="Product_127"/>
    <s v="Frozen"/>
    <n v="6"/>
    <n v="2"/>
    <n v="96.28"/>
    <n v="4.8099999999999996"/>
    <n v="187.75"/>
    <n v="9.39"/>
    <n v="10"/>
    <n v="15"/>
    <n v="222.14"/>
    <s v="Delivered"/>
    <n v="22"/>
  </r>
  <r>
    <x v="528"/>
    <x v="25"/>
    <x v="0"/>
    <x v="20"/>
    <s v="Cust_228"/>
    <x v="0"/>
    <x v="5"/>
    <x v="3"/>
    <n v="301604"/>
    <x v="0"/>
    <s v="SKU128"/>
    <s v="Product_128"/>
    <s v="Dairy"/>
    <n v="5"/>
    <n v="7"/>
    <n v="74.209999999999994"/>
    <n v="7.42"/>
    <n v="512.04999999999995"/>
    <n v="25.6"/>
    <n v="10"/>
    <n v="0"/>
    <n v="547.65"/>
    <s v="Delivered"/>
    <n v="27"/>
  </r>
  <r>
    <x v="529"/>
    <x v="1"/>
    <x v="0"/>
    <x v="1"/>
    <s v="Cust_229"/>
    <x v="0"/>
    <x v="2"/>
    <x v="3"/>
    <n v="704056"/>
    <x v="0"/>
    <s v="SKU129"/>
    <s v="Product_129"/>
    <s v="Essentials"/>
    <n v="10"/>
    <n v="3"/>
    <n v="85.26"/>
    <n v="8.5299999999999994"/>
    <n v="247.25"/>
    <n v="12.36"/>
    <n v="10"/>
    <n v="20"/>
    <n v="289.61"/>
    <s v="Delivered"/>
    <n v="38"/>
  </r>
  <r>
    <x v="530"/>
    <x v="28"/>
    <x v="0"/>
    <x v="8"/>
    <s v="Cust_230"/>
    <x v="0"/>
    <x v="2"/>
    <x v="3"/>
    <n v="425329"/>
    <x v="6"/>
    <s v="SKU130"/>
    <s v="Product_130"/>
    <s v="DIARY"/>
    <n v="5"/>
    <n v="3"/>
    <n v="200.3"/>
    <n v="30.05"/>
    <n v="570.85000000000014"/>
    <n v="28.54"/>
    <n v="30"/>
    <n v="15"/>
    <n v="644.3900000000001"/>
    <s v="Cancelled"/>
    <n v="25"/>
  </r>
  <r>
    <x v="531"/>
    <x v="46"/>
    <x v="1"/>
    <x v="25"/>
    <s v="Cust_231"/>
    <x v="0"/>
    <x v="0"/>
    <x v="3"/>
    <n v="591006"/>
    <x v="0"/>
    <s v="SKU131"/>
    <s v="Product_131"/>
    <s v="Essentials"/>
    <n v="10"/>
    <n v="1"/>
    <n v="71.94"/>
    <n v="3.6"/>
    <n v="68.34"/>
    <n v="3.42"/>
    <n v="10"/>
    <n v="10"/>
    <n v="91.76"/>
    <s v="Delivered"/>
    <n v="40"/>
  </r>
  <r>
    <x v="532"/>
    <x v="3"/>
    <x v="1"/>
    <x v="3"/>
    <s v="Cust_232"/>
    <x v="0"/>
    <x v="1"/>
    <x v="3"/>
    <n v="362091"/>
    <x v="0"/>
    <s v="SKU132"/>
    <s v="Product_132"/>
    <s v="Veg"/>
    <n v="3"/>
    <n v="1"/>
    <n v="23.41"/>
    <n v="3.51"/>
    <n v="19.899999999999999"/>
    <n v="0.99"/>
    <n v="20"/>
    <n v="5"/>
    <n v="45.89"/>
    <s v="Delivered"/>
    <n v="26"/>
  </r>
  <r>
    <x v="533"/>
    <x v="47"/>
    <x v="0"/>
    <x v="7"/>
    <s v="Cust_233"/>
    <x v="0"/>
    <x v="5"/>
    <x v="3"/>
    <n v="997116"/>
    <x v="1"/>
    <s v="SKU133"/>
    <s v="Product_133"/>
    <s v="Veg"/>
    <n v="3"/>
    <n v="3"/>
    <n v="167.05"/>
    <n v="0"/>
    <n v="501.15"/>
    <n v="25.06"/>
    <n v="20"/>
    <n v="5"/>
    <n v="551.21"/>
    <s v="Delivered"/>
    <n v="28"/>
  </r>
  <r>
    <x v="534"/>
    <x v="4"/>
    <x v="0"/>
    <x v="4"/>
    <s v="Cust_234"/>
    <x v="0"/>
    <x v="3"/>
    <x v="3"/>
    <n v="236285"/>
    <x v="0"/>
    <s v="SKU134"/>
    <s v="Product_134"/>
    <s v="Dairy"/>
    <n v="5"/>
    <n v="1"/>
    <n v="143.88"/>
    <n v="7.19"/>
    <n v="136.69"/>
    <n v="6.83"/>
    <n v="20"/>
    <n v="5"/>
    <n v="168.52"/>
    <s v="Delivered"/>
    <n v="41"/>
  </r>
  <r>
    <x v="535"/>
    <x v="21"/>
    <x v="2"/>
    <x v="18"/>
    <s v="Cust_235"/>
    <x v="0"/>
    <x v="2"/>
    <x v="3"/>
    <n v="808387"/>
    <x v="1"/>
    <s v="SKU135"/>
    <s v="Product_135"/>
    <s v="Veg"/>
    <n v="3"/>
    <n v="1"/>
    <n v="44.68"/>
    <n v="4.47"/>
    <n v="40.21"/>
    <n v="2.0099999999999998"/>
    <n v="0"/>
    <n v="5"/>
    <n v="47.22"/>
    <s v="Failed"/>
    <n v="25"/>
  </r>
  <r>
    <x v="536"/>
    <x v="35"/>
    <x v="0"/>
    <x v="25"/>
    <s v="Cust_236"/>
    <x v="0"/>
    <x v="2"/>
    <x v="3"/>
    <n v="908871"/>
    <x v="2"/>
    <s v="SKU136"/>
    <s v="Product_136"/>
    <s v="Other"/>
    <n v="5"/>
    <n v="3"/>
    <n v="176.55"/>
    <n v="26.48"/>
    <n v="503.17000000000007"/>
    <n v="25.16"/>
    <n v="10"/>
    <n v="0"/>
    <n v="538.33000000000004"/>
    <s v="Delivered"/>
    <n v="33"/>
  </r>
  <r>
    <x v="537"/>
    <x v="22"/>
    <x v="0"/>
    <x v="14"/>
    <s v="Cust_237"/>
    <x v="0"/>
    <x v="1"/>
    <x v="3"/>
    <n v="776479"/>
    <x v="1"/>
    <s v="SKU137"/>
    <s v="Product_137"/>
    <s v="Frozen"/>
    <n v="6"/>
    <n v="1"/>
    <n v="134.43"/>
    <n v="0"/>
    <n v="134.43"/>
    <n v="6.72"/>
    <n v="0"/>
    <n v="0"/>
    <n v="141.15"/>
    <s v="Delivered"/>
    <n v="30"/>
  </r>
  <r>
    <x v="538"/>
    <x v="5"/>
    <x v="1"/>
    <x v="0"/>
    <s v="Cust_238"/>
    <x v="0"/>
    <x v="3"/>
    <x v="3"/>
    <n v="515466"/>
    <x v="6"/>
    <s v="SKU138"/>
    <s v="Product_138"/>
    <s v="Other"/>
    <n v="5"/>
    <n v="5"/>
    <n v="213.07"/>
    <n v="21.31"/>
    <n v="1044.04"/>
    <n v="52.2"/>
    <n v="0"/>
    <n v="15"/>
    <n v="1111.24"/>
    <s v="Delivered"/>
    <n v="3"/>
  </r>
  <r>
    <x v="539"/>
    <x v="12"/>
    <x v="0"/>
    <x v="10"/>
    <s v="Cust_239"/>
    <x v="0"/>
    <x v="1"/>
    <x v="3"/>
    <n v="205686"/>
    <x v="6"/>
    <s v="SKU139"/>
    <s v="Product_139"/>
    <s v="DIARY"/>
    <n v="5"/>
    <n v="5"/>
    <n v="163.63"/>
    <n v="8.18"/>
    <n v="809.97"/>
    <n v="40.5"/>
    <n v="20"/>
    <n v="0"/>
    <n v="870.47"/>
    <s v="Delivered"/>
    <n v="13"/>
  </r>
  <r>
    <x v="540"/>
    <x v="21"/>
    <x v="2"/>
    <x v="18"/>
    <s v="Cust_240"/>
    <x v="0"/>
    <x v="2"/>
    <x v="3"/>
    <n v="798148"/>
    <x v="0"/>
    <s v="SKU140"/>
    <s v="Product_140"/>
    <s v="Baby"/>
    <n v="4"/>
    <n v="1"/>
    <n v="14.1"/>
    <n v="0.71"/>
    <n v="13.39"/>
    <n v="0.67"/>
    <n v="0"/>
    <n v="5"/>
    <n v="19.059999999999999"/>
    <s v="Returned"/>
    <n v="25"/>
  </r>
  <r>
    <x v="541"/>
    <x v="18"/>
    <x v="0"/>
    <x v="15"/>
    <s v="Cust_241"/>
    <x v="0"/>
    <x v="3"/>
    <x v="3"/>
    <n v="240148"/>
    <x v="2"/>
    <s v="SKU141"/>
    <s v="Product_141"/>
    <s v="Dairy"/>
    <n v="5"/>
    <n v="2"/>
    <n v="170.89"/>
    <n v="17.09"/>
    <n v="324.69"/>
    <n v="16.23"/>
    <n v="0"/>
    <n v="0"/>
    <n v="340.92"/>
    <s v="Delivered"/>
    <n v="12"/>
  </r>
  <r>
    <x v="542"/>
    <x v="18"/>
    <x v="0"/>
    <x v="15"/>
    <s v="Cust_242"/>
    <x v="0"/>
    <x v="5"/>
    <x v="3"/>
    <n v="490452"/>
    <x v="5"/>
    <s v="SKU142"/>
    <s v="Product_142"/>
    <s v="Essentials"/>
    <n v="10"/>
    <n v="3"/>
    <n v="118.33"/>
    <n v="11.83"/>
    <n v="343.16"/>
    <n v="17.16"/>
    <n v="20"/>
    <n v="10"/>
    <n v="390.32000000000011"/>
    <s v="Delivered"/>
    <n v="32"/>
  </r>
  <r>
    <x v="543"/>
    <x v="55"/>
    <x v="1"/>
    <x v="11"/>
    <s v="Cust_243"/>
    <x v="0"/>
    <x v="0"/>
    <x v="3"/>
    <n v="585651"/>
    <x v="5"/>
    <s v="SKU143"/>
    <s v="Product_143"/>
    <s v="Frozen"/>
    <n v="6"/>
    <n v="4"/>
    <n v="140.97999999999999"/>
    <n v="0"/>
    <n v="563.91999999999996"/>
    <n v="28.2"/>
    <n v="10"/>
    <n v="10"/>
    <n v="612.12"/>
    <s v="Delivered"/>
    <n v="9"/>
  </r>
  <r>
    <x v="544"/>
    <x v="0"/>
    <x v="0"/>
    <x v="0"/>
    <s v="Cust_244"/>
    <x v="0"/>
    <x v="5"/>
    <x v="3"/>
    <n v="857634"/>
    <x v="0"/>
    <s v="SKU144"/>
    <s v="Product_144"/>
    <s v="Veg"/>
    <n v="3"/>
    <n v="2"/>
    <n v="205.23"/>
    <n v="30.78"/>
    <n v="379.67999999999989"/>
    <n v="18.98"/>
    <n v="10"/>
    <n v="5"/>
    <n v="413.66"/>
    <s v="Delivered"/>
    <n v="21"/>
  </r>
  <r>
    <x v="545"/>
    <x v="39"/>
    <x v="1"/>
    <x v="26"/>
    <s v="Cust_245"/>
    <x v="0"/>
    <x v="2"/>
    <x v="3"/>
    <n v="273115"/>
    <x v="0"/>
    <s v="SKU145"/>
    <s v="Product_145"/>
    <s v="bevrage"/>
    <n v="7"/>
    <n v="4"/>
    <n v="233.8"/>
    <n v="23.38"/>
    <n v="911.82"/>
    <n v="45.59"/>
    <n v="10"/>
    <n v="20"/>
    <n v="987.41000000000008"/>
    <s v="Delivered"/>
    <n v="17"/>
  </r>
  <r>
    <x v="546"/>
    <x v="46"/>
    <x v="1"/>
    <x v="25"/>
    <s v="Cust_246"/>
    <x v="0"/>
    <x v="5"/>
    <x v="3"/>
    <n v="813340"/>
    <x v="1"/>
    <s v="SKU146"/>
    <s v="Product_146"/>
    <s v="Fruits"/>
    <n v="6"/>
    <n v="3"/>
    <n v="27.87"/>
    <n v="1.39"/>
    <n v="82.22"/>
    <n v="4.1100000000000003"/>
    <n v="30"/>
    <n v="5"/>
    <n v="121.33"/>
    <s v="Delivered"/>
    <n v="31"/>
  </r>
  <r>
    <x v="547"/>
    <x v="52"/>
    <x v="0"/>
    <x v="27"/>
    <s v="Cust_247"/>
    <x v="0"/>
    <x v="3"/>
    <x v="3"/>
    <n v="897124"/>
    <x v="0"/>
    <s v="SKU147"/>
    <s v="Product_147"/>
    <s v="Snacks"/>
    <n v="6"/>
    <n v="5"/>
    <n v="114.16"/>
    <n v="0"/>
    <n v="570.79999999999995"/>
    <n v="28.54"/>
    <n v="30"/>
    <n v="20"/>
    <n v="649.33999999999992"/>
    <s v="Cancelled"/>
    <n v="25"/>
  </r>
  <r>
    <x v="548"/>
    <x v="57"/>
    <x v="0"/>
    <x v="18"/>
    <s v="Cust_248"/>
    <x v="0"/>
    <x v="1"/>
    <x v="3"/>
    <n v="971535"/>
    <x v="1"/>
    <s v="SKU148"/>
    <s v="Product_148"/>
    <s v="Baby"/>
    <n v="4"/>
    <n v="1"/>
    <n v="108.55"/>
    <n v="16.28"/>
    <n v="92.27"/>
    <n v="4.6100000000000003"/>
    <n v="30"/>
    <n v="20"/>
    <n v="146.88"/>
    <s v="Delivered"/>
    <n v="24"/>
  </r>
  <r>
    <x v="549"/>
    <x v="1"/>
    <x v="0"/>
    <x v="1"/>
    <s v="Cust_249"/>
    <x v="1"/>
    <x v="4"/>
    <x v="3"/>
    <n v="578454"/>
    <x v="1"/>
    <s v="SKU149"/>
    <s v="Product_149"/>
    <s v="Other"/>
    <n v="5"/>
    <n v="1"/>
    <n v="186.8"/>
    <n v="18.68"/>
    <n v="168.12"/>
    <n v="8.41"/>
    <n v="30"/>
    <n v="15"/>
    <n v="221.53"/>
    <s v="Delivered"/>
    <n v="28"/>
  </r>
  <r>
    <x v="550"/>
    <x v="19"/>
    <x v="1"/>
    <x v="16"/>
    <s v="Cust_250"/>
    <x v="0"/>
    <x v="2"/>
    <x v="3"/>
    <n v="870824"/>
    <x v="0"/>
    <s v="SKU150"/>
    <s v="Product_150"/>
    <s v="FRUITS "/>
    <n v="7"/>
    <n v="5"/>
    <n v="112.31"/>
    <n v="16.850000000000001"/>
    <n v="544.69999999999993"/>
    <n v="27.23"/>
    <n v="20"/>
    <n v="10"/>
    <n v="601.92999999999995"/>
    <s v="Delivered"/>
    <n v="31"/>
  </r>
  <r>
    <x v="551"/>
    <x v="31"/>
    <x v="0"/>
    <x v="22"/>
    <s v="Cust_251"/>
    <x v="0"/>
    <x v="3"/>
    <x v="3"/>
    <n v="416363"/>
    <x v="0"/>
    <s v="SKU151"/>
    <s v="Product_151"/>
    <s v="Beverages"/>
    <n v="9"/>
    <n v="1"/>
    <n v="109.85"/>
    <n v="10.98"/>
    <n v="98.86999999999999"/>
    <n v="4.9400000000000004"/>
    <n v="0"/>
    <n v="15"/>
    <n v="118.81"/>
    <s v="Delivered"/>
    <n v="21"/>
  </r>
  <r>
    <x v="552"/>
    <x v="44"/>
    <x v="0"/>
    <x v="26"/>
    <s v="Cust_252"/>
    <x v="0"/>
    <x v="5"/>
    <x v="3"/>
    <n v="269934"/>
    <x v="0"/>
    <s v="SKU152"/>
    <s v="Product_152"/>
    <s v="Veg"/>
    <n v="3"/>
    <n v="6"/>
    <n v="134.02000000000001"/>
    <n v="13.4"/>
    <n v="790.72000000000014"/>
    <n v="39.54"/>
    <n v="0"/>
    <n v="20"/>
    <n v="850.2600000000001"/>
    <s v="Delivered"/>
    <n v="14"/>
  </r>
  <r>
    <x v="553"/>
    <x v="33"/>
    <x v="0"/>
    <x v="9"/>
    <s v="Cust_253"/>
    <x v="1"/>
    <x v="4"/>
    <x v="3"/>
    <n v="201407"/>
    <x v="1"/>
    <s v="SKU153"/>
    <s v="Product_153"/>
    <s v="FRUITS "/>
    <n v="7"/>
    <n v="2"/>
    <n v="177.5"/>
    <n v="0"/>
    <n v="355"/>
    <n v="17.75"/>
    <n v="30"/>
    <n v="20"/>
    <n v="422.75"/>
    <s v="Delivered"/>
    <n v="40"/>
  </r>
  <r>
    <x v="554"/>
    <x v="14"/>
    <x v="0"/>
    <x v="12"/>
    <s v="Cust_254"/>
    <x v="0"/>
    <x v="5"/>
    <x v="3"/>
    <n v="311144"/>
    <x v="0"/>
    <s v="SKU154"/>
    <s v="Product_154"/>
    <s v="Other"/>
    <n v="5"/>
    <n v="5"/>
    <n v="187.11"/>
    <n v="18.71"/>
    <n v="916.84"/>
    <n v="45.84"/>
    <n v="20"/>
    <n v="10"/>
    <n v="992.68000000000006"/>
    <s v="Delivered"/>
    <n v="30"/>
  </r>
  <r>
    <x v="555"/>
    <x v="1"/>
    <x v="0"/>
    <x v="1"/>
    <s v="Cust_255"/>
    <x v="0"/>
    <x v="3"/>
    <x v="3"/>
    <n v="630875"/>
    <x v="5"/>
    <s v="SKU155"/>
    <s v="Product_155"/>
    <s v="Beverages"/>
    <n v="9"/>
    <n v="4"/>
    <n v="120.35"/>
    <n v="6.02"/>
    <n v="475.38"/>
    <n v="23.77"/>
    <n v="10"/>
    <n v="10"/>
    <n v="519.15"/>
    <s v="Delivered"/>
    <n v="36"/>
  </r>
  <r>
    <x v="556"/>
    <x v="30"/>
    <x v="1"/>
    <x v="22"/>
    <s v="Cust_256"/>
    <x v="0"/>
    <x v="5"/>
    <x v="3"/>
    <n v="657242"/>
    <x v="0"/>
    <s v="SKU156"/>
    <s v="Product_156"/>
    <s v="Beverages"/>
    <n v="9"/>
    <n v="5"/>
    <n v="88.84"/>
    <n v="13.33"/>
    <n v="430.87000000000012"/>
    <n v="21.54"/>
    <n v="0"/>
    <n v="0"/>
    <n v="452.41000000000008"/>
    <s v="Delivered"/>
    <n v="26"/>
  </r>
  <r>
    <x v="557"/>
    <x v="56"/>
    <x v="1"/>
    <x v="15"/>
    <s v="Cust_257"/>
    <x v="1"/>
    <x v="4"/>
    <x v="3"/>
    <n v="223728"/>
    <x v="0"/>
    <s v="SKU157"/>
    <s v="Product_157"/>
    <s v="Baby"/>
    <n v="4"/>
    <n v="6"/>
    <n v="141.30000000000001"/>
    <n v="7.07"/>
    <n v="840.73"/>
    <n v="42.04"/>
    <n v="10"/>
    <n v="15"/>
    <n v="907.77"/>
    <s v="Delivered"/>
    <n v="12"/>
  </r>
  <r>
    <x v="558"/>
    <x v="41"/>
    <x v="0"/>
    <x v="6"/>
    <s v="Cust_258"/>
    <x v="0"/>
    <x v="2"/>
    <x v="3"/>
    <n v="907221"/>
    <x v="6"/>
    <s v="SKU158"/>
    <s v="Product_158"/>
    <s v="Dairy"/>
    <n v="5"/>
    <n v="3"/>
    <n v="125.58"/>
    <n v="12.56"/>
    <n v="364.18"/>
    <n v="18.21"/>
    <n v="20"/>
    <n v="20"/>
    <n v="422.39"/>
    <s v="Delivered"/>
    <n v="19"/>
  </r>
  <r>
    <x v="559"/>
    <x v="21"/>
    <x v="2"/>
    <x v="18"/>
    <s v="Cust_259"/>
    <x v="0"/>
    <x v="3"/>
    <x v="3"/>
    <n v="733676"/>
    <x v="3"/>
    <s v="SKU159"/>
    <s v="Product_159"/>
    <s v="snaks"/>
    <n v="5"/>
    <n v="2"/>
    <n v="43.92"/>
    <n v="6.59"/>
    <n v="81.25"/>
    <n v="4.0599999999999996"/>
    <n v="30"/>
    <n v="0"/>
    <n v="115.31"/>
    <s v="Delivered"/>
    <n v="15"/>
  </r>
  <r>
    <x v="560"/>
    <x v="28"/>
    <x v="0"/>
    <x v="8"/>
    <s v="Cust_260"/>
    <x v="0"/>
    <x v="2"/>
    <x v="3"/>
    <n v="154722"/>
    <x v="0"/>
    <s v="SKU160"/>
    <s v="Product_160"/>
    <s v="snaks"/>
    <n v="5"/>
    <n v="9"/>
    <n v="132.87"/>
    <n v="13.29"/>
    <n v="1182.54"/>
    <n v="59.13"/>
    <n v="0"/>
    <n v="0"/>
    <n v="1241.67"/>
    <s v="Delivered"/>
    <n v="34"/>
  </r>
  <r>
    <x v="561"/>
    <x v="19"/>
    <x v="1"/>
    <x v="16"/>
    <s v="Cust_261"/>
    <x v="0"/>
    <x v="3"/>
    <x v="3"/>
    <n v="958823"/>
    <x v="0"/>
    <s v="SKU161"/>
    <s v="Product_161"/>
    <s v="snaks"/>
    <n v="5"/>
    <n v="3"/>
    <n v="101.98"/>
    <n v="15.3"/>
    <n v="290.64"/>
    <n v="14.53"/>
    <n v="10"/>
    <n v="10"/>
    <n v="325.17"/>
    <s v="Failed"/>
    <n v="25"/>
  </r>
  <r>
    <x v="562"/>
    <x v="8"/>
    <x v="1"/>
    <x v="6"/>
    <s v="Cust_262"/>
    <x v="0"/>
    <x v="3"/>
    <x v="3"/>
    <n v="972834"/>
    <x v="2"/>
    <s v="SKU162"/>
    <s v="Product_162"/>
    <s v="snaks"/>
    <n v="5"/>
    <n v="6"/>
    <n v="165.36"/>
    <n v="8.27"/>
    <n v="983.8900000000001"/>
    <n v="49.19"/>
    <n v="0"/>
    <n v="15"/>
    <n v="1048.08"/>
    <s v="Delivered"/>
    <n v="16"/>
  </r>
  <r>
    <x v="563"/>
    <x v="45"/>
    <x v="1"/>
    <x v="28"/>
    <s v="Cust_263"/>
    <x v="0"/>
    <x v="5"/>
    <x v="3"/>
    <n v="744894"/>
    <x v="0"/>
    <s v="SKU163"/>
    <s v="Product_163"/>
    <s v="Veg"/>
    <n v="3"/>
    <n v="2"/>
    <n v="36.71"/>
    <n v="1.84"/>
    <n v="71.58"/>
    <n v="3.58"/>
    <n v="20"/>
    <n v="20"/>
    <n v="115.16"/>
    <s v="Delivered"/>
    <n v="31"/>
  </r>
  <r>
    <x v="564"/>
    <x v="58"/>
    <x v="0"/>
    <x v="19"/>
    <s v="Cust_264"/>
    <x v="0"/>
    <x v="0"/>
    <x v="3"/>
    <n v="915869"/>
    <x v="3"/>
    <s v="SKU164"/>
    <s v="Product_164"/>
    <s v="Other"/>
    <n v="5"/>
    <n v="3"/>
    <n v="99.53"/>
    <n v="0"/>
    <n v="298.58999999999997"/>
    <n v="14.93"/>
    <n v="0"/>
    <n v="20"/>
    <n v="333.52"/>
    <s v="Delivered"/>
    <n v="14"/>
  </r>
  <r>
    <x v="565"/>
    <x v="8"/>
    <x v="1"/>
    <x v="6"/>
    <s v="Cust_265"/>
    <x v="0"/>
    <x v="2"/>
    <x v="3"/>
    <n v="373813"/>
    <x v="0"/>
    <s v="SKU165"/>
    <s v="Product_165"/>
    <s v="Frozen"/>
    <n v="6"/>
    <n v="5"/>
    <n v="173.72"/>
    <n v="26.06"/>
    <n v="842.54000000000008"/>
    <n v="42.13"/>
    <n v="0"/>
    <n v="5"/>
    <n v="889.67000000000007"/>
    <s v="Delivered"/>
    <n v="18"/>
  </r>
  <r>
    <x v="566"/>
    <x v="29"/>
    <x v="1"/>
    <x v="21"/>
    <s v="Cust_266"/>
    <x v="0"/>
    <x v="3"/>
    <x v="3"/>
    <n v="624624"/>
    <x v="1"/>
    <s v="SKU166"/>
    <s v="Product_166"/>
    <s v="Snacks"/>
    <n v="6"/>
    <n v="3"/>
    <n v="169.22"/>
    <n v="8.4600000000000009"/>
    <n v="499.2"/>
    <n v="24.96"/>
    <n v="30"/>
    <n v="5"/>
    <n v="559.16"/>
    <s v="Delivered"/>
    <n v="30"/>
  </r>
  <r>
    <x v="567"/>
    <x v="7"/>
    <x v="0"/>
    <x v="5"/>
    <s v="Cust_267"/>
    <x v="0"/>
    <x v="2"/>
    <x v="3"/>
    <n v="116279"/>
    <x v="0"/>
    <s v="SKU167"/>
    <s v="Product_167"/>
    <s v="bevrage"/>
    <n v="7"/>
    <n v="3"/>
    <n v="109.05"/>
    <n v="10.91"/>
    <n v="316.24"/>
    <n v="15.81"/>
    <n v="20"/>
    <n v="15"/>
    <n v="367.05"/>
    <s v="Delivered"/>
    <n v="20"/>
  </r>
  <r>
    <x v="568"/>
    <x v="33"/>
    <x v="0"/>
    <x v="9"/>
    <s v="Cust_268"/>
    <x v="0"/>
    <x v="5"/>
    <x v="3"/>
    <n v="985050"/>
    <x v="0"/>
    <s v="SKU168"/>
    <s v="Product_168"/>
    <s v="bevrage"/>
    <n v="7"/>
    <n v="2"/>
    <n v="75.209999999999994"/>
    <n v="11.28"/>
    <n v="139.13999999999999"/>
    <n v="6.96"/>
    <n v="20"/>
    <n v="0"/>
    <n v="166.1"/>
    <s v="Delivered"/>
    <n v="18"/>
  </r>
  <r>
    <x v="569"/>
    <x v="42"/>
    <x v="1"/>
    <x v="24"/>
    <s v="Cust_269"/>
    <x v="0"/>
    <x v="2"/>
    <x v="3"/>
    <n v="337723"/>
    <x v="3"/>
    <s v="SKU169"/>
    <s v="Product_169"/>
    <s v="Dairy"/>
    <n v="5"/>
    <n v="1"/>
    <n v="113.3"/>
    <n v="16.989999999999998"/>
    <n v="96.31"/>
    <n v="4.82"/>
    <n v="0"/>
    <n v="15"/>
    <n v="116.13"/>
    <s v="Delivered"/>
    <n v="17"/>
  </r>
  <r>
    <x v="570"/>
    <x v="35"/>
    <x v="0"/>
    <x v="25"/>
    <s v="Cust_270"/>
    <x v="0"/>
    <x v="3"/>
    <x v="3"/>
    <n v="297478"/>
    <x v="1"/>
    <s v="SKU170"/>
    <s v="Product_170"/>
    <s v="Bakery"/>
    <n v="6"/>
    <n v="2"/>
    <n v="90.96"/>
    <n v="4.55"/>
    <n v="177.37"/>
    <n v="8.8699999999999992"/>
    <n v="10"/>
    <n v="15"/>
    <n v="211.24"/>
    <s v="Delivered"/>
    <n v="14"/>
  </r>
  <r>
    <x v="571"/>
    <x v="42"/>
    <x v="1"/>
    <x v="24"/>
    <s v="Cust_271"/>
    <x v="0"/>
    <x v="3"/>
    <x v="3"/>
    <n v="789245"/>
    <x v="1"/>
    <s v="SKU171"/>
    <s v="Product_171"/>
    <s v="Bakery"/>
    <n v="6"/>
    <n v="1"/>
    <n v="93.08"/>
    <n v="9.31"/>
    <n v="83.77"/>
    <n v="4.1900000000000004"/>
    <n v="0"/>
    <n v="5"/>
    <n v="92.96"/>
    <s v="Cancelled"/>
    <n v="25"/>
  </r>
  <r>
    <x v="572"/>
    <x v="12"/>
    <x v="0"/>
    <x v="10"/>
    <s v="Cust_272"/>
    <x v="0"/>
    <x v="3"/>
    <x v="3"/>
    <n v="455239"/>
    <x v="5"/>
    <s v="SKU172"/>
    <s v="Product_172"/>
    <s v="Other"/>
    <n v="5"/>
    <n v="5"/>
    <n v="171.06"/>
    <n v="8.5500000000000007"/>
    <n v="846.75"/>
    <n v="42.34"/>
    <n v="30"/>
    <n v="0"/>
    <n v="919.09"/>
    <s v="Delivered"/>
    <n v="40"/>
  </r>
  <r>
    <x v="573"/>
    <x v="9"/>
    <x v="1"/>
    <x v="7"/>
    <s v="Cust_273"/>
    <x v="0"/>
    <x v="2"/>
    <x v="3"/>
    <n v="479593"/>
    <x v="1"/>
    <s v="SKU173"/>
    <s v="Product_173"/>
    <s v="Essentials"/>
    <n v="10"/>
    <n v="6"/>
    <n v="113.05"/>
    <n v="11.3"/>
    <n v="667"/>
    <n v="33.35"/>
    <n v="30"/>
    <n v="20"/>
    <n v="750.35"/>
    <s v="Delivered"/>
    <n v="28"/>
  </r>
  <r>
    <x v="574"/>
    <x v="37"/>
    <x v="1"/>
    <x v="12"/>
    <s v="Cust_274"/>
    <x v="0"/>
    <x v="2"/>
    <x v="3"/>
    <n v="917459"/>
    <x v="0"/>
    <s v="SKU174"/>
    <s v="Product_174"/>
    <s v="Dairy"/>
    <n v="5"/>
    <n v="1"/>
    <n v="126.99"/>
    <n v="0"/>
    <n v="126.99"/>
    <n v="6.35"/>
    <n v="10"/>
    <n v="15"/>
    <n v="158.34"/>
    <s v="Delivered"/>
    <n v="23"/>
  </r>
  <r>
    <x v="575"/>
    <x v="23"/>
    <x v="1"/>
    <x v="4"/>
    <s v="Cust_275"/>
    <x v="0"/>
    <x v="0"/>
    <x v="3"/>
    <n v="846760"/>
    <x v="3"/>
    <s v="SKU175"/>
    <s v="Product_175"/>
    <s v="Baby"/>
    <n v="4"/>
    <n v="2"/>
    <n v="131.35"/>
    <n v="0"/>
    <n v="262.7"/>
    <n v="13.13"/>
    <n v="0"/>
    <n v="5"/>
    <n v="280.83"/>
    <s v="Delivered"/>
    <n v="23"/>
  </r>
  <r>
    <x v="576"/>
    <x v="12"/>
    <x v="0"/>
    <x v="10"/>
    <s v="Cust_276"/>
    <x v="2"/>
    <x v="4"/>
    <x v="3"/>
    <n v="189037"/>
    <x v="0"/>
    <s v="SKU176"/>
    <s v="Product_176"/>
    <s v="Snacks"/>
    <n v="6"/>
    <n v="1"/>
    <n v="87.6"/>
    <n v="13.14"/>
    <n v="74.459999999999994"/>
    <n v="3.72"/>
    <n v="30"/>
    <n v="0"/>
    <n v="108.18"/>
    <s v="Delivered"/>
    <n v="14"/>
  </r>
  <r>
    <x v="577"/>
    <x v="54"/>
    <x v="1"/>
    <x v="18"/>
    <s v="Cust_277"/>
    <x v="0"/>
    <x v="3"/>
    <x v="3"/>
    <n v="259882"/>
    <x v="3"/>
    <s v="SKU177"/>
    <s v="Product_177"/>
    <s v="Snacks"/>
    <n v="6"/>
    <n v="3"/>
    <n v="142.12"/>
    <n v="0"/>
    <n v="426.36"/>
    <n v="21.32"/>
    <n v="10"/>
    <n v="15"/>
    <n v="472.68"/>
    <s v="Cancelled"/>
    <n v="25"/>
  </r>
  <r>
    <x v="578"/>
    <x v="7"/>
    <x v="0"/>
    <x v="5"/>
    <s v="Cust_278"/>
    <x v="0"/>
    <x v="2"/>
    <x v="3"/>
    <n v="780428"/>
    <x v="0"/>
    <s v="SKU178"/>
    <s v="Product_178"/>
    <s v="Veg"/>
    <n v="3"/>
    <n v="5"/>
    <n v="128.21"/>
    <n v="0"/>
    <n v="641.05000000000007"/>
    <n v="32.049999999999997"/>
    <n v="10"/>
    <n v="0"/>
    <n v="683.1"/>
    <s v="Cancelled"/>
    <n v="25"/>
  </r>
  <r>
    <x v="579"/>
    <x v="7"/>
    <x v="0"/>
    <x v="5"/>
    <s v="Cust_279"/>
    <x v="0"/>
    <x v="2"/>
    <x v="3"/>
    <n v="470608"/>
    <x v="3"/>
    <s v="SKU179"/>
    <s v="Product_179"/>
    <s v="Veg"/>
    <n v="3"/>
    <n v="2"/>
    <n v="170.71"/>
    <n v="8.5399999999999991"/>
    <n v="332.88"/>
    <n v="16.64"/>
    <n v="30"/>
    <n v="20"/>
    <n v="399.52"/>
    <s v="Delivered"/>
    <n v="0"/>
  </r>
  <r>
    <x v="580"/>
    <x v="54"/>
    <x v="1"/>
    <x v="18"/>
    <s v="Cust_280"/>
    <x v="0"/>
    <x v="5"/>
    <x v="3"/>
    <n v="848692"/>
    <x v="6"/>
    <s v="SKU180"/>
    <s v="Product_180"/>
    <s v="Baby"/>
    <n v="4"/>
    <n v="6"/>
    <n v="79.489999999999995"/>
    <n v="3.97"/>
    <n v="472.96999999999991"/>
    <n v="23.65"/>
    <n v="20"/>
    <n v="10"/>
    <n v="526.61999999999989"/>
    <s v="Delivered"/>
    <n v="10"/>
  </r>
  <r>
    <x v="581"/>
    <x v="31"/>
    <x v="0"/>
    <x v="22"/>
    <s v="Cust_281"/>
    <x v="0"/>
    <x v="5"/>
    <x v="3"/>
    <n v="371365"/>
    <x v="6"/>
    <s v="SKU181"/>
    <s v="Product_181"/>
    <s v="Beverages"/>
    <n v="9"/>
    <n v="4"/>
    <n v="98.01"/>
    <n v="14.7"/>
    <n v="377.34"/>
    <n v="18.87"/>
    <n v="0"/>
    <n v="20"/>
    <n v="416.21"/>
    <s v="Delivered"/>
    <n v="28"/>
  </r>
  <r>
    <x v="582"/>
    <x v="48"/>
    <x v="0"/>
    <x v="13"/>
    <s v="Cust_282"/>
    <x v="0"/>
    <x v="3"/>
    <x v="3"/>
    <n v="701206"/>
    <x v="0"/>
    <s v="SKU182"/>
    <s v="Product_182"/>
    <s v="Dairy"/>
    <n v="5"/>
    <n v="1"/>
    <n v="90.51"/>
    <n v="13.58"/>
    <n v="76.930000000000007"/>
    <n v="3.85"/>
    <n v="30"/>
    <n v="10"/>
    <n v="120.78"/>
    <s v="Delivered"/>
    <n v="28"/>
  </r>
  <r>
    <x v="583"/>
    <x v="57"/>
    <x v="0"/>
    <x v="18"/>
    <s v="Cust_283"/>
    <x v="0"/>
    <x v="5"/>
    <x v="3"/>
    <n v="326572"/>
    <x v="4"/>
    <s v="SKU183"/>
    <s v="Product_183"/>
    <s v="Veg"/>
    <n v="3"/>
    <n v="3"/>
    <n v="200.68"/>
    <n v="10.029999999999999"/>
    <n v="592.01"/>
    <n v="29.6"/>
    <n v="20"/>
    <n v="10"/>
    <n v="651.61"/>
    <s v="Delivered"/>
    <n v="21"/>
  </r>
  <r>
    <x v="584"/>
    <x v="47"/>
    <x v="0"/>
    <x v="7"/>
    <s v="Cust_284"/>
    <x v="0"/>
    <x v="5"/>
    <x v="3"/>
    <n v="452103"/>
    <x v="6"/>
    <s v="SKU184"/>
    <s v="Product_184"/>
    <s v="Dairy"/>
    <n v="5"/>
    <n v="8"/>
    <n v="137.74"/>
    <n v="0"/>
    <n v="1101.92"/>
    <n v="55.1"/>
    <n v="20"/>
    <n v="15"/>
    <n v="1192.02"/>
    <s v="Delivered"/>
    <n v="9"/>
  </r>
  <r>
    <x v="585"/>
    <x v="51"/>
    <x v="0"/>
    <x v="28"/>
    <s v="Cust_285"/>
    <x v="0"/>
    <x v="0"/>
    <x v="3"/>
    <n v="899687"/>
    <x v="2"/>
    <s v="SKU185"/>
    <s v="Product_185"/>
    <s v="Veg"/>
    <n v="3"/>
    <n v="1"/>
    <n v="144.13"/>
    <n v="21.62"/>
    <n v="122.51"/>
    <n v="6.13"/>
    <n v="0"/>
    <n v="5"/>
    <n v="133.63999999999999"/>
    <s v="Delivered"/>
    <n v="22"/>
  </r>
  <r>
    <x v="586"/>
    <x v="24"/>
    <x v="1"/>
    <x v="19"/>
    <s v="Cust_286"/>
    <x v="0"/>
    <x v="2"/>
    <x v="3"/>
    <n v="485946"/>
    <x v="2"/>
    <s v="SKU186"/>
    <s v="Product_186"/>
    <s v="Dairy"/>
    <n v="5"/>
    <n v="3"/>
    <n v="83.53"/>
    <n v="0"/>
    <n v="250.59"/>
    <n v="12.53"/>
    <n v="30"/>
    <n v="15"/>
    <n v="308.12"/>
    <s v="Failed"/>
    <n v="25"/>
  </r>
  <r>
    <x v="587"/>
    <x v="14"/>
    <x v="0"/>
    <x v="12"/>
    <s v="Cust_287"/>
    <x v="0"/>
    <x v="1"/>
    <x v="3"/>
    <n v="892130"/>
    <x v="0"/>
    <s v="SKU187"/>
    <s v="Product_187"/>
    <s v="Essentials"/>
    <n v="10"/>
    <n v="1"/>
    <n v="132.81"/>
    <n v="6.64"/>
    <n v="126.17"/>
    <n v="6.31"/>
    <n v="10"/>
    <n v="5"/>
    <n v="147.47999999999999"/>
    <s v="Delivered"/>
    <n v="33"/>
  </r>
  <r>
    <x v="588"/>
    <x v="52"/>
    <x v="0"/>
    <x v="27"/>
    <s v="Cust_288"/>
    <x v="0"/>
    <x v="0"/>
    <x v="3"/>
    <n v="961465"/>
    <x v="0"/>
    <s v="SKU188"/>
    <s v="Product_188"/>
    <s v="bevrage"/>
    <n v="7"/>
    <n v="1"/>
    <n v="175.94"/>
    <n v="17.59"/>
    <n v="158.35"/>
    <n v="7.92"/>
    <n v="0"/>
    <n v="5"/>
    <n v="171.27"/>
    <s v="Delivered"/>
    <n v="37"/>
  </r>
  <r>
    <x v="589"/>
    <x v="12"/>
    <x v="0"/>
    <x v="10"/>
    <s v="Cust_289"/>
    <x v="0"/>
    <x v="2"/>
    <x v="3"/>
    <n v="368449"/>
    <x v="2"/>
    <s v="SKU189"/>
    <s v="Product_189"/>
    <s v="Other"/>
    <n v="5"/>
    <n v="1"/>
    <n v="101.71"/>
    <n v="5.09"/>
    <n v="96.61999999999999"/>
    <n v="4.83"/>
    <n v="10"/>
    <n v="20"/>
    <n v="131.44999999999999"/>
    <s v="Delivered"/>
    <n v="32"/>
  </r>
  <r>
    <x v="590"/>
    <x v="54"/>
    <x v="1"/>
    <x v="18"/>
    <s v="Cust_290"/>
    <x v="0"/>
    <x v="0"/>
    <x v="3"/>
    <n v="746275"/>
    <x v="1"/>
    <s v="SKU190"/>
    <s v="Product_190"/>
    <s v="Fruits"/>
    <n v="6"/>
    <n v="1"/>
    <n v="170.13"/>
    <n v="17.010000000000002"/>
    <n v="153.12"/>
    <n v="7.66"/>
    <n v="30"/>
    <n v="20"/>
    <n v="210.78"/>
    <s v="Delivered"/>
    <n v="13"/>
  </r>
  <r>
    <x v="591"/>
    <x v="30"/>
    <x v="1"/>
    <x v="22"/>
    <s v="Cust_291"/>
    <x v="0"/>
    <x v="3"/>
    <x v="3"/>
    <n v="251426"/>
    <x v="0"/>
    <s v="SKU191"/>
    <s v="Product_191"/>
    <s v="Beverages"/>
    <n v="9"/>
    <n v="4"/>
    <n v="268.76"/>
    <n v="26.88"/>
    <n v="1048.1600000000001"/>
    <n v="52.41"/>
    <n v="20"/>
    <n v="15"/>
    <n v="1135.57"/>
    <s v="Delivered"/>
    <n v="47"/>
  </r>
  <r>
    <x v="592"/>
    <x v="0"/>
    <x v="0"/>
    <x v="0"/>
    <s v="Cust_292"/>
    <x v="0"/>
    <x v="0"/>
    <x v="3"/>
    <n v="177525"/>
    <x v="2"/>
    <s v="SKU192"/>
    <s v="Product_192"/>
    <s v="Bakery"/>
    <n v="6"/>
    <n v="4"/>
    <n v="201.95"/>
    <n v="20.2"/>
    <n v="787.59999999999991"/>
    <n v="39.380000000000003"/>
    <n v="0"/>
    <n v="20"/>
    <n v="846.9799999999999"/>
    <s v="Delivered"/>
    <n v="23"/>
  </r>
  <r>
    <x v="593"/>
    <x v="55"/>
    <x v="1"/>
    <x v="11"/>
    <s v="Cust_293"/>
    <x v="0"/>
    <x v="3"/>
    <x v="3"/>
    <n v="544709"/>
    <x v="2"/>
    <s v="SKU193"/>
    <s v="Product_193"/>
    <s v="Fruits"/>
    <n v="6"/>
    <n v="1"/>
    <n v="111.49"/>
    <n v="0"/>
    <n v="111.49"/>
    <n v="5.57"/>
    <n v="10"/>
    <n v="20"/>
    <n v="147.06"/>
    <s v="Delivered"/>
    <n v="13"/>
  </r>
  <r>
    <x v="594"/>
    <x v="16"/>
    <x v="1"/>
    <x v="10"/>
    <s v="Cust_294"/>
    <x v="2"/>
    <x v="4"/>
    <x v="3"/>
    <n v="524724"/>
    <x v="2"/>
    <s v="SKU194"/>
    <s v="Product_194"/>
    <s v="Other"/>
    <n v="5"/>
    <n v="4"/>
    <n v="118.36"/>
    <n v="0"/>
    <n v="473.44"/>
    <n v="23.67"/>
    <n v="0"/>
    <n v="20"/>
    <n v="517.11"/>
    <s v="Delivered"/>
    <n v="26"/>
  </r>
  <r>
    <x v="595"/>
    <x v="2"/>
    <x v="1"/>
    <x v="2"/>
    <s v="Cust_295"/>
    <x v="0"/>
    <x v="1"/>
    <x v="3"/>
    <n v="397584"/>
    <x v="4"/>
    <s v="SKU195"/>
    <s v="Product_195"/>
    <s v="Beverages"/>
    <n v="9"/>
    <n v="4"/>
    <n v="137.53"/>
    <n v="6.88"/>
    <n v="543.24"/>
    <n v="27.16"/>
    <n v="10"/>
    <n v="5"/>
    <n v="585.4"/>
    <s v="Delivered"/>
    <n v="23"/>
  </r>
  <r>
    <x v="596"/>
    <x v="33"/>
    <x v="0"/>
    <x v="9"/>
    <s v="Cust_296"/>
    <x v="0"/>
    <x v="5"/>
    <x v="3"/>
    <n v="306486"/>
    <x v="0"/>
    <s v="SKU196"/>
    <s v="Product_196"/>
    <s v="Baby"/>
    <n v="4"/>
    <n v="1"/>
    <n v="147.46"/>
    <n v="7.37"/>
    <n v="140.09"/>
    <n v="7"/>
    <n v="10"/>
    <n v="5"/>
    <n v="162.09"/>
    <s v="Delivered"/>
    <n v="25"/>
  </r>
  <r>
    <x v="597"/>
    <x v="15"/>
    <x v="1"/>
    <x v="13"/>
    <s v="Cust_297"/>
    <x v="0"/>
    <x v="5"/>
    <x v="3"/>
    <n v="677880"/>
    <x v="5"/>
    <s v="SKU197"/>
    <s v="Product_197"/>
    <s v="Fruits"/>
    <n v="6"/>
    <n v="6"/>
    <n v="109.6"/>
    <n v="5.48"/>
    <n v="652.11999999999989"/>
    <n v="32.61"/>
    <n v="0"/>
    <n v="20"/>
    <n v="704.7299999999999"/>
    <s v="Delivered"/>
    <n v="31"/>
  </r>
  <r>
    <x v="598"/>
    <x v="23"/>
    <x v="1"/>
    <x v="4"/>
    <s v="Cust_298"/>
    <x v="0"/>
    <x v="2"/>
    <x v="3"/>
    <n v="343767"/>
    <x v="1"/>
    <s v="SKU198"/>
    <s v="Product_198"/>
    <s v="Beverages"/>
    <n v="9"/>
    <n v="7"/>
    <n v="103.07"/>
    <n v="15.46"/>
    <n v="706.03"/>
    <n v="35.299999999999997"/>
    <n v="30"/>
    <n v="15"/>
    <n v="786.32999999999993"/>
    <s v="Delivered"/>
    <n v="19"/>
  </r>
  <r>
    <x v="599"/>
    <x v="42"/>
    <x v="1"/>
    <x v="24"/>
    <s v="Cust_299"/>
    <x v="0"/>
    <x v="3"/>
    <x v="3"/>
    <n v="510184"/>
    <x v="0"/>
    <s v="SKU199"/>
    <s v="Product_199"/>
    <s v="Frozen"/>
    <n v="6"/>
    <n v="1"/>
    <n v="162.08000000000001"/>
    <n v="0"/>
    <n v="162.08000000000001"/>
    <n v="8.1"/>
    <n v="10"/>
    <n v="0"/>
    <n v="180.18"/>
    <s v="Delivered"/>
    <n v="13"/>
  </r>
  <r>
    <x v="600"/>
    <x v="30"/>
    <x v="1"/>
    <x v="22"/>
    <s v="Cust_0"/>
    <x v="0"/>
    <x v="1"/>
    <x v="3"/>
    <n v="380539"/>
    <x v="5"/>
    <s v="SKU0"/>
    <s v="Product_0"/>
    <s v="Other"/>
    <n v="5"/>
    <n v="2"/>
    <n v="138.87"/>
    <n v="13.89"/>
    <n v="263.85000000000002"/>
    <n v="13.19"/>
    <n v="20"/>
    <n v="5"/>
    <n v="302.04000000000002"/>
    <s v="Delivered"/>
    <n v="25"/>
  </r>
  <r>
    <x v="601"/>
    <x v="32"/>
    <x v="0"/>
    <x v="23"/>
    <s v="Cust_1"/>
    <x v="0"/>
    <x v="1"/>
    <x v="3"/>
    <n v="543258"/>
    <x v="6"/>
    <s v="SKU1"/>
    <s v="Product_1"/>
    <s v="Beverages"/>
    <n v="9"/>
    <n v="1"/>
    <n v="158.94999999999999"/>
    <n v="0"/>
    <n v="158.94999999999999"/>
    <n v="7.95"/>
    <n v="30"/>
    <n v="10"/>
    <n v="206.9"/>
    <s v="Cancelled"/>
    <n v="25"/>
  </r>
  <r>
    <x v="602"/>
    <x v="35"/>
    <x v="0"/>
    <x v="25"/>
    <s v="Cust_2"/>
    <x v="1"/>
    <x v="4"/>
    <x v="3"/>
    <n v="342934"/>
    <x v="3"/>
    <s v="SKU2"/>
    <s v="Product_2"/>
    <s v="Fruits"/>
    <n v="6"/>
    <n v="4"/>
    <n v="94.3"/>
    <n v="0"/>
    <n v="377.2"/>
    <n v="18.86"/>
    <n v="30"/>
    <n v="20"/>
    <n v="446.06"/>
    <s v="Delivered"/>
    <n v="4"/>
  </r>
  <r>
    <x v="603"/>
    <x v="16"/>
    <x v="1"/>
    <x v="10"/>
    <s v="Cust_3"/>
    <x v="0"/>
    <x v="1"/>
    <x v="3"/>
    <n v="962318"/>
    <x v="3"/>
    <s v="SKU3"/>
    <s v="Product_3"/>
    <s v="Other"/>
    <n v="5"/>
    <n v="3"/>
    <n v="149.13"/>
    <n v="14.91"/>
    <n v="432.48"/>
    <n v="21.62"/>
    <n v="20"/>
    <n v="5"/>
    <n v="479.1"/>
    <s v="Delivered"/>
    <n v="20"/>
  </r>
  <r>
    <x v="604"/>
    <x v="34"/>
    <x v="0"/>
    <x v="24"/>
    <s v="Cust_4"/>
    <x v="0"/>
    <x v="0"/>
    <x v="3"/>
    <n v="434517"/>
    <x v="6"/>
    <s v="SKU4"/>
    <s v="Product_4"/>
    <s v="snaks"/>
    <n v="5"/>
    <n v="5"/>
    <n v="234.74"/>
    <n v="23.47"/>
    <n v="1150.23"/>
    <n v="57.51"/>
    <n v="20"/>
    <n v="20"/>
    <n v="1247.74"/>
    <s v="Delivered"/>
    <n v="33"/>
  </r>
  <r>
    <x v="605"/>
    <x v="2"/>
    <x v="1"/>
    <x v="2"/>
    <s v="Cust_5"/>
    <x v="0"/>
    <x v="1"/>
    <x v="3"/>
    <n v="147111"/>
    <x v="3"/>
    <s v="SKU5"/>
    <s v="Product_5"/>
    <s v="Dairy"/>
    <n v="5"/>
    <n v="4"/>
    <n v="52.9"/>
    <n v="5.29"/>
    <n v="206.31"/>
    <n v="10.32"/>
    <n v="30"/>
    <n v="20"/>
    <n v="266.63"/>
    <s v="Delivered"/>
    <n v="10"/>
  </r>
  <r>
    <x v="606"/>
    <x v="40"/>
    <x v="1"/>
    <x v="27"/>
    <s v="Cust_6"/>
    <x v="1"/>
    <x v="4"/>
    <x v="3"/>
    <n v="702960"/>
    <x v="1"/>
    <s v="SKU6"/>
    <s v="Product_6"/>
    <s v="Veg"/>
    <n v="3"/>
    <n v="1"/>
    <n v="125.88"/>
    <n v="0"/>
    <n v="125.88"/>
    <n v="6.29"/>
    <n v="10"/>
    <n v="0"/>
    <n v="142.16999999999999"/>
    <s v="Failed"/>
    <n v="25"/>
  </r>
  <r>
    <x v="607"/>
    <x v="29"/>
    <x v="1"/>
    <x v="21"/>
    <s v="Cust_7"/>
    <x v="0"/>
    <x v="1"/>
    <x v="3"/>
    <n v="341084"/>
    <x v="6"/>
    <s v="SKU7"/>
    <s v="Product_7"/>
    <s v="Essentials"/>
    <n v="10"/>
    <n v="5"/>
    <n v="77.84"/>
    <n v="11.68"/>
    <n v="377.52"/>
    <n v="18.88"/>
    <n v="20"/>
    <n v="10"/>
    <n v="426.4"/>
    <s v="Delivered"/>
    <n v="12"/>
  </r>
  <r>
    <x v="608"/>
    <x v="55"/>
    <x v="1"/>
    <x v="11"/>
    <s v="Cust_8"/>
    <x v="0"/>
    <x v="1"/>
    <x v="3"/>
    <n v="699792"/>
    <x v="5"/>
    <s v="SKU8"/>
    <s v="Product_8"/>
    <s v="Frozen"/>
    <n v="6"/>
    <n v="3"/>
    <n v="135.13"/>
    <n v="6.76"/>
    <n v="398.63"/>
    <n v="19.93"/>
    <n v="20"/>
    <n v="5"/>
    <n v="443.56"/>
    <s v="Delivered"/>
    <n v="37"/>
  </r>
  <r>
    <x v="609"/>
    <x v="31"/>
    <x v="0"/>
    <x v="22"/>
    <s v="Cust_9"/>
    <x v="0"/>
    <x v="0"/>
    <x v="3"/>
    <n v="768629"/>
    <x v="0"/>
    <s v="SKU9"/>
    <s v="Product_9"/>
    <s v="Veg"/>
    <n v="3"/>
    <n v="6"/>
    <n v="49.66"/>
    <n v="7.45"/>
    <n v="290.51"/>
    <n v="14.53"/>
    <n v="10"/>
    <n v="5"/>
    <n v="320.04000000000002"/>
    <s v="Delivered"/>
    <n v="36"/>
  </r>
  <r>
    <x v="610"/>
    <x v="25"/>
    <x v="0"/>
    <x v="20"/>
    <s v="Cust_10"/>
    <x v="0"/>
    <x v="3"/>
    <x v="3"/>
    <n v="170021"/>
    <x v="0"/>
    <s v="SKU10"/>
    <s v="Product_10"/>
    <s v="Frozen"/>
    <n v="6"/>
    <n v="3"/>
    <n v="272.01"/>
    <n v="13.6"/>
    <n v="802.43"/>
    <n v="40.119999999999997"/>
    <n v="0"/>
    <n v="15"/>
    <n v="857.55"/>
    <s v="Delivered"/>
    <n v="15"/>
  </r>
  <r>
    <x v="611"/>
    <x v="19"/>
    <x v="1"/>
    <x v="16"/>
    <s v="Cust_11"/>
    <x v="0"/>
    <x v="1"/>
    <x v="3"/>
    <n v="437283"/>
    <x v="4"/>
    <s v="SKU11"/>
    <s v="Product_11"/>
    <s v="Veg"/>
    <n v="3"/>
    <n v="1"/>
    <n v="172.56"/>
    <n v="25.88"/>
    <n v="146.68"/>
    <n v="7.33"/>
    <n v="0"/>
    <n v="20"/>
    <n v="174.01"/>
    <s v="Returned"/>
    <n v="25"/>
  </r>
  <r>
    <x v="612"/>
    <x v="59"/>
    <x v="0"/>
    <x v="3"/>
    <s v="Cust_12"/>
    <x v="0"/>
    <x v="1"/>
    <x v="3"/>
    <n v="500782"/>
    <x v="2"/>
    <s v="SKU12"/>
    <s v="Product_12"/>
    <s v="snaks"/>
    <n v="5"/>
    <n v="5"/>
    <n v="80.150000000000006"/>
    <n v="0"/>
    <n v="400.75"/>
    <n v="20.04"/>
    <n v="20"/>
    <n v="0"/>
    <n v="440.79"/>
    <s v="Delivered"/>
    <n v="33"/>
  </r>
  <r>
    <x v="613"/>
    <x v="1"/>
    <x v="0"/>
    <x v="1"/>
    <s v="Cust_13"/>
    <x v="0"/>
    <x v="1"/>
    <x v="3"/>
    <n v="713712"/>
    <x v="6"/>
    <s v="SKU13"/>
    <s v="Product_13"/>
    <s v="Essentials"/>
    <n v="10"/>
    <n v="4"/>
    <n v="92.73"/>
    <n v="9.27"/>
    <n v="361.65"/>
    <n v="18.079999999999998"/>
    <n v="10"/>
    <n v="10"/>
    <n v="399.73"/>
    <s v="Delivered"/>
    <n v="25"/>
  </r>
  <r>
    <x v="614"/>
    <x v="55"/>
    <x v="1"/>
    <x v="11"/>
    <s v="Cust_14"/>
    <x v="0"/>
    <x v="5"/>
    <x v="3"/>
    <n v="409143"/>
    <x v="5"/>
    <s v="SKU14"/>
    <s v="Product_14"/>
    <s v="Snacks"/>
    <n v="6"/>
    <n v="3"/>
    <n v="115.48"/>
    <n v="11.55"/>
    <n v="334.89"/>
    <n v="16.739999999999998"/>
    <n v="0"/>
    <n v="20"/>
    <n v="371.63"/>
    <s v="Delivered"/>
    <n v="32"/>
  </r>
  <r>
    <x v="615"/>
    <x v="23"/>
    <x v="1"/>
    <x v="4"/>
    <s v="Cust_15"/>
    <x v="0"/>
    <x v="3"/>
    <x v="3"/>
    <n v="543441"/>
    <x v="0"/>
    <s v="SKU15"/>
    <s v="Product_15"/>
    <s v="Dairy"/>
    <n v="5"/>
    <n v="1"/>
    <n v="137.9"/>
    <n v="20.68"/>
    <n v="117.22"/>
    <n v="5.86"/>
    <n v="0"/>
    <n v="10"/>
    <n v="133.08000000000001"/>
    <s v="Delivered"/>
    <n v="33"/>
  </r>
  <r>
    <x v="616"/>
    <x v="30"/>
    <x v="1"/>
    <x v="22"/>
    <s v="Cust_16"/>
    <x v="0"/>
    <x v="2"/>
    <x v="3"/>
    <n v="816741"/>
    <x v="1"/>
    <s v="SKU16"/>
    <s v="Product_16"/>
    <s v="Frozen"/>
    <n v="6"/>
    <n v="2"/>
    <n v="108.79"/>
    <n v="0"/>
    <n v="217.58"/>
    <n v="10.88"/>
    <n v="10"/>
    <n v="5"/>
    <n v="243.46"/>
    <s v="Delivered"/>
    <n v="8"/>
  </r>
  <r>
    <x v="617"/>
    <x v="42"/>
    <x v="1"/>
    <x v="24"/>
    <s v="Cust_17"/>
    <x v="1"/>
    <x v="4"/>
    <x v="3"/>
    <n v="854471"/>
    <x v="0"/>
    <s v="SKU17"/>
    <s v="Product_17"/>
    <s v="Snacks"/>
    <n v="6"/>
    <n v="1"/>
    <n v="171.23"/>
    <n v="8.56"/>
    <n v="162.66999999999999"/>
    <n v="8.1300000000000008"/>
    <n v="30"/>
    <n v="10"/>
    <n v="210.8"/>
    <s v="Delivered"/>
    <n v="15"/>
  </r>
  <r>
    <x v="618"/>
    <x v="42"/>
    <x v="1"/>
    <x v="24"/>
    <s v="Cust_18"/>
    <x v="0"/>
    <x v="0"/>
    <x v="3"/>
    <n v="244771"/>
    <x v="0"/>
    <s v="SKU18"/>
    <s v="Product_18"/>
    <s v="Veg"/>
    <n v="3"/>
    <n v="6"/>
    <n v="96.98"/>
    <n v="4.8499999999999996"/>
    <n v="577.03"/>
    <n v="28.85"/>
    <n v="0"/>
    <n v="15"/>
    <n v="620.88"/>
    <s v="Delivered"/>
    <n v="34"/>
  </r>
  <r>
    <x v="619"/>
    <x v="51"/>
    <x v="0"/>
    <x v="28"/>
    <s v="Cust_19"/>
    <x v="0"/>
    <x v="1"/>
    <x v="3"/>
    <n v="390951"/>
    <x v="3"/>
    <s v="SKU19"/>
    <s v="Product_19"/>
    <s v="Baby"/>
    <n v="4"/>
    <n v="5"/>
    <n v="53.62"/>
    <n v="0"/>
    <n v="268.10000000000002"/>
    <n v="13.4"/>
    <n v="30"/>
    <n v="15"/>
    <n v="326.49999999999989"/>
    <s v="Delivered"/>
    <n v="41"/>
  </r>
  <r>
    <x v="620"/>
    <x v="6"/>
    <x v="1"/>
    <x v="1"/>
    <s v="Cust_20"/>
    <x v="0"/>
    <x v="0"/>
    <x v="3"/>
    <n v="365702"/>
    <x v="6"/>
    <s v="SKU20"/>
    <s v="Product_20"/>
    <s v="bevrage"/>
    <n v="7"/>
    <n v="2"/>
    <n v="69.83"/>
    <n v="0"/>
    <n v="139.66"/>
    <n v="6.98"/>
    <n v="30"/>
    <n v="5"/>
    <n v="181.64"/>
    <s v="Delivered"/>
    <n v="6"/>
  </r>
  <r>
    <x v="621"/>
    <x v="0"/>
    <x v="0"/>
    <x v="0"/>
    <s v="Cust_21"/>
    <x v="0"/>
    <x v="1"/>
    <x v="3"/>
    <n v="158219"/>
    <x v="3"/>
    <s v="SKU21"/>
    <s v="Product_21"/>
    <s v="Essentials"/>
    <n v="10"/>
    <n v="2"/>
    <n v="41.87"/>
    <n v="2.09"/>
    <n v="81.649999999999991"/>
    <n v="4.08"/>
    <n v="0"/>
    <n v="0"/>
    <n v="85.72999999999999"/>
    <s v="Failed"/>
    <n v="25"/>
  </r>
  <r>
    <x v="622"/>
    <x v="13"/>
    <x v="0"/>
    <x v="11"/>
    <s v="Cust_22"/>
    <x v="0"/>
    <x v="5"/>
    <x v="3"/>
    <n v="652165"/>
    <x v="4"/>
    <s v="SKU22"/>
    <s v="Product_22"/>
    <s v="Baby"/>
    <n v="4"/>
    <n v="3"/>
    <n v="127.76"/>
    <n v="19.16"/>
    <n v="364.12"/>
    <n v="18.21"/>
    <n v="30"/>
    <n v="5"/>
    <n v="417.33"/>
    <s v="Delivered"/>
    <n v="11"/>
  </r>
  <r>
    <x v="623"/>
    <x v="22"/>
    <x v="0"/>
    <x v="14"/>
    <s v="Cust_23"/>
    <x v="1"/>
    <x v="4"/>
    <x v="3"/>
    <n v="247878"/>
    <x v="0"/>
    <s v="SKU23"/>
    <s v="Product_23"/>
    <s v="Snacks"/>
    <n v="6"/>
    <n v="6"/>
    <n v="11.67"/>
    <n v="0"/>
    <n v="70.02"/>
    <n v="3.5"/>
    <n v="10"/>
    <n v="0"/>
    <n v="83.52"/>
    <s v="Delivered"/>
    <n v="38"/>
  </r>
  <r>
    <x v="624"/>
    <x v="19"/>
    <x v="1"/>
    <x v="16"/>
    <s v="Cust_24"/>
    <x v="1"/>
    <x v="4"/>
    <x v="3"/>
    <n v="927679"/>
    <x v="6"/>
    <s v="SKU24"/>
    <s v="Product_24"/>
    <s v="Fruits"/>
    <n v="6"/>
    <n v="3"/>
    <n v="104.61"/>
    <n v="10.46"/>
    <n v="303.37"/>
    <n v="15.17"/>
    <n v="0"/>
    <n v="5"/>
    <n v="323.54000000000002"/>
    <s v="Delivered"/>
    <n v="27"/>
  </r>
  <r>
    <x v="625"/>
    <x v="35"/>
    <x v="0"/>
    <x v="25"/>
    <s v="Cust_25"/>
    <x v="0"/>
    <x v="2"/>
    <x v="3"/>
    <n v="870655"/>
    <x v="6"/>
    <s v="SKU25"/>
    <s v="Product_25"/>
    <s v="Essentials"/>
    <n v="10"/>
    <n v="5"/>
    <n v="75.52"/>
    <n v="0"/>
    <n v="377.6"/>
    <n v="18.88"/>
    <n v="10"/>
    <n v="0"/>
    <n v="406.48"/>
    <s v="Delivered"/>
    <n v="41"/>
  </r>
  <r>
    <x v="626"/>
    <x v="9"/>
    <x v="1"/>
    <x v="7"/>
    <s v="Cust_26"/>
    <x v="2"/>
    <x v="4"/>
    <x v="3"/>
    <n v="211426"/>
    <x v="6"/>
    <s v="SKU26"/>
    <s v="Product_26"/>
    <s v="Beverages"/>
    <n v="9"/>
    <n v="4"/>
    <n v="77.069999999999993"/>
    <n v="0"/>
    <n v="308.27999999999997"/>
    <n v="15.41"/>
    <n v="30"/>
    <n v="20"/>
    <n v="373.69"/>
    <s v="Delivered"/>
    <n v="13"/>
  </r>
  <r>
    <x v="627"/>
    <x v="7"/>
    <x v="0"/>
    <x v="5"/>
    <s v="Cust_27"/>
    <x v="0"/>
    <x v="1"/>
    <x v="3"/>
    <n v="834595"/>
    <x v="4"/>
    <s v="SKU27"/>
    <s v="Product_27"/>
    <s v="Fruits"/>
    <n v="6"/>
    <n v="7"/>
    <n v="130.47"/>
    <n v="13.05"/>
    <n v="900.24"/>
    <n v="45.01"/>
    <n v="10"/>
    <n v="15"/>
    <n v="970.25"/>
    <s v="Delivered"/>
    <n v="16"/>
  </r>
  <r>
    <x v="628"/>
    <x v="49"/>
    <x v="1"/>
    <x v="29"/>
    <s v="Cust_28"/>
    <x v="0"/>
    <x v="5"/>
    <x v="3"/>
    <n v="936309"/>
    <x v="5"/>
    <s v="SKU28"/>
    <s v="Product_28"/>
    <s v="FRUITS "/>
    <n v="7"/>
    <n v="3"/>
    <n v="135.97"/>
    <n v="20.399999999999999"/>
    <n v="387.51"/>
    <n v="19.38"/>
    <n v="0"/>
    <n v="5"/>
    <n v="411.89"/>
    <s v="Delivered"/>
    <n v="25"/>
  </r>
  <r>
    <x v="629"/>
    <x v="47"/>
    <x v="0"/>
    <x v="7"/>
    <s v="Cust_29"/>
    <x v="0"/>
    <x v="0"/>
    <x v="3"/>
    <n v="382579"/>
    <x v="2"/>
    <s v="SKU29"/>
    <s v="Product_29"/>
    <s v="Essentials"/>
    <n v="10"/>
    <n v="2"/>
    <n v="146.09"/>
    <n v="21.91"/>
    <n v="270.27"/>
    <n v="13.51"/>
    <n v="20"/>
    <n v="20"/>
    <n v="323.77999999999997"/>
    <s v="Delivered"/>
    <n v="21"/>
  </r>
  <r>
    <x v="630"/>
    <x v="55"/>
    <x v="1"/>
    <x v="11"/>
    <s v="Cust_30"/>
    <x v="2"/>
    <x v="4"/>
    <x v="3"/>
    <n v="425137"/>
    <x v="5"/>
    <s v="SKU30"/>
    <s v="Product_30"/>
    <s v="Frozen"/>
    <n v="6"/>
    <n v="3"/>
    <n v="215.43"/>
    <n v="10.77"/>
    <n v="635.52"/>
    <n v="31.78"/>
    <n v="0"/>
    <n v="0"/>
    <n v="667.3"/>
    <s v="Delivered"/>
    <n v="5"/>
  </r>
  <r>
    <x v="631"/>
    <x v="13"/>
    <x v="0"/>
    <x v="11"/>
    <s v="Cust_31"/>
    <x v="2"/>
    <x v="4"/>
    <x v="3"/>
    <n v="834276"/>
    <x v="3"/>
    <s v="SKU31"/>
    <s v="Product_31"/>
    <s v="Fruits"/>
    <n v="6"/>
    <n v="1"/>
    <n v="29.71"/>
    <n v="1.49"/>
    <n v="28.22"/>
    <n v="1.41"/>
    <n v="30"/>
    <n v="0"/>
    <n v="59.63"/>
    <s v="Delivered"/>
    <n v="26"/>
  </r>
  <r>
    <x v="632"/>
    <x v="48"/>
    <x v="0"/>
    <x v="13"/>
    <s v="Cust_32"/>
    <x v="1"/>
    <x v="4"/>
    <x v="3"/>
    <n v="856079"/>
    <x v="3"/>
    <s v="SKU32"/>
    <s v="Product_32"/>
    <s v="FRUITS "/>
    <n v="7"/>
    <n v="1"/>
    <n v="133.28"/>
    <n v="19.989999999999998"/>
    <n v="113.29"/>
    <n v="5.66"/>
    <n v="30"/>
    <n v="10"/>
    <n v="158.94999999999999"/>
    <s v="Failed"/>
    <n v="25"/>
  </r>
  <r>
    <x v="633"/>
    <x v="1"/>
    <x v="0"/>
    <x v="1"/>
    <s v="Cust_33"/>
    <x v="0"/>
    <x v="1"/>
    <x v="3"/>
    <n v="715416"/>
    <x v="2"/>
    <s v="SKU33"/>
    <s v="Product_33"/>
    <s v="snaks"/>
    <n v="5"/>
    <n v="3"/>
    <n v="146.59"/>
    <n v="21.99"/>
    <n v="417.78"/>
    <n v="20.89"/>
    <n v="10"/>
    <n v="20"/>
    <n v="468.67"/>
    <s v="Delivered"/>
    <n v="3"/>
  </r>
  <r>
    <x v="634"/>
    <x v="50"/>
    <x v="1"/>
    <x v="30"/>
    <s v="Cust_34"/>
    <x v="0"/>
    <x v="3"/>
    <x v="3"/>
    <n v="831234"/>
    <x v="0"/>
    <s v="SKU34"/>
    <s v="Product_34"/>
    <s v="Beverages"/>
    <n v="9"/>
    <n v="2"/>
    <n v="48.94"/>
    <n v="0"/>
    <n v="97.88"/>
    <n v="4.8899999999999997"/>
    <n v="30"/>
    <n v="15"/>
    <n v="147.77000000000001"/>
    <s v="Delivered"/>
    <n v="26"/>
  </r>
  <r>
    <x v="635"/>
    <x v="49"/>
    <x v="1"/>
    <x v="29"/>
    <s v="Cust_35"/>
    <x v="2"/>
    <x v="4"/>
    <x v="3"/>
    <n v="448844"/>
    <x v="6"/>
    <s v="SKU35"/>
    <s v="Product_35"/>
    <s v="Baby"/>
    <n v="4"/>
    <n v="4"/>
    <n v="105.65"/>
    <n v="10.57"/>
    <n v="412.03"/>
    <n v="20.6"/>
    <n v="10"/>
    <n v="15"/>
    <n v="457.63000000000011"/>
    <s v="Delivered"/>
    <n v="19"/>
  </r>
  <r>
    <x v="636"/>
    <x v="7"/>
    <x v="0"/>
    <x v="5"/>
    <s v="Cust_36"/>
    <x v="0"/>
    <x v="2"/>
    <x v="3"/>
    <n v="465898"/>
    <x v="5"/>
    <s v="SKU36"/>
    <s v="Product_36"/>
    <s v="Baby"/>
    <n v="4"/>
    <n v="1"/>
    <n v="209.66"/>
    <n v="0"/>
    <n v="209.66"/>
    <n v="10.48"/>
    <n v="30"/>
    <n v="5"/>
    <n v="255.14"/>
    <s v="Returned"/>
    <n v="25"/>
  </r>
  <r>
    <x v="637"/>
    <x v="8"/>
    <x v="1"/>
    <x v="6"/>
    <s v="Cust_37"/>
    <x v="0"/>
    <x v="2"/>
    <x v="3"/>
    <n v="477844"/>
    <x v="0"/>
    <s v="SKU37"/>
    <s v="Product_37"/>
    <s v="Veg"/>
    <n v="3"/>
    <n v="3"/>
    <n v="67.8"/>
    <n v="6.78"/>
    <n v="196.62"/>
    <n v="9.83"/>
    <n v="10"/>
    <n v="0"/>
    <n v="216.45"/>
    <s v="Delivered"/>
    <n v="18"/>
  </r>
  <r>
    <x v="638"/>
    <x v="7"/>
    <x v="0"/>
    <x v="5"/>
    <s v="Cust_38"/>
    <x v="0"/>
    <x v="5"/>
    <x v="3"/>
    <n v="327203"/>
    <x v="2"/>
    <s v="SKU38"/>
    <s v="Product_38"/>
    <s v="DIARY"/>
    <n v="5"/>
    <n v="2"/>
    <n v="74.47"/>
    <n v="0"/>
    <n v="148.94"/>
    <n v="7.45"/>
    <n v="20"/>
    <n v="5"/>
    <n v="181.39"/>
    <s v="Delivered"/>
    <n v="23"/>
  </r>
  <r>
    <x v="639"/>
    <x v="57"/>
    <x v="0"/>
    <x v="18"/>
    <s v="Cust_39"/>
    <x v="0"/>
    <x v="2"/>
    <x v="3"/>
    <n v="760046"/>
    <x v="0"/>
    <s v="SKU39"/>
    <s v="Product_39"/>
    <s v="Frozen"/>
    <n v="6"/>
    <n v="3"/>
    <n v="147.21"/>
    <n v="0"/>
    <n v="441.63"/>
    <n v="22.08"/>
    <n v="0"/>
    <n v="10"/>
    <n v="473.71"/>
    <s v="Delivered"/>
    <n v="15"/>
  </r>
  <r>
    <x v="640"/>
    <x v="54"/>
    <x v="1"/>
    <x v="18"/>
    <s v="Cust_40"/>
    <x v="0"/>
    <x v="1"/>
    <x v="3"/>
    <n v="866843"/>
    <x v="0"/>
    <s v="SKU40"/>
    <s v="Product_40"/>
    <s v="Beverages"/>
    <n v="9"/>
    <n v="6"/>
    <n v="149.94999999999999"/>
    <n v="0"/>
    <n v="899.69999999999993"/>
    <n v="44.98"/>
    <n v="30"/>
    <n v="20"/>
    <n v="994.68"/>
    <s v="Delivered"/>
    <n v="17"/>
  </r>
  <r>
    <x v="641"/>
    <x v="58"/>
    <x v="0"/>
    <x v="19"/>
    <s v="Cust_41"/>
    <x v="0"/>
    <x v="0"/>
    <x v="3"/>
    <n v="539358"/>
    <x v="2"/>
    <s v="SKU41"/>
    <s v="Product_41"/>
    <s v="Veg"/>
    <n v="3"/>
    <n v="1"/>
    <n v="156.61000000000001"/>
    <n v="0"/>
    <n v="156.61000000000001"/>
    <n v="7.83"/>
    <n v="30"/>
    <n v="10"/>
    <n v="204.44"/>
    <s v="Delivered"/>
    <n v="26"/>
  </r>
  <r>
    <x v="642"/>
    <x v="55"/>
    <x v="1"/>
    <x v="11"/>
    <s v="Cust_42"/>
    <x v="0"/>
    <x v="3"/>
    <x v="3"/>
    <n v="456427"/>
    <x v="1"/>
    <s v="SKU42"/>
    <s v="Product_42"/>
    <s v="FRUITS "/>
    <n v="7"/>
    <n v="1"/>
    <n v="160.54"/>
    <n v="24.08"/>
    <n v="136.46"/>
    <n v="6.82"/>
    <n v="20"/>
    <n v="0"/>
    <n v="163.28"/>
    <s v="Delivered"/>
    <n v="36"/>
  </r>
  <r>
    <x v="643"/>
    <x v="52"/>
    <x v="0"/>
    <x v="27"/>
    <s v="Cust_43"/>
    <x v="0"/>
    <x v="5"/>
    <x v="3"/>
    <n v="215657"/>
    <x v="3"/>
    <s v="SKU43"/>
    <s v="Product_43"/>
    <s v="Fruits"/>
    <n v="6"/>
    <n v="2"/>
    <n v="26.32"/>
    <n v="1.32"/>
    <n v="51.32"/>
    <n v="2.57"/>
    <n v="30"/>
    <n v="20"/>
    <n v="103.89"/>
    <s v="Failed"/>
    <n v="25"/>
  </r>
  <r>
    <x v="644"/>
    <x v="39"/>
    <x v="1"/>
    <x v="26"/>
    <s v="Cust_44"/>
    <x v="0"/>
    <x v="1"/>
    <x v="3"/>
    <n v="841570"/>
    <x v="0"/>
    <s v="SKU44"/>
    <s v="Product_44"/>
    <s v="Other"/>
    <n v="5"/>
    <n v="5"/>
    <n v="102.69"/>
    <n v="15.4"/>
    <n v="498.05000000000013"/>
    <n v="24.9"/>
    <n v="20"/>
    <n v="5"/>
    <n v="547.95000000000005"/>
    <s v="Delivered"/>
    <n v="17"/>
  </r>
  <r>
    <x v="645"/>
    <x v="30"/>
    <x v="1"/>
    <x v="22"/>
    <s v="Cust_45"/>
    <x v="0"/>
    <x v="5"/>
    <x v="3"/>
    <n v="899180"/>
    <x v="0"/>
    <s v="SKU45"/>
    <s v="Product_45"/>
    <s v="Veg"/>
    <n v="3"/>
    <n v="5"/>
    <n v="197.2"/>
    <n v="0"/>
    <n v="986"/>
    <n v="49.3"/>
    <n v="10"/>
    <n v="0"/>
    <n v="1045.3"/>
    <s v="Delivered"/>
    <n v="17"/>
  </r>
  <r>
    <x v="646"/>
    <x v="11"/>
    <x v="1"/>
    <x v="9"/>
    <s v="Cust_46"/>
    <x v="0"/>
    <x v="0"/>
    <x v="3"/>
    <n v="180152"/>
    <x v="5"/>
    <s v="SKU46"/>
    <s v="Product_46"/>
    <s v="Other"/>
    <n v="5"/>
    <n v="1"/>
    <n v="139.05000000000001"/>
    <n v="6.95"/>
    <n v="132.1"/>
    <n v="6.61"/>
    <n v="10"/>
    <n v="15"/>
    <n v="163.71"/>
    <s v="Delivered"/>
    <n v="21"/>
  </r>
  <r>
    <x v="647"/>
    <x v="30"/>
    <x v="1"/>
    <x v="22"/>
    <s v="Cust_47"/>
    <x v="1"/>
    <x v="4"/>
    <x v="3"/>
    <n v="141743"/>
    <x v="6"/>
    <s v="SKU47"/>
    <s v="Product_47"/>
    <s v="bevrage"/>
    <n v="7"/>
    <n v="1"/>
    <n v="102.46"/>
    <n v="10.25"/>
    <n v="92.21"/>
    <n v="4.6100000000000003"/>
    <n v="20"/>
    <n v="10"/>
    <n v="126.82"/>
    <s v="Delivered"/>
    <n v="19"/>
  </r>
  <r>
    <x v="648"/>
    <x v="33"/>
    <x v="0"/>
    <x v="9"/>
    <s v="Cust_48"/>
    <x v="0"/>
    <x v="2"/>
    <x v="3"/>
    <n v="426284"/>
    <x v="1"/>
    <s v="SKU48"/>
    <s v="Product_48"/>
    <s v="snaks"/>
    <n v="5"/>
    <n v="3"/>
    <n v="225.3"/>
    <n v="22.53"/>
    <n v="653.37000000000012"/>
    <n v="32.67"/>
    <n v="10"/>
    <n v="10"/>
    <n v="706.04000000000008"/>
    <s v="Delivered"/>
    <n v="25"/>
  </r>
  <r>
    <x v="649"/>
    <x v="17"/>
    <x v="1"/>
    <x v="14"/>
    <s v="Cust_49"/>
    <x v="1"/>
    <x v="4"/>
    <x v="3"/>
    <n v="821827"/>
    <x v="4"/>
    <s v="SKU49"/>
    <s v="Product_49"/>
    <s v="Snacks"/>
    <n v="6"/>
    <n v="3"/>
    <n v="104.64"/>
    <n v="5.23"/>
    <n v="308.69"/>
    <n v="15.43"/>
    <n v="0"/>
    <n v="10"/>
    <n v="334.12"/>
    <s v="Returned"/>
    <n v="25"/>
  </r>
  <r>
    <x v="650"/>
    <x v="25"/>
    <x v="0"/>
    <x v="20"/>
    <s v="Cust_50"/>
    <x v="0"/>
    <x v="1"/>
    <x v="3"/>
    <n v="688216"/>
    <x v="2"/>
    <s v="SKU50"/>
    <s v="Product_50"/>
    <s v="DIARY"/>
    <n v="5"/>
    <n v="3"/>
    <n v="161.56"/>
    <n v="8.08"/>
    <n v="476.6"/>
    <n v="23.83"/>
    <n v="30"/>
    <n v="15"/>
    <n v="545.43000000000006"/>
    <s v="Delivered"/>
    <n v="19"/>
  </r>
  <r>
    <x v="651"/>
    <x v="29"/>
    <x v="1"/>
    <x v="21"/>
    <s v="Cust_51"/>
    <x v="1"/>
    <x v="4"/>
    <x v="3"/>
    <n v="778525"/>
    <x v="5"/>
    <s v="SKU51"/>
    <s v="Product_51"/>
    <s v="DIARY"/>
    <n v="5"/>
    <n v="2"/>
    <n v="239.39"/>
    <n v="0"/>
    <n v="478.78"/>
    <n v="23.94"/>
    <n v="0"/>
    <n v="20"/>
    <n v="522.72"/>
    <s v="Delivered"/>
    <n v="28"/>
  </r>
  <r>
    <x v="652"/>
    <x v="57"/>
    <x v="0"/>
    <x v="18"/>
    <s v="Cust_52"/>
    <x v="0"/>
    <x v="0"/>
    <x v="3"/>
    <n v="684668"/>
    <x v="5"/>
    <s v="SKU52"/>
    <s v="Product_52"/>
    <s v="Veg"/>
    <n v="3"/>
    <n v="4"/>
    <n v="153.18"/>
    <n v="22.98"/>
    <n v="589.74"/>
    <n v="29.49"/>
    <n v="0"/>
    <n v="5"/>
    <n v="624.23"/>
    <s v="Delivered"/>
    <n v="27"/>
  </r>
  <r>
    <x v="653"/>
    <x v="26"/>
    <x v="1"/>
    <x v="5"/>
    <s v="Cust_53"/>
    <x v="0"/>
    <x v="5"/>
    <x v="3"/>
    <n v="600201"/>
    <x v="4"/>
    <s v="SKU53"/>
    <s v="Product_53"/>
    <s v="Frozen"/>
    <n v="6"/>
    <n v="2"/>
    <n v="25.94"/>
    <n v="0"/>
    <n v="51.88"/>
    <n v="2.59"/>
    <n v="20"/>
    <n v="15"/>
    <n v="89.47"/>
    <s v="Delivered"/>
    <n v="20"/>
  </r>
  <r>
    <x v="654"/>
    <x v="43"/>
    <x v="1"/>
    <x v="23"/>
    <s v="Cust_54"/>
    <x v="0"/>
    <x v="5"/>
    <x v="3"/>
    <n v="110068"/>
    <x v="1"/>
    <s v="SKU54"/>
    <s v="Product_54"/>
    <s v="DIARY"/>
    <n v="5"/>
    <n v="3"/>
    <n v="103.17"/>
    <n v="0"/>
    <n v="309.51"/>
    <n v="15.48"/>
    <n v="10"/>
    <n v="15"/>
    <n v="349.99"/>
    <s v="Delivered"/>
    <n v="22"/>
  </r>
  <r>
    <x v="655"/>
    <x v="11"/>
    <x v="1"/>
    <x v="9"/>
    <s v="Cust_55"/>
    <x v="0"/>
    <x v="3"/>
    <x v="3"/>
    <n v="886719"/>
    <x v="5"/>
    <s v="SKU55"/>
    <s v="Product_55"/>
    <s v="Frozen"/>
    <n v="6"/>
    <n v="2"/>
    <n v="152.29"/>
    <n v="22.84"/>
    <n v="281.74"/>
    <n v="14.09"/>
    <n v="10"/>
    <n v="10"/>
    <n v="315.83"/>
    <s v="Delivered"/>
    <n v="33"/>
  </r>
  <r>
    <x v="656"/>
    <x v="23"/>
    <x v="1"/>
    <x v="4"/>
    <s v="Cust_56"/>
    <x v="0"/>
    <x v="1"/>
    <x v="3"/>
    <n v="468655"/>
    <x v="2"/>
    <s v="SKU56"/>
    <s v="Product_56"/>
    <s v="Dairy"/>
    <n v="5"/>
    <n v="1"/>
    <n v="75.66"/>
    <n v="3.78"/>
    <n v="71.88"/>
    <n v="3.59"/>
    <n v="20"/>
    <n v="20"/>
    <n v="115.47"/>
    <s v="Failed"/>
    <n v="25"/>
  </r>
  <r>
    <x v="657"/>
    <x v="41"/>
    <x v="0"/>
    <x v="6"/>
    <s v="Cust_57"/>
    <x v="0"/>
    <x v="2"/>
    <x v="3"/>
    <n v="878580"/>
    <x v="4"/>
    <s v="SKU57"/>
    <s v="Product_57"/>
    <s v="Veg"/>
    <n v="3"/>
    <n v="2"/>
    <n v="197.19"/>
    <n v="19.72"/>
    <n v="374.66"/>
    <n v="18.73"/>
    <n v="20"/>
    <n v="10"/>
    <n v="423.39"/>
    <s v="Cancelled"/>
    <n v="25"/>
  </r>
  <r>
    <x v="658"/>
    <x v="44"/>
    <x v="0"/>
    <x v="26"/>
    <s v="Cust_58"/>
    <x v="0"/>
    <x v="2"/>
    <x v="3"/>
    <n v="840122"/>
    <x v="2"/>
    <s v="SKU58"/>
    <s v="Product_58"/>
    <s v="Other"/>
    <n v="5"/>
    <n v="5"/>
    <n v="31.9"/>
    <n v="1.59"/>
    <n v="157.91"/>
    <n v="7.9"/>
    <n v="10"/>
    <n v="15"/>
    <n v="190.81"/>
    <s v="Delivered"/>
    <n v="23"/>
  </r>
  <r>
    <x v="659"/>
    <x v="21"/>
    <x v="2"/>
    <x v="18"/>
    <s v="Cust_59"/>
    <x v="0"/>
    <x v="0"/>
    <x v="3"/>
    <n v="245281"/>
    <x v="4"/>
    <s v="SKU59"/>
    <s v="Product_59"/>
    <s v="Essentials"/>
    <n v="10"/>
    <n v="1"/>
    <n v="146.61000000000001"/>
    <n v="21.99"/>
    <n v="124.62"/>
    <n v="6.23"/>
    <n v="10"/>
    <n v="15"/>
    <n v="155.85"/>
    <s v="Delivered"/>
    <n v="13"/>
  </r>
  <r>
    <x v="660"/>
    <x v="22"/>
    <x v="0"/>
    <x v="14"/>
    <s v="Cust_60"/>
    <x v="0"/>
    <x v="2"/>
    <x v="3"/>
    <n v="464315"/>
    <x v="0"/>
    <s v="SKU60"/>
    <s v="Product_60"/>
    <s v="FRUITS "/>
    <n v="7"/>
    <n v="3"/>
    <n v="7.81"/>
    <n v="0"/>
    <n v="23.43"/>
    <n v="1.17"/>
    <n v="0"/>
    <n v="10"/>
    <n v="34.6"/>
    <s v="Delivered"/>
    <n v="20"/>
  </r>
  <r>
    <x v="661"/>
    <x v="22"/>
    <x v="0"/>
    <x v="14"/>
    <s v="Cust_61"/>
    <x v="0"/>
    <x v="5"/>
    <x v="3"/>
    <n v="133783"/>
    <x v="6"/>
    <s v="SKU61"/>
    <s v="Product_61"/>
    <s v="bevrage"/>
    <n v="7"/>
    <n v="3"/>
    <n v="203.43"/>
    <n v="30.51"/>
    <n v="579.78"/>
    <n v="28.99"/>
    <n v="20"/>
    <n v="10"/>
    <n v="638.77"/>
    <s v="Delivered"/>
    <n v="22"/>
  </r>
  <r>
    <x v="662"/>
    <x v="32"/>
    <x v="0"/>
    <x v="23"/>
    <s v="Cust_62"/>
    <x v="0"/>
    <x v="0"/>
    <x v="3"/>
    <n v="154745"/>
    <x v="1"/>
    <s v="SKU62"/>
    <s v="Product_62"/>
    <s v="bevrage"/>
    <n v="7"/>
    <n v="1"/>
    <n v="196.96"/>
    <n v="0"/>
    <n v="196.96"/>
    <n v="9.85"/>
    <n v="0"/>
    <n v="10"/>
    <n v="216.81"/>
    <s v="Delivered"/>
    <n v="13"/>
  </r>
  <r>
    <x v="663"/>
    <x v="4"/>
    <x v="0"/>
    <x v="4"/>
    <s v="Cust_63"/>
    <x v="0"/>
    <x v="3"/>
    <x v="3"/>
    <n v="121067"/>
    <x v="6"/>
    <s v="SKU63"/>
    <s v="Product_63"/>
    <s v="DIARY"/>
    <n v="5"/>
    <n v="3"/>
    <n v="158.16999999999999"/>
    <n v="7.91"/>
    <n v="466.6"/>
    <n v="23.33"/>
    <n v="0"/>
    <n v="5"/>
    <n v="494.92999999999989"/>
    <s v="Delivered"/>
    <n v="19"/>
  </r>
  <r>
    <x v="664"/>
    <x v="35"/>
    <x v="0"/>
    <x v="25"/>
    <s v="Cust_64"/>
    <x v="0"/>
    <x v="5"/>
    <x v="3"/>
    <n v="312603"/>
    <x v="3"/>
    <s v="SKU64"/>
    <s v="Product_64"/>
    <s v="Baby"/>
    <n v="4"/>
    <n v="1"/>
    <n v="66.3"/>
    <n v="3.31"/>
    <n v="62.989999999999988"/>
    <n v="3.15"/>
    <n v="30"/>
    <n v="5"/>
    <n v="101.14"/>
    <s v="Delivered"/>
    <n v="19"/>
  </r>
  <r>
    <x v="665"/>
    <x v="23"/>
    <x v="1"/>
    <x v="4"/>
    <s v="Cust_65"/>
    <x v="1"/>
    <x v="4"/>
    <x v="3"/>
    <n v="656371"/>
    <x v="2"/>
    <s v="SKU65"/>
    <s v="Product_65"/>
    <s v="Fruits"/>
    <n v="6"/>
    <n v="2"/>
    <n v="110.5"/>
    <n v="11.05"/>
    <n v="209.95"/>
    <n v="10.5"/>
    <n v="0"/>
    <n v="0"/>
    <n v="220.45"/>
    <s v="Delivered"/>
    <n v="24"/>
  </r>
  <r>
    <x v="666"/>
    <x v="15"/>
    <x v="1"/>
    <x v="13"/>
    <s v="Cust_66"/>
    <x v="0"/>
    <x v="1"/>
    <x v="3"/>
    <n v="242157"/>
    <x v="0"/>
    <s v="SKU66"/>
    <s v="Product_66"/>
    <s v="FRUITS "/>
    <n v="7"/>
    <n v="1"/>
    <n v="182.71"/>
    <n v="9.14"/>
    <n v="173.57"/>
    <n v="8.68"/>
    <n v="30"/>
    <n v="0"/>
    <n v="212.25"/>
    <s v="Delivered"/>
    <n v="25"/>
  </r>
  <r>
    <x v="667"/>
    <x v="54"/>
    <x v="1"/>
    <x v="18"/>
    <s v="Cust_67"/>
    <x v="0"/>
    <x v="5"/>
    <x v="3"/>
    <n v="236645"/>
    <x v="1"/>
    <s v="SKU67"/>
    <s v="Product_67"/>
    <s v="Other"/>
    <n v="5"/>
    <n v="1"/>
    <n v="122.48"/>
    <n v="6.12"/>
    <n v="116.36"/>
    <n v="5.82"/>
    <n v="30"/>
    <n v="10"/>
    <n v="162.18"/>
    <s v="Delivered"/>
    <n v="29"/>
  </r>
  <r>
    <x v="668"/>
    <x v="22"/>
    <x v="0"/>
    <x v="14"/>
    <s v="Cust_68"/>
    <x v="0"/>
    <x v="3"/>
    <x v="3"/>
    <n v="651852"/>
    <x v="1"/>
    <s v="SKU68"/>
    <s v="Product_68"/>
    <s v="Veg"/>
    <n v="3"/>
    <n v="3"/>
    <n v="103.94"/>
    <n v="5.2"/>
    <n v="306.62"/>
    <n v="15.33"/>
    <n v="20"/>
    <n v="0"/>
    <n v="341.95"/>
    <s v="Delivered"/>
    <n v="10"/>
  </r>
  <r>
    <x v="669"/>
    <x v="14"/>
    <x v="0"/>
    <x v="12"/>
    <s v="Cust_69"/>
    <x v="0"/>
    <x v="2"/>
    <x v="3"/>
    <n v="682111"/>
    <x v="4"/>
    <s v="SKU69"/>
    <s v="Product_69"/>
    <s v="Dairy"/>
    <n v="5"/>
    <n v="3"/>
    <n v="192.61"/>
    <n v="28.89"/>
    <n v="548.94000000000005"/>
    <n v="27.45"/>
    <n v="0"/>
    <n v="10"/>
    <n v="586.3900000000001"/>
    <s v="Delivered"/>
    <n v="22"/>
  </r>
  <r>
    <x v="670"/>
    <x v="49"/>
    <x v="1"/>
    <x v="29"/>
    <s v="Cust_70"/>
    <x v="1"/>
    <x v="4"/>
    <x v="3"/>
    <n v="700724"/>
    <x v="2"/>
    <s v="SKU70"/>
    <s v="Product_70"/>
    <s v="Veg"/>
    <n v="3"/>
    <n v="1"/>
    <n v="77.27"/>
    <n v="3.86"/>
    <n v="73.41"/>
    <n v="3.67"/>
    <n v="0"/>
    <n v="5"/>
    <n v="82.08"/>
    <s v="Delivered"/>
    <n v="5"/>
  </r>
  <r>
    <x v="671"/>
    <x v="4"/>
    <x v="0"/>
    <x v="4"/>
    <s v="Cust_71"/>
    <x v="0"/>
    <x v="3"/>
    <x v="3"/>
    <n v="172684"/>
    <x v="3"/>
    <s v="SKU71"/>
    <s v="Product_71"/>
    <s v="Frozen"/>
    <n v="6"/>
    <n v="1"/>
    <n v="59.54"/>
    <n v="5.95"/>
    <n v="53.59"/>
    <n v="2.68"/>
    <n v="30"/>
    <n v="10"/>
    <n v="96.27"/>
    <s v="Failed"/>
    <n v="25"/>
  </r>
  <r>
    <x v="672"/>
    <x v="18"/>
    <x v="0"/>
    <x v="15"/>
    <s v="Cust_72"/>
    <x v="0"/>
    <x v="2"/>
    <x v="3"/>
    <n v="893070"/>
    <x v="1"/>
    <s v="SKU72"/>
    <s v="Product_72"/>
    <s v="Frozen"/>
    <n v="6"/>
    <n v="1"/>
    <n v="170.49"/>
    <n v="8.52"/>
    <n v="161.97"/>
    <n v="8.1"/>
    <n v="20"/>
    <n v="10"/>
    <n v="200.07"/>
    <s v="Delivered"/>
    <n v="28"/>
  </r>
  <r>
    <x v="673"/>
    <x v="2"/>
    <x v="1"/>
    <x v="2"/>
    <s v="Cust_73"/>
    <x v="0"/>
    <x v="5"/>
    <x v="3"/>
    <n v="837651"/>
    <x v="5"/>
    <s v="SKU73"/>
    <s v="Product_73"/>
    <s v="Snacks"/>
    <n v="6"/>
    <n v="6"/>
    <n v="110.64"/>
    <n v="5.53"/>
    <n v="658.31000000000006"/>
    <n v="32.92"/>
    <n v="0"/>
    <n v="5"/>
    <n v="696.23"/>
    <s v="Cancelled"/>
    <n v="25"/>
  </r>
  <r>
    <x v="674"/>
    <x v="56"/>
    <x v="1"/>
    <x v="15"/>
    <s v="Cust_74"/>
    <x v="2"/>
    <x v="4"/>
    <x v="3"/>
    <n v="472818"/>
    <x v="0"/>
    <s v="SKU74"/>
    <s v="Product_74"/>
    <s v="Frozen"/>
    <n v="6"/>
    <n v="5"/>
    <n v="138.79"/>
    <n v="0"/>
    <n v="693.94999999999993"/>
    <n v="34.700000000000003"/>
    <n v="30"/>
    <n v="0"/>
    <n v="758.65"/>
    <s v="Delivered"/>
    <n v="25"/>
  </r>
  <r>
    <x v="675"/>
    <x v="23"/>
    <x v="1"/>
    <x v="4"/>
    <s v="Cust_75"/>
    <x v="0"/>
    <x v="5"/>
    <x v="3"/>
    <n v="513461"/>
    <x v="0"/>
    <s v="SKU75"/>
    <s v="Product_75"/>
    <s v="Veg"/>
    <n v="3"/>
    <n v="4"/>
    <n v="71.62"/>
    <n v="10.74"/>
    <n v="275.74"/>
    <n v="13.79"/>
    <n v="20"/>
    <n v="5"/>
    <n v="314.52999999999997"/>
    <s v="Delivered"/>
    <n v="11"/>
  </r>
  <r>
    <x v="676"/>
    <x v="50"/>
    <x v="1"/>
    <x v="30"/>
    <s v="Cust_76"/>
    <x v="0"/>
    <x v="1"/>
    <x v="3"/>
    <n v="697578"/>
    <x v="6"/>
    <s v="SKU76"/>
    <s v="Product_76"/>
    <s v="Beverages"/>
    <n v="9"/>
    <n v="3"/>
    <n v="96.73"/>
    <n v="0"/>
    <n v="290.19"/>
    <n v="14.51"/>
    <n v="30"/>
    <n v="5"/>
    <n v="339.7"/>
    <s v="Delivered"/>
    <n v="40"/>
  </r>
  <r>
    <x v="677"/>
    <x v="59"/>
    <x v="0"/>
    <x v="3"/>
    <s v="Cust_77"/>
    <x v="0"/>
    <x v="3"/>
    <x v="3"/>
    <n v="991490"/>
    <x v="4"/>
    <s v="SKU77"/>
    <s v="Product_77"/>
    <s v="Frozen"/>
    <n v="6"/>
    <n v="1"/>
    <n v="42.37"/>
    <n v="0"/>
    <n v="42.37"/>
    <n v="2.12"/>
    <n v="30"/>
    <n v="20"/>
    <n v="94.49"/>
    <s v="Delivered"/>
    <n v="12"/>
  </r>
  <r>
    <x v="678"/>
    <x v="17"/>
    <x v="1"/>
    <x v="14"/>
    <s v="Cust_78"/>
    <x v="0"/>
    <x v="1"/>
    <x v="3"/>
    <n v="597488"/>
    <x v="0"/>
    <s v="SKU78"/>
    <s v="Product_78"/>
    <s v="DIARY"/>
    <n v="5"/>
    <n v="4"/>
    <n v="140.43"/>
    <n v="0"/>
    <n v="561.72"/>
    <n v="28.09"/>
    <n v="10"/>
    <n v="5"/>
    <n v="604.81000000000006"/>
    <s v="Cancelled"/>
    <n v="25"/>
  </r>
  <r>
    <x v="679"/>
    <x v="32"/>
    <x v="0"/>
    <x v="23"/>
    <s v="Cust_79"/>
    <x v="0"/>
    <x v="1"/>
    <x v="3"/>
    <n v="331452"/>
    <x v="0"/>
    <s v="SKU79"/>
    <s v="Product_79"/>
    <s v="Frozen"/>
    <n v="6"/>
    <n v="3"/>
    <n v="52.28"/>
    <n v="0"/>
    <n v="156.84"/>
    <n v="7.84"/>
    <n v="30"/>
    <n v="15"/>
    <n v="209.68"/>
    <s v="Delivered"/>
    <n v="13"/>
  </r>
  <r>
    <x v="680"/>
    <x v="41"/>
    <x v="0"/>
    <x v="6"/>
    <s v="Cust_80"/>
    <x v="0"/>
    <x v="0"/>
    <x v="3"/>
    <n v="369515"/>
    <x v="0"/>
    <s v="SKU80"/>
    <s v="Product_80"/>
    <s v="snaks"/>
    <n v="5"/>
    <n v="2"/>
    <n v="69.88"/>
    <n v="3.49"/>
    <n v="136.27000000000001"/>
    <n v="6.81"/>
    <n v="20"/>
    <n v="10"/>
    <n v="173.08"/>
    <s v="Returned"/>
    <n v="25"/>
  </r>
  <r>
    <x v="681"/>
    <x v="44"/>
    <x v="0"/>
    <x v="26"/>
    <s v="Cust_81"/>
    <x v="0"/>
    <x v="1"/>
    <x v="3"/>
    <n v="343459"/>
    <x v="0"/>
    <s v="SKU81"/>
    <s v="Product_81"/>
    <s v="Frozen"/>
    <n v="6"/>
    <n v="3"/>
    <n v="134.75"/>
    <n v="6.74"/>
    <n v="397.51"/>
    <n v="19.88"/>
    <n v="30"/>
    <n v="20"/>
    <n v="467.39"/>
    <s v="Failed"/>
    <n v="25"/>
  </r>
  <r>
    <x v="682"/>
    <x v="9"/>
    <x v="1"/>
    <x v="7"/>
    <s v="Cust_82"/>
    <x v="0"/>
    <x v="2"/>
    <x v="3"/>
    <n v="577294"/>
    <x v="4"/>
    <s v="SKU82"/>
    <s v="Product_82"/>
    <s v="Frozen"/>
    <n v="6"/>
    <n v="1"/>
    <n v="156.31"/>
    <n v="15.63"/>
    <n v="140.68"/>
    <n v="7.03"/>
    <n v="20"/>
    <n v="15"/>
    <n v="182.71"/>
    <s v="Delivered"/>
    <n v="36"/>
  </r>
  <r>
    <x v="683"/>
    <x v="45"/>
    <x v="1"/>
    <x v="28"/>
    <s v="Cust_83"/>
    <x v="0"/>
    <x v="3"/>
    <x v="3"/>
    <n v="972391"/>
    <x v="4"/>
    <s v="SKU83"/>
    <s v="Product_83"/>
    <s v="DIARY"/>
    <n v="5"/>
    <n v="2"/>
    <n v="162.74"/>
    <n v="8.14"/>
    <n v="317.33999999999997"/>
    <n v="15.87"/>
    <n v="30"/>
    <n v="5"/>
    <n v="368.21"/>
    <s v="Cancelled"/>
    <n v="25"/>
  </r>
  <r>
    <x v="684"/>
    <x v="42"/>
    <x v="1"/>
    <x v="24"/>
    <s v="Cust_84"/>
    <x v="1"/>
    <x v="4"/>
    <x v="3"/>
    <n v="294999"/>
    <x v="6"/>
    <s v="SKU84"/>
    <s v="Product_84"/>
    <s v="Veg"/>
    <n v="3"/>
    <n v="1"/>
    <n v="226"/>
    <n v="33.9"/>
    <n v="192.1"/>
    <n v="9.61"/>
    <n v="30"/>
    <n v="10"/>
    <n v="241.71"/>
    <s v="Delivered"/>
    <n v="40"/>
  </r>
  <r>
    <x v="685"/>
    <x v="5"/>
    <x v="1"/>
    <x v="0"/>
    <s v="Cust_85"/>
    <x v="0"/>
    <x v="1"/>
    <x v="3"/>
    <n v="438585"/>
    <x v="1"/>
    <s v="SKU85"/>
    <s v="Product_85"/>
    <s v="snaks"/>
    <n v="5"/>
    <n v="5"/>
    <n v="175.68"/>
    <n v="17.57"/>
    <n v="860.83"/>
    <n v="43.04"/>
    <n v="0"/>
    <n v="0"/>
    <n v="903.87"/>
    <s v="Returned"/>
    <n v="25"/>
  </r>
  <r>
    <x v="686"/>
    <x v="2"/>
    <x v="1"/>
    <x v="2"/>
    <s v="Cust_86"/>
    <x v="0"/>
    <x v="0"/>
    <x v="3"/>
    <n v="592461"/>
    <x v="0"/>
    <s v="SKU86"/>
    <s v="Product_86"/>
    <s v="Snacks"/>
    <n v="6"/>
    <n v="4"/>
    <n v="62.86"/>
    <n v="6.29"/>
    <n v="245.15"/>
    <n v="12.26"/>
    <n v="20"/>
    <n v="15"/>
    <n v="292.41000000000003"/>
    <s v="Delivered"/>
    <n v="18"/>
  </r>
  <r>
    <x v="687"/>
    <x v="42"/>
    <x v="1"/>
    <x v="24"/>
    <s v="Cust_87"/>
    <x v="0"/>
    <x v="2"/>
    <x v="3"/>
    <n v="572295"/>
    <x v="3"/>
    <s v="SKU87"/>
    <s v="Product_87"/>
    <s v="Beverages"/>
    <n v="9"/>
    <n v="3"/>
    <n v="198.55"/>
    <n v="19.86"/>
    <n v="575.79000000000008"/>
    <n v="28.79"/>
    <n v="20"/>
    <n v="20"/>
    <n v="644.58000000000004"/>
    <s v="Delivered"/>
    <n v="20"/>
  </r>
  <r>
    <x v="688"/>
    <x v="49"/>
    <x v="1"/>
    <x v="29"/>
    <s v="Cust_88"/>
    <x v="0"/>
    <x v="0"/>
    <x v="3"/>
    <n v="832722"/>
    <x v="1"/>
    <s v="SKU88"/>
    <s v="Product_88"/>
    <s v="Veg"/>
    <n v="3"/>
    <n v="4"/>
    <n v="220.03"/>
    <n v="33"/>
    <n v="847.12"/>
    <n v="42.36"/>
    <n v="20"/>
    <n v="5"/>
    <n v="914.48"/>
    <s v="Delivered"/>
    <n v="40"/>
  </r>
  <r>
    <x v="689"/>
    <x v="42"/>
    <x v="1"/>
    <x v="24"/>
    <s v="Cust_89"/>
    <x v="2"/>
    <x v="4"/>
    <x v="3"/>
    <n v="944156"/>
    <x v="5"/>
    <s v="SKU89"/>
    <s v="Product_89"/>
    <s v="Dairy"/>
    <n v="5"/>
    <n v="1"/>
    <n v="229.66"/>
    <n v="11.48"/>
    <n v="218.18"/>
    <n v="10.91"/>
    <n v="20"/>
    <n v="15"/>
    <n v="264.08999999999997"/>
    <s v="Returned"/>
    <n v="25"/>
  </r>
  <r>
    <x v="690"/>
    <x v="48"/>
    <x v="0"/>
    <x v="13"/>
    <s v="Cust_90"/>
    <x v="0"/>
    <x v="2"/>
    <x v="3"/>
    <n v="442022"/>
    <x v="6"/>
    <s v="SKU90"/>
    <s v="Product_90"/>
    <s v="Frozen"/>
    <n v="6"/>
    <n v="1"/>
    <n v="163.29"/>
    <n v="24.49"/>
    <n v="138.80000000000001"/>
    <n v="6.94"/>
    <n v="0"/>
    <n v="15"/>
    <n v="160.74"/>
    <s v="Delivered"/>
    <n v="23"/>
  </r>
  <r>
    <x v="691"/>
    <x v="32"/>
    <x v="0"/>
    <x v="23"/>
    <s v="Cust_91"/>
    <x v="0"/>
    <x v="2"/>
    <x v="3"/>
    <n v="867976"/>
    <x v="4"/>
    <s v="SKU91"/>
    <s v="Product_91"/>
    <s v="Other"/>
    <n v="5"/>
    <n v="3"/>
    <n v="71.510000000000005"/>
    <n v="7.15"/>
    <n v="207.38"/>
    <n v="10.37"/>
    <n v="0"/>
    <n v="15"/>
    <n v="232.75"/>
    <s v="Delivered"/>
    <n v="32"/>
  </r>
  <r>
    <x v="692"/>
    <x v="53"/>
    <x v="0"/>
    <x v="29"/>
    <s v="Cust_92"/>
    <x v="0"/>
    <x v="2"/>
    <x v="3"/>
    <n v="510520"/>
    <x v="1"/>
    <s v="SKU92"/>
    <s v="Product_92"/>
    <s v="Dairy"/>
    <n v="5"/>
    <n v="1"/>
    <n v="156.55000000000001"/>
    <n v="23.48"/>
    <n v="133.07"/>
    <n v="6.65"/>
    <n v="20"/>
    <n v="15"/>
    <n v="174.72"/>
    <s v="Delivered"/>
    <n v="16"/>
  </r>
  <r>
    <x v="693"/>
    <x v="36"/>
    <x v="1"/>
    <x v="17"/>
    <s v="Cust_93"/>
    <x v="0"/>
    <x v="3"/>
    <x v="3"/>
    <n v="258477"/>
    <x v="0"/>
    <s v="SKU93"/>
    <s v="Product_93"/>
    <s v="Fruits"/>
    <n v="6"/>
    <n v="5"/>
    <n v="24.34"/>
    <n v="0"/>
    <n v="121.7"/>
    <n v="6.09"/>
    <n v="20"/>
    <n v="5"/>
    <n v="152.79"/>
    <s v="Delivered"/>
    <n v="41"/>
  </r>
  <r>
    <x v="694"/>
    <x v="39"/>
    <x v="1"/>
    <x v="26"/>
    <s v="Cust_94"/>
    <x v="0"/>
    <x v="0"/>
    <x v="3"/>
    <n v="901125"/>
    <x v="4"/>
    <s v="SKU94"/>
    <s v="Product_94"/>
    <s v="bevrage"/>
    <n v="7"/>
    <n v="3"/>
    <n v="101.78"/>
    <n v="0"/>
    <n v="305.33999999999997"/>
    <n v="15.27"/>
    <n v="20"/>
    <n v="20"/>
    <n v="360.61"/>
    <s v="Delivered"/>
    <n v="14"/>
  </r>
  <r>
    <x v="695"/>
    <x v="7"/>
    <x v="0"/>
    <x v="5"/>
    <s v="Cust_95"/>
    <x v="0"/>
    <x v="5"/>
    <x v="3"/>
    <n v="379720"/>
    <x v="4"/>
    <s v="SKU95"/>
    <s v="Product_95"/>
    <s v="bevrage"/>
    <n v="7"/>
    <n v="6"/>
    <n v="116.46"/>
    <n v="5.82"/>
    <n v="692.93999999999994"/>
    <n v="34.65"/>
    <n v="10"/>
    <n v="5"/>
    <n v="742.58999999999992"/>
    <s v="Delivered"/>
    <n v="42"/>
  </r>
  <r>
    <x v="696"/>
    <x v="12"/>
    <x v="0"/>
    <x v="10"/>
    <s v="Cust_96"/>
    <x v="0"/>
    <x v="2"/>
    <x v="3"/>
    <n v="594080"/>
    <x v="5"/>
    <s v="SKU96"/>
    <s v="Product_96"/>
    <s v="Fruits"/>
    <n v="6"/>
    <n v="3"/>
    <n v="124.63"/>
    <n v="18.690000000000001"/>
    <n v="355.2"/>
    <n v="17.760000000000002"/>
    <n v="30"/>
    <n v="15"/>
    <n v="417.96"/>
    <s v="Delivered"/>
    <n v="28"/>
  </r>
  <r>
    <x v="697"/>
    <x v="41"/>
    <x v="0"/>
    <x v="6"/>
    <s v="Cust_97"/>
    <x v="0"/>
    <x v="1"/>
    <x v="3"/>
    <n v="412579"/>
    <x v="1"/>
    <s v="SKU97"/>
    <s v="Product_97"/>
    <s v="FRUITS "/>
    <n v="7"/>
    <n v="5"/>
    <n v="120.75"/>
    <n v="0"/>
    <n v="603.75"/>
    <n v="30.19"/>
    <n v="0"/>
    <n v="20"/>
    <n v="653.94000000000005"/>
    <s v="Delivered"/>
    <n v="53"/>
  </r>
  <r>
    <x v="698"/>
    <x v="52"/>
    <x v="0"/>
    <x v="27"/>
    <s v="Cust_98"/>
    <x v="0"/>
    <x v="2"/>
    <x v="3"/>
    <n v="982876"/>
    <x v="5"/>
    <s v="SKU98"/>
    <s v="Product_98"/>
    <s v="Frozen"/>
    <n v="6"/>
    <n v="3"/>
    <n v="138.66999999999999"/>
    <n v="6.93"/>
    <n v="409.08"/>
    <n v="20.45"/>
    <n v="0"/>
    <n v="15"/>
    <n v="444.53"/>
    <s v="Cancelled"/>
    <n v="25"/>
  </r>
  <r>
    <x v="699"/>
    <x v="10"/>
    <x v="1"/>
    <x v="8"/>
    <s v="Cust_99"/>
    <x v="0"/>
    <x v="3"/>
    <x v="3"/>
    <n v="859066"/>
    <x v="6"/>
    <s v="SKU99"/>
    <s v="Product_99"/>
    <s v="Essentials"/>
    <n v="10"/>
    <n v="1"/>
    <n v="182.2"/>
    <n v="9.11"/>
    <n v="173.09"/>
    <n v="8.65"/>
    <n v="10"/>
    <n v="10"/>
    <n v="201.74"/>
    <s v="Delivered"/>
    <n v="9"/>
  </r>
  <r>
    <x v="700"/>
    <x v="2"/>
    <x v="1"/>
    <x v="2"/>
    <s v="Cust_100"/>
    <x v="0"/>
    <x v="5"/>
    <x v="3"/>
    <n v="886939"/>
    <x v="1"/>
    <s v="SKU100"/>
    <s v="Product_100"/>
    <s v="FRUITS "/>
    <n v="7"/>
    <n v="4"/>
    <n v="142.06"/>
    <n v="21.31"/>
    <n v="546.93000000000006"/>
    <n v="27.35"/>
    <n v="30"/>
    <n v="5"/>
    <n v="609.28000000000009"/>
    <s v="Delivered"/>
    <n v="26"/>
  </r>
  <r>
    <x v="701"/>
    <x v="58"/>
    <x v="0"/>
    <x v="19"/>
    <s v="Cust_101"/>
    <x v="0"/>
    <x v="1"/>
    <x v="3"/>
    <n v="762714"/>
    <x v="6"/>
    <s v="SKU101"/>
    <s v="Product_101"/>
    <s v="Frozen"/>
    <n v="6"/>
    <n v="2"/>
    <n v="128.63"/>
    <n v="12.86"/>
    <n v="244.4"/>
    <n v="12.22"/>
    <n v="20"/>
    <n v="5"/>
    <n v="281.62"/>
    <s v="Cancelled"/>
    <n v="25"/>
  </r>
  <r>
    <x v="702"/>
    <x v="13"/>
    <x v="0"/>
    <x v="11"/>
    <s v="Cust_102"/>
    <x v="0"/>
    <x v="1"/>
    <x v="3"/>
    <n v="566589"/>
    <x v="1"/>
    <s v="SKU102"/>
    <s v="Product_102"/>
    <s v="Fruits"/>
    <n v="6"/>
    <n v="5"/>
    <n v="224.09"/>
    <n v="0"/>
    <n v="1120.45"/>
    <n v="56.02"/>
    <n v="20"/>
    <n v="0"/>
    <n v="1196.47"/>
    <s v="Delivered"/>
    <n v="15"/>
  </r>
  <r>
    <x v="703"/>
    <x v="24"/>
    <x v="1"/>
    <x v="19"/>
    <s v="Cust_103"/>
    <x v="0"/>
    <x v="2"/>
    <x v="3"/>
    <n v="270205"/>
    <x v="0"/>
    <s v="SKU103"/>
    <s v="Product_103"/>
    <s v="Veg"/>
    <n v="3"/>
    <n v="5"/>
    <n v="132.13999999999999"/>
    <n v="13.21"/>
    <n v="647.4899999999999"/>
    <n v="32.369999999999997"/>
    <n v="0"/>
    <n v="10"/>
    <n v="689.8599999999999"/>
    <s v="Cancelled"/>
    <n v="25"/>
  </r>
  <r>
    <x v="704"/>
    <x v="6"/>
    <x v="1"/>
    <x v="1"/>
    <s v="Cust_104"/>
    <x v="0"/>
    <x v="5"/>
    <x v="3"/>
    <n v="109927"/>
    <x v="4"/>
    <s v="SKU104"/>
    <s v="Product_104"/>
    <s v="DIARY"/>
    <n v="5"/>
    <n v="2"/>
    <n v="0.72"/>
    <n v="7.0000000000000007E-2"/>
    <n v="1.37"/>
    <n v="7.0000000000000007E-2"/>
    <n v="0"/>
    <n v="0"/>
    <n v="1.44"/>
    <s v="Delivered"/>
    <n v="24"/>
  </r>
  <r>
    <x v="705"/>
    <x v="34"/>
    <x v="0"/>
    <x v="24"/>
    <s v="Cust_105"/>
    <x v="0"/>
    <x v="0"/>
    <x v="3"/>
    <n v="239005"/>
    <x v="0"/>
    <s v="SKU105"/>
    <s v="Product_105"/>
    <s v="Essentials"/>
    <n v="10"/>
    <n v="1"/>
    <n v="175.35"/>
    <n v="26.3"/>
    <n v="149.05000000000001"/>
    <n v="7.45"/>
    <n v="30"/>
    <n v="20"/>
    <n v="206.5"/>
    <s v="Delivered"/>
    <n v="15"/>
  </r>
  <r>
    <x v="706"/>
    <x v="13"/>
    <x v="0"/>
    <x v="11"/>
    <s v="Cust_106"/>
    <x v="0"/>
    <x v="3"/>
    <x v="3"/>
    <n v="150013"/>
    <x v="1"/>
    <s v="SKU106"/>
    <s v="Product_106"/>
    <s v="bevrage"/>
    <n v="7"/>
    <n v="5"/>
    <n v="199.93"/>
    <n v="29.99"/>
    <n v="969.66000000000008"/>
    <n v="48.48"/>
    <n v="20"/>
    <n v="0"/>
    <n v="1038.1400000000001"/>
    <s v="Delivered"/>
    <n v="27"/>
  </r>
  <r>
    <x v="707"/>
    <x v="49"/>
    <x v="1"/>
    <x v="29"/>
    <s v="Cust_107"/>
    <x v="0"/>
    <x v="3"/>
    <x v="3"/>
    <n v="211361"/>
    <x v="5"/>
    <s v="SKU107"/>
    <s v="Product_107"/>
    <s v="Other"/>
    <n v="5"/>
    <n v="1"/>
    <n v="39.25"/>
    <n v="5.89"/>
    <n v="33.36"/>
    <n v="1.67"/>
    <n v="20"/>
    <n v="0"/>
    <n v="55.03"/>
    <s v="Delivered"/>
    <n v="18"/>
  </r>
  <r>
    <x v="708"/>
    <x v="35"/>
    <x v="0"/>
    <x v="25"/>
    <s v="Cust_108"/>
    <x v="0"/>
    <x v="1"/>
    <x v="3"/>
    <n v="511906"/>
    <x v="0"/>
    <s v="SKU108"/>
    <s v="Product_108"/>
    <s v="Snacks"/>
    <n v="6"/>
    <n v="2"/>
    <n v="72.260000000000005"/>
    <n v="3.61"/>
    <n v="140.91"/>
    <n v="7.05"/>
    <n v="30"/>
    <n v="0"/>
    <n v="177.96"/>
    <s v="Delivered"/>
    <n v="23"/>
  </r>
  <r>
    <x v="709"/>
    <x v="37"/>
    <x v="1"/>
    <x v="12"/>
    <s v="Cust_109"/>
    <x v="0"/>
    <x v="5"/>
    <x v="3"/>
    <n v="198234"/>
    <x v="0"/>
    <s v="SKU109"/>
    <s v="Product_109"/>
    <s v="snaks"/>
    <n v="5"/>
    <n v="2"/>
    <n v="178.64"/>
    <n v="26.8"/>
    <n v="330.48"/>
    <n v="16.52"/>
    <n v="20"/>
    <n v="5"/>
    <n v="371.99999999999989"/>
    <s v="Delivered"/>
    <n v="12"/>
  </r>
  <r>
    <x v="710"/>
    <x v="11"/>
    <x v="1"/>
    <x v="9"/>
    <s v="Cust_110"/>
    <x v="0"/>
    <x v="1"/>
    <x v="3"/>
    <n v="571761"/>
    <x v="1"/>
    <s v="SKU110"/>
    <s v="Product_110"/>
    <s v="Snacks"/>
    <n v="6"/>
    <n v="1"/>
    <n v="188.83"/>
    <n v="0"/>
    <n v="188.83"/>
    <n v="9.44"/>
    <n v="10"/>
    <n v="10"/>
    <n v="218.27"/>
    <s v="Delivered"/>
    <n v="24"/>
  </r>
  <r>
    <x v="711"/>
    <x v="44"/>
    <x v="0"/>
    <x v="26"/>
    <s v="Cust_111"/>
    <x v="0"/>
    <x v="0"/>
    <x v="3"/>
    <n v="799476"/>
    <x v="0"/>
    <s v="SKU111"/>
    <s v="Product_111"/>
    <s v="bevrage"/>
    <n v="7"/>
    <n v="1"/>
    <n v="205.11"/>
    <n v="30.77"/>
    <n v="174.34"/>
    <n v="8.7200000000000006"/>
    <n v="20"/>
    <n v="20"/>
    <n v="223.06"/>
    <s v="Delivered"/>
    <n v="27"/>
  </r>
  <r>
    <x v="712"/>
    <x v="25"/>
    <x v="0"/>
    <x v="20"/>
    <s v="Cust_112"/>
    <x v="0"/>
    <x v="2"/>
    <x v="3"/>
    <n v="568379"/>
    <x v="5"/>
    <s v="SKU112"/>
    <s v="Product_112"/>
    <s v="snaks"/>
    <n v="5"/>
    <n v="1"/>
    <n v="25.34"/>
    <n v="2.5299999999999998"/>
    <n v="22.81"/>
    <n v="1.1399999999999999"/>
    <n v="30"/>
    <n v="10"/>
    <n v="63.95"/>
    <s v="Delivered"/>
    <n v="29"/>
  </r>
  <r>
    <x v="713"/>
    <x v="44"/>
    <x v="0"/>
    <x v="26"/>
    <s v="Cust_113"/>
    <x v="1"/>
    <x v="4"/>
    <x v="3"/>
    <n v="419752"/>
    <x v="0"/>
    <s v="SKU113"/>
    <s v="Product_113"/>
    <s v="snaks"/>
    <n v="5"/>
    <n v="3"/>
    <n v="109.72"/>
    <n v="5.49"/>
    <n v="323.67"/>
    <n v="16.18"/>
    <n v="10"/>
    <n v="10"/>
    <n v="359.85"/>
    <s v="Delivered"/>
    <n v="17"/>
  </r>
  <r>
    <x v="714"/>
    <x v="51"/>
    <x v="0"/>
    <x v="28"/>
    <s v="Cust_114"/>
    <x v="0"/>
    <x v="2"/>
    <x v="3"/>
    <n v="177606"/>
    <x v="0"/>
    <s v="SKU114"/>
    <s v="Product_114"/>
    <s v="snaks"/>
    <n v="5"/>
    <n v="5"/>
    <n v="182.72"/>
    <n v="9.14"/>
    <n v="904.46"/>
    <n v="45.22"/>
    <n v="10"/>
    <n v="5"/>
    <n v="964.68000000000006"/>
    <s v="Delivered"/>
    <n v="28"/>
  </r>
  <r>
    <x v="715"/>
    <x v="13"/>
    <x v="0"/>
    <x v="11"/>
    <s v="Cust_115"/>
    <x v="0"/>
    <x v="0"/>
    <x v="3"/>
    <n v="257550"/>
    <x v="6"/>
    <s v="SKU115"/>
    <s v="Product_115"/>
    <s v="Fruits"/>
    <n v="6"/>
    <n v="2"/>
    <n v="61.06"/>
    <n v="0"/>
    <n v="122.12"/>
    <n v="6.11"/>
    <n v="10"/>
    <n v="10"/>
    <n v="148.22999999999999"/>
    <s v="Delivered"/>
    <n v="34"/>
  </r>
  <r>
    <x v="716"/>
    <x v="38"/>
    <x v="1"/>
    <x v="20"/>
    <s v="Cust_116"/>
    <x v="0"/>
    <x v="0"/>
    <x v="3"/>
    <n v="479502"/>
    <x v="2"/>
    <s v="SKU116"/>
    <s v="Product_116"/>
    <s v="Veg"/>
    <n v="3"/>
    <n v="1"/>
    <n v="190.83"/>
    <n v="19.079999999999998"/>
    <n v="171.75"/>
    <n v="8.59"/>
    <n v="30"/>
    <n v="15"/>
    <n v="225.34"/>
    <s v="Delivered"/>
    <n v="47"/>
  </r>
  <r>
    <x v="717"/>
    <x v="25"/>
    <x v="0"/>
    <x v="20"/>
    <s v="Cust_117"/>
    <x v="0"/>
    <x v="3"/>
    <x v="3"/>
    <n v="370675"/>
    <x v="0"/>
    <s v="SKU117"/>
    <s v="Product_117"/>
    <s v="Bakery"/>
    <n v="6"/>
    <n v="3"/>
    <n v="109.22"/>
    <n v="10.92"/>
    <n v="316.74"/>
    <n v="15.84"/>
    <n v="10"/>
    <n v="10"/>
    <n v="352.57999999999993"/>
    <s v="Delivered"/>
    <n v="44"/>
  </r>
  <r>
    <x v="718"/>
    <x v="0"/>
    <x v="0"/>
    <x v="0"/>
    <s v="Cust_118"/>
    <x v="0"/>
    <x v="1"/>
    <x v="3"/>
    <n v="575692"/>
    <x v="3"/>
    <s v="SKU118"/>
    <s v="Product_118"/>
    <s v="Beverages"/>
    <n v="9"/>
    <n v="2"/>
    <n v="221.4"/>
    <n v="11.07"/>
    <n v="431.73"/>
    <n v="21.59"/>
    <n v="10"/>
    <n v="0"/>
    <n v="463.32"/>
    <s v="Delivered"/>
    <n v="35"/>
  </r>
  <r>
    <x v="719"/>
    <x v="57"/>
    <x v="0"/>
    <x v="18"/>
    <s v="Cust_119"/>
    <x v="0"/>
    <x v="3"/>
    <x v="3"/>
    <n v="545935"/>
    <x v="0"/>
    <s v="SKU119"/>
    <s v="Product_119"/>
    <s v="bevrage"/>
    <n v="7"/>
    <n v="1"/>
    <n v="128.13999999999999"/>
    <n v="19.22"/>
    <n v="108.92"/>
    <n v="5.45"/>
    <n v="10"/>
    <n v="10"/>
    <n v="134.37"/>
    <s v="Delivered"/>
    <n v="18"/>
  </r>
  <r>
    <x v="720"/>
    <x v="11"/>
    <x v="1"/>
    <x v="9"/>
    <s v="Cust_120"/>
    <x v="2"/>
    <x v="4"/>
    <x v="3"/>
    <n v="376452"/>
    <x v="6"/>
    <s v="SKU120"/>
    <s v="Product_120"/>
    <s v="Beverages"/>
    <n v="9"/>
    <n v="5"/>
    <n v="97.55"/>
    <n v="9.76"/>
    <n v="477.99"/>
    <n v="23.9"/>
    <n v="10"/>
    <n v="5"/>
    <n v="516.89"/>
    <s v="Delivered"/>
    <n v="23"/>
  </r>
  <r>
    <x v="721"/>
    <x v="9"/>
    <x v="1"/>
    <x v="7"/>
    <s v="Cust_121"/>
    <x v="0"/>
    <x v="0"/>
    <x v="3"/>
    <n v="634125"/>
    <x v="4"/>
    <s v="SKU121"/>
    <s v="Product_121"/>
    <s v="Veg"/>
    <n v="3"/>
    <n v="1"/>
    <n v="193.8"/>
    <n v="19.38"/>
    <n v="174.42"/>
    <n v="8.7200000000000006"/>
    <n v="10"/>
    <n v="0"/>
    <n v="193.14"/>
    <s v="Delivered"/>
    <n v="31"/>
  </r>
  <r>
    <x v="722"/>
    <x v="57"/>
    <x v="0"/>
    <x v="18"/>
    <s v="Cust_122"/>
    <x v="0"/>
    <x v="2"/>
    <x v="3"/>
    <n v="814221"/>
    <x v="5"/>
    <s v="SKU122"/>
    <s v="Product_122"/>
    <s v="Dairy"/>
    <n v="5"/>
    <n v="3"/>
    <n v="15.37"/>
    <n v="0"/>
    <n v="46.11"/>
    <n v="2.31"/>
    <n v="10"/>
    <n v="0"/>
    <n v="58.42"/>
    <s v="Delivered"/>
    <n v="13"/>
  </r>
  <r>
    <x v="723"/>
    <x v="35"/>
    <x v="0"/>
    <x v="25"/>
    <s v="Cust_123"/>
    <x v="0"/>
    <x v="3"/>
    <x v="3"/>
    <n v="202166"/>
    <x v="0"/>
    <s v="SKU123"/>
    <s v="Product_123"/>
    <s v="Essentials"/>
    <n v="10"/>
    <n v="1"/>
    <n v="99.55"/>
    <n v="14.93"/>
    <n v="84.62"/>
    <n v="4.2300000000000004"/>
    <n v="10"/>
    <n v="10"/>
    <n v="108.85"/>
    <s v="Delivered"/>
    <n v="6"/>
  </r>
  <r>
    <x v="724"/>
    <x v="23"/>
    <x v="1"/>
    <x v="4"/>
    <s v="Cust_124"/>
    <x v="0"/>
    <x v="3"/>
    <x v="3"/>
    <n v="494295"/>
    <x v="3"/>
    <s v="SKU124"/>
    <s v="Product_124"/>
    <s v="Fruits"/>
    <n v="6"/>
    <n v="4"/>
    <n v="109.12"/>
    <n v="10.91"/>
    <n v="425.57"/>
    <n v="21.28"/>
    <n v="30"/>
    <n v="15"/>
    <n v="491.85"/>
    <s v="Delivered"/>
    <n v="20"/>
  </r>
  <r>
    <x v="725"/>
    <x v="25"/>
    <x v="0"/>
    <x v="20"/>
    <s v="Cust_125"/>
    <x v="0"/>
    <x v="2"/>
    <x v="3"/>
    <n v="705151"/>
    <x v="5"/>
    <s v="SKU125"/>
    <s v="Product_125"/>
    <s v="Beverages"/>
    <n v="9"/>
    <n v="3"/>
    <n v="61.22"/>
    <n v="3.06"/>
    <n v="180.6"/>
    <n v="9.0299999999999994"/>
    <n v="10"/>
    <n v="20"/>
    <n v="219.63"/>
    <s v="Delivered"/>
    <n v="28"/>
  </r>
  <r>
    <x v="726"/>
    <x v="33"/>
    <x v="0"/>
    <x v="9"/>
    <s v="Cust_126"/>
    <x v="0"/>
    <x v="5"/>
    <x v="3"/>
    <n v="562092"/>
    <x v="0"/>
    <s v="SKU126"/>
    <s v="Product_126"/>
    <s v="Snacks"/>
    <n v="6"/>
    <n v="2"/>
    <n v="215.01"/>
    <n v="0"/>
    <n v="430.02"/>
    <n v="21.5"/>
    <n v="20"/>
    <n v="0"/>
    <n v="471.52"/>
    <s v="Delivered"/>
    <n v="13"/>
  </r>
  <r>
    <x v="727"/>
    <x v="56"/>
    <x v="1"/>
    <x v="15"/>
    <s v="Cust_127"/>
    <x v="0"/>
    <x v="2"/>
    <x v="3"/>
    <n v="956238"/>
    <x v="3"/>
    <s v="SKU127"/>
    <s v="Product_127"/>
    <s v="Fruits"/>
    <n v="6"/>
    <n v="1"/>
    <n v="63.89"/>
    <n v="0"/>
    <n v="63.89"/>
    <n v="3.19"/>
    <n v="30"/>
    <n v="15"/>
    <n v="112.08"/>
    <s v="Delivered"/>
    <n v="29"/>
  </r>
  <r>
    <x v="728"/>
    <x v="9"/>
    <x v="1"/>
    <x v="7"/>
    <s v="Cust_128"/>
    <x v="0"/>
    <x v="2"/>
    <x v="3"/>
    <n v="121650"/>
    <x v="5"/>
    <s v="SKU128"/>
    <s v="Product_128"/>
    <s v="Veg"/>
    <n v="3"/>
    <n v="3"/>
    <n v="85.82"/>
    <n v="8.58"/>
    <n v="248.88"/>
    <n v="12.44"/>
    <n v="10"/>
    <n v="10"/>
    <n v="281.32"/>
    <s v="Failed"/>
    <n v="25"/>
  </r>
  <r>
    <x v="729"/>
    <x v="24"/>
    <x v="1"/>
    <x v="19"/>
    <s v="Cust_129"/>
    <x v="0"/>
    <x v="0"/>
    <x v="3"/>
    <n v="877130"/>
    <x v="2"/>
    <s v="SKU129"/>
    <s v="Product_129"/>
    <s v="Snacks"/>
    <n v="6"/>
    <n v="1"/>
    <n v="12.2"/>
    <n v="0"/>
    <n v="12.2"/>
    <n v="0.61"/>
    <n v="10"/>
    <n v="5"/>
    <n v="27.81"/>
    <s v="Delivered"/>
    <n v="39"/>
  </r>
  <r>
    <x v="730"/>
    <x v="44"/>
    <x v="0"/>
    <x v="26"/>
    <s v="Cust_130"/>
    <x v="0"/>
    <x v="1"/>
    <x v="3"/>
    <n v="914811"/>
    <x v="0"/>
    <s v="SKU130"/>
    <s v="Product_130"/>
    <s v="Fruits"/>
    <n v="6"/>
    <n v="3"/>
    <n v="64.349999999999994"/>
    <n v="3.22"/>
    <n v="189.83"/>
    <n v="9.49"/>
    <n v="30"/>
    <n v="10"/>
    <n v="239.32"/>
    <s v="Delivered"/>
    <n v="16"/>
  </r>
  <r>
    <x v="731"/>
    <x v="53"/>
    <x v="0"/>
    <x v="29"/>
    <s v="Cust_131"/>
    <x v="0"/>
    <x v="5"/>
    <x v="3"/>
    <n v="301904"/>
    <x v="0"/>
    <s v="SKU131"/>
    <s v="Product_131"/>
    <s v="Baby"/>
    <n v="4"/>
    <n v="4"/>
    <n v="249.9"/>
    <n v="0"/>
    <n v="999.6"/>
    <n v="49.98"/>
    <n v="10"/>
    <n v="20"/>
    <n v="1079.58"/>
    <s v="Delivered"/>
    <n v="36"/>
  </r>
  <r>
    <x v="732"/>
    <x v="19"/>
    <x v="1"/>
    <x v="16"/>
    <s v="Cust_132"/>
    <x v="0"/>
    <x v="0"/>
    <x v="3"/>
    <n v="751084"/>
    <x v="5"/>
    <s v="SKU132"/>
    <s v="Product_132"/>
    <s v="Bakery"/>
    <n v="6"/>
    <n v="1"/>
    <n v="175.18"/>
    <n v="26.28"/>
    <n v="148.9"/>
    <n v="7.45"/>
    <n v="30"/>
    <n v="15"/>
    <n v="201.35"/>
    <s v="Delivered"/>
    <n v="16"/>
  </r>
  <r>
    <x v="733"/>
    <x v="45"/>
    <x v="1"/>
    <x v="28"/>
    <s v="Cust_133"/>
    <x v="1"/>
    <x v="4"/>
    <x v="3"/>
    <n v="120923"/>
    <x v="2"/>
    <s v="SKU133"/>
    <s v="Product_133"/>
    <s v="Frozen"/>
    <n v="6"/>
    <n v="3"/>
    <n v="54.53"/>
    <n v="2.73"/>
    <n v="160.86000000000001"/>
    <n v="8.0399999999999991"/>
    <n v="10"/>
    <n v="5"/>
    <n v="183.9"/>
    <s v="Cancelled"/>
    <n v="25"/>
  </r>
  <r>
    <x v="734"/>
    <x v="25"/>
    <x v="0"/>
    <x v="20"/>
    <s v="Cust_134"/>
    <x v="0"/>
    <x v="3"/>
    <x v="3"/>
    <n v="355719"/>
    <x v="0"/>
    <s v="SKU134"/>
    <s v="Product_134"/>
    <s v="snaks"/>
    <n v="5"/>
    <n v="3"/>
    <n v="129.41999999999999"/>
    <n v="19.41"/>
    <n v="368.85"/>
    <n v="18.440000000000001"/>
    <n v="30"/>
    <n v="15"/>
    <n v="432.29"/>
    <s v="Delivered"/>
    <n v="35"/>
  </r>
  <r>
    <x v="735"/>
    <x v="43"/>
    <x v="1"/>
    <x v="23"/>
    <s v="Cust_135"/>
    <x v="0"/>
    <x v="3"/>
    <x v="3"/>
    <n v="510226"/>
    <x v="4"/>
    <s v="SKU135"/>
    <s v="Product_135"/>
    <s v="Snacks"/>
    <n v="6"/>
    <n v="5"/>
    <n v="27.43"/>
    <n v="0"/>
    <n v="137.15"/>
    <n v="6.86"/>
    <n v="20"/>
    <n v="20"/>
    <n v="184.01"/>
    <s v="Delivered"/>
    <n v="37"/>
  </r>
  <r>
    <x v="736"/>
    <x v="51"/>
    <x v="0"/>
    <x v="28"/>
    <s v="Cust_136"/>
    <x v="2"/>
    <x v="4"/>
    <x v="3"/>
    <n v="761334"/>
    <x v="1"/>
    <s v="SKU136"/>
    <s v="Product_136"/>
    <s v="Veg"/>
    <n v="3"/>
    <n v="3"/>
    <n v="181.67"/>
    <n v="18.170000000000002"/>
    <n v="526.84"/>
    <n v="26.34"/>
    <n v="20"/>
    <n v="15"/>
    <n v="588.18000000000006"/>
    <s v="Delivered"/>
    <n v="18"/>
  </r>
  <r>
    <x v="737"/>
    <x v="24"/>
    <x v="1"/>
    <x v="19"/>
    <s v="Cust_137"/>
    <x v="0"/>
    <x v="0"/>
    <x v="3"/>
    <n v="121398"/>
    <x v="0"/>
    <s v="SKU137"/>
    <s v="Product_137"/>
    <s v="Beverages"/>
    <n v="9"/>
    <n v="1"/>
    <n v="59.34"/>
    <n v="0"/>
    <n v="59.34"/>
    <n v="2.97"/>
    <n v="10"/>
    <n v="10"/>
    <n v="82.31"/>
    <s v="Delivered"/>
    <n v="30"/>
  </r>
  <r>
    <x v="738"/>
    <x v="16"/>
    <x v="1"/>
    <x v="10"/>
    <s v="Cust_138"/>
    <x v="0"/>
    <x v="3"/>
    <x v="3"/>
    <n v="839667"/>
    <x v="5"/>
    <s v="SKU138"/>
    <s v="Product_138"/>
    <s v="Frozen"/>
    <n v="6"/>
    <n v="1"/>
    <n v="111.47"/>
    <n v="5.57"/>
    <n v="105.9"/>
    <n v="5.3"/>
    <n v="20"/>
    <n v="20"/>
    <n v="151.19999999999999"/>
    <s v="Delivered"/>
    <n v="39"/>
  </r>
  <r>
    <x v="739"/>
    <x v="56"/>
    <x v="1"/>
    <x v="15"/>
    <s v="Cust_139"/>
    <x v="0"/>
    <x v="2"/>
    <x v="3"/>
    <n v="134924"/>
    <x v="2"/>
    <s v="SKU139"/>
    <s v="Product_139"/>
    <s v="Frozen"/>
    <n v="6"/>
    <n v="3"/>
    <n v="148.36000000000001"/>
    <n v="7.42"/>
    <n v="437.66"/>
    <n v="21.88"/>
    <n v="0"/>
    <n v="20"/>
    <n v="479.54"/>
    <s v="Delivered"/>
    <n v="28"/>
  </r>
  <r>
    <x v="740"/>
    <x v="27"/>
    <x v="0"/>
    <x v="21"/>
    <s v="Cust_140"/>
    <x v="1"/>
    <x v="4"/>
    <x v="3"/>
    <n v="638966"/>
    <x v="6"/>
    <s v="SKU140"/>
    <s v="Product_140"/>
    <s v="Beverages"/>
    <n v="9"/>
    <n v="2"/>
    <n v="79.5"/>
    <n v="7.95"/>
    <n v="151.05000000000001"/>
    <n v="7.55"/>
    <n v="20"/>
    <n v="0"/>
    <n v="178.6"/>
    <s v="Delivered"/>
    <n v="20"/>
  </r>
  <r>
    <x v="741"/>
    <x v="8"/>
    <x v="1"/>
    <x v="6"/>
    <s v="Cust_141"/>
    <x v="0"/>
    <x v="1"/>
    <x v="3"/>
    <n v="865328"/>
    <x v="6"/>
    <s v="SKU141"/>
    <s v="Product_141"/>
    <s v="snaks"/>
    <n v="5"/>
    <n v="1"/>
    <n v="211.76"/>
    <n v="0"/>
    <n v="211.76"/>
    <n v="10.59"/>
    <n v="30"/>
    <n v="10"/>
    <n v="262.35000000000002"/>
    <s v="Cancelled"/>
    <n v="25"/>
  </r>
  <r>
    <x v="742"/>
    <x v="25"/>
    <x v="0"/>
    <x v="20"/>
    <s v="Cust_142"/>
    <x v="0"/>
    <x v="3"/>
    <x v="3"/>
    <n v="729756"/>
    <x v="0"/>
    <s v="SKU142"/>
    <s v="Product_142"/>
    <s v="Veg"/>
    <n v="3"/>
    <n v="2"/>
    <n v="38.67"/>
    <n v="0"/>
    <n v="77.34"/>
    <n v="3.87"/>
    <n v="0"/>
    <n v="15"/>
    <n v="96.210000000000008"/>
    <s v="Delivered"/>
    <n v="22"/>
  </r>
  <r>
    <x v="743"/>
    <x v="13"/>
    <x v="0"/>
    <x v="11"/>
    <s v="Cust_143"/>
    <x v="0"/>
    <x v="2"/>
    <x v="3"/>
    <n v="615956"/>
    <x v="1"/>
    <s v="SKU143"/>
    <s v="Product_143"/>
    <s v="DIARY"/>
    <n v="5"/>
    <n v="1"/>
    <n v="104.12"/>
    <n v="15.62"/>
    <n v="88.5"/>
    <n v="4.42"/>
    <n v="20"/>
    <n v="0"/>
    <n v="112.92"/>
    <s v="Delivered"/>
    <n v="11"/>
  </r>
  <r>
    <x v="744"/>
    <x v="23"/>
    <x v="1"/>
    <x v="4"/>
    <s v="Cust_144"/>
    <x v="0"/>
    <x v="3"/>
    <x v="3"/>
    <n v="663543"/>
    <x v="0"/>
    <s v="SKU144"/>
    <s v="Product_144"/>
    <s v="Frozen"/>
    <n v="6"/>
    <n v="3"/>
    <n v="15.9"/>
    <n v="0"/>
    <n v="47.7"/>
    <n v="2.39"/>
    <n v="30"/>
    <n v="5"/>
    <n v="85.09"/>
    <s v="Delivered"/>
    <n v="0"/>
  </r>
  <r>
    <x v="745"/>
    <x v="53"/>
    <x v="0"/>
    <x v="29"/>
    <s v="Cust_145"/>
    <x v="0"/>
    <x v="2"/>
    <x v="3"/>
    <n v="544844"/>
    <x v="5"/>
    <s v="SKU145"/>
    <s v="Product_145"/>
    <s v="Beverages"/>
    <n v="9"/>
    <n v="1"/>
    <n v="151.34"/>
    <n v="15.13"/>
    <n v="136.21"/>
    <n v="6.81"/>
    <n v="10"/>
    <n v="10"/>
    <n v="163.02000000000001"/>
    <s v="Delivered"/>
    <n v="24"/>
  </r>
  <r>
    <x v="746"/>
    <x v="8"/>
    <x v="1"/>
    <x v="6"/>
    <s v="Cust_146"/>
    <x v="0"/>
    <x v="3"/>
    <x v="3"/>
    <n v="243704"/>
    <x v="0"/>
    <s v="SKU146"/>
    <s v="Product_146"/>
    <s v="Snacks"/>
    <n v="6"/>
    <n v="2"/>
    <n v="117.55"/>
    <n v="0"/>
    <n v="235.1"/>
    <n v="11.76"/>
    <n v="30"/>
    <n v="0"/>
    <n v="276.86"/>
    <s v="Cancelled"/>
    <n v="25"/>
  </r>
  <r>
    <x v="747"/>
    <x v="23"/>
    <x v="1"/>
    <x v="4"/>
    <s v="Cust_147"/>
    <x v="0"/>
    <x v="0"/>
    <x v="3"/>
    <n v="418488"/>
    <x v="2"/>
    <s v="SKU147"/>
    <s v="Product_147"/>
    <s v="Fruits"/>
    <n v="6"/>
    <n v="3"/>
    <n v="153.81"/>
    <n v="23.07"/>
    <n v="438.36"/>
    <n v="21.92"/>
    <n v="0"/>
    <n v="5"/>
    <n v="465.28"/>
    <s v="Delivered"/>
    <n v="9"/>
  </r>
  <r>
    <x v="748"/>
    <x v="37"/>
    <x v="1"/>
    <x v="12"/>
    <s v="Cust_148"/>
    <x v="0"/>
    <x v="0"/>
    <x v="3"/>
    <n v="221897"/>
    <x v="0"/>
    <s v="SKU148"/>
    <s v="Product_148"/>
    <s v="Veg"/>
    <n v="3"/>
    <n v="3"/>
    <n v="205.97"/>
    <n v="20.6"/>
    <n v="597.30999999999995"/>
    <n v="29.87"/>
    <n v="10"/>
    <n v="10"/>
    <n v="647.17999999999995"/>
    <s v="Delivered"/>
    <n v="10"/>
  </r>
  <r>
    <x v="749"/>
    <x v="36"/>
    <x v="1"/>
    <x v="17"/>
    <s v="Cust_149"/>
    <x v="0"/>
    <x v="2"/>
    <x v="3"/>
    <n v="803335"/>
    <x v="0"/>
    <s v="SKU149"/>
    <s v="Product_149"/>
    <s v="FRUITS "/>
    <n v="7"/>
    <n v="3"/>
    <n v="81.88"/>
    <n v="4.09"/>
    <n v="241.55"/>
    <n v="12.08"/>
    <n v="20"/>
    <n v="15"/>
    <n v="288.63"/>
    <s v="Delivered"/>
    <n v="19"/>
  </r>
  <r>
    <x v="750"/>
    <x v="29"/>
    <x v="1"/>
    <x v="21"/>
    <s v="Cust_150"/>
    <x v="0"/>
    <x v="1"/>
    <x v="3"/>
    <n v="900607"/>
    <x v="0"/>
    <s v="SKU150"/>
    <s v="Product_150"/>
    <s v="Baby"/>
    <n v="4"/>
    <n v="2"/>
    <n v="99.37"/>
    <n v="4.97"/>
    <n v="193.77"/>
    <n v="9.69"/>
    <n v="20"/>
    <n v="5"/>
    <n v="228.46"/>
    <s v="Delivered"/>
    <n v="30"/>
  </r>
  <r>
    <x v="751"/>
    <x v="40"/>
    <x v="1"/>
    <x v="27"/>
    <s v="Cust_151"/>
    <x v="0"/>
    <x v="5"/>
    <x v="3"/>
    <n v="952969"/>
    <x v="0"/>
    <s v="SKU151"/>
    <s v="Product_151"/>
    <s v="DIARY"/>
    <n v="5"/>
    <n v="2"/>
    <n v="119.28"/>
    <n v="5.96"/>
    <n v="232.6"/>
    <n v="11.63"/>
    <n v="0"/>
    <n v="10"/>
    <n v="254.23"/>
    <s v="Cancelled"/>
    <n v="25"/>
  </r>
  <r>
    <x v="752"/>
    <x v="50"/>
    <x v="1"/>
    <x v="30"/>
    <s v="Cust_152"/>
    <x v="0"/>
    <x v="0"/>
    <x v="3"/>
    <n v="523240"/>
    <x v="4"/>
    <s v="SKU152"/>
    <s v="Product_152"/>
    <s v="DIARY"/>
    <n v="5"/>
    <n v="5"/>
    <n v="285.04000000000002"/>
    <n v="0"/>
    <n v="1425.2"/>
    <n v="71.260000000000005"/>
    <n v="30"/>
    <n v="15"/>
    <n v="1541.46"/>
    <s v="Failed"/>
    <n v="25"/>
  </r>
  <r>
    <x v="753"/>
    <x v="1"/>
    <x v="0"/>
    <x v="1"/>
    <s v="Cust_153"/>
    <x v="1"/>
    <x v="4"/>
    <x v="3"/>
    <n v="853160"/>
    <x v="0"/>
    <s v="SKU153"/>
    <s v="Product_153"/>
    <s v="FRUITS "/>
    <n v="7"/>
    <n v="1"/>
    <n v="72.11"/>
    <n v="3.61"/>
    <n v="68.5"/>
    <n v="3.43"/>
    <n v="30"/>
    <n v="5"/>
    <n v="106.93"/>
    <s v="Delivered"/>
    <n v="26"/>
  </r>
  <r>
    <x v="754"/>
    <x v="8"/>
    <x v="1"/>
    <x v="6"/>
    <s v="Cust_154"/>
    <x v="0"/>
    <x v="5"/>
    <x v="3"/>
    <n v="608175"/>
    <x v="5"/>
    <s v="SKU154"/>
    <s v="Product_154"/>
    <s v="Snacks"/>
    <n v="6"/>
    <n v="1"/>
    <n v="2.3199999999999998"/>
    <n v="0.12"/>
    <n v="2.2000000000000002"/>
    <n v="0.11"/>
    <n v="30"/>
    <n v="20"/>
    <n v="52.31"/>
    <s v="Delivered"/>
    <n v="19"/>
  </r>
  <r>
    <x v="755"/>
    <x v="7"/>
    <x v="0"/>
    <x v="5"/>
    <s v="Cust_155"/>
    <x v="0"/>
    <x v="1"/>
    <x v="3"/>
    <n v="896305"/>
    <x v="6"/>
    <s v="SKU155"/>
    <s v="Product_155"/>
    <s v="bevrage"/>
    <n v="7"/>
    <n v="1"/>
    <n v="3.05"/>
    <n v="0"/>
    <n v="3.05"/>
    <n v="0.15"/>
    <n v="10"/>
    <n v="0"/>
    <n v="13.2"/>
    <s v="Delivered"/>
    <n v="24"/>
  </r>
  <r>
    <x v="756"/>
    <x v="31"/>
    <x v="0"/>
    <x v="22"/>
    <s v="Cust_156"/>
    <x v="0"/>
    <x v="5"/>
    <x v="3"/>
    <n v="629321"/>
    <x v="1"/>
    <s v="SKU156"/>
    <s v="Product_156"/>
    <s v="Essentials"/>
    <n v="10"/>
    <n v="2"/>
    <n v="21.74"/>
    <n v="0"/>
    <n v="43.48"/>
    <n v="2.17"/>
    <n v="30"/>
    <n v="20"/>
    <n v="95.65"/>
    <s v="Delivered"/>
    <n v="26"/>
  </r>
  <r>
    <x v="757"/>
    <x v="30"/>
    <x v="1"/>
    <x v="22"/>
    <s v="Cust_157"/>
    <x v="0"/>
    <x v="0"/>
    <x v="3"/>
    <n v="477972"/>
    <x v="0"/>
    <s v="SKU157"/>
    <s v="Product_157"/>
    <s v="Dairy"/>
    <n v="5"/>
    <n v="4"/>
    <n v="6.34"/>
    <n v="0"/>
    <n v="25.36"/>
    <n v="1.27"/>
    <n v="10"/>
    <n v="10"/>
    <n v="46.63"/>
    <s v="Delivered"/>
    <n v="15"/>
  </r>
  <r>
    <x v="758"/>
    <x v="12"/>
    <x v="0"/>
    <x v="10"/>
    <s v="Cust_158"/>
    <x v="0"/>
    <x v="3"/>
    <x v="3"/>
    <n v="124648"/>
    <x v="5"/>
    <s v="SKU158"/>
    <s v="Product_158"/>
    <s v="Beverages"/>
    <n v="9"/>
    <n v="4"/>
    <n v="101.87"/>
    <n v="10.19"/>
    <n v="397.29"/>
    <n v="19.86"/>
    <n v="10"/>
    <n v="20"/>
    <n v="447.15"/>
    <s v="Delivered"/>
    <n v="1"/>
  </r>
  <r>
    <x v="759"/>
    <x v="55"/>
    <x v="1"/>
    <x v="11"/>
    <s v="Cust_159"/>
    <x v="2"/>
    <x v="4"/>
    <x v="3"/>
    <n v="290271"/>
    <x v="0"/>
    <s v="SKU159"/>
    <s v="Product_159"/>
    <s v="Baby"/>
    <n v="4"/>
    <n v="3"/>
    <n v="150.44999999999999"/>
    <n v="7.52"/>
    <n v="443.83"/>
    <n v="22.19"/>
    <n v="10"/>
    <n v="0"/>
    <n v="476.02"/>
    <s v="Delivered"/>
    <n v="15"/>
  </r>
  <r>
    <x v="760"/>
    <x v="44"/>
    <x v="0"/>
    <x v="26"/>
    <s v="Cust_160"/>
    <x v="0"/>
    <x v="1"/>
    <x v="3"/>
    <n v="820857"/>
    <x v="1"/>
    <s v="SKU160"/>
    <s v="Product_160"/>
    <s v="Beverages"/>
    <n v="9"/>
    <n v="1"/>
    <n v="44.31"/>
    <n v="6.65"/>
    <n v="37.659999999999997"/>
    <n v="1.88"/>
    <n v="10"/>
    <n v="10"/>
    <n v="59.540000000000013"/>
    <s v="Returned"/>
    <n v="25"/>
  </r>
  <r>
    <x v="761"/>
    <x v="23"/>
    <x v="1"/>
    <x v="4"/>
    <s v="Cust_161"/>
    <x v="0"/>
    <x v="0"/>
    <x v="3"/>
    <n v="197462"/>
    <x v="5"/>
    <s v="SKU161"/>
    <s v="Product_161"/>
    <s v="Baby"/>
    <n v="4"/>
    <n v="4"/>
    <n v="66.150000000000006"/>
    <n v="9.92"/>
    <n v="254.68"/>
    <n v="12.73"/>
    <n v="0"/>
    <n v="10"/>
    <n v="277.41000000000003"/>
    <s v="Delivered"/>
    <n v="11"/>
  </r>
  <r>
    <x v="762"/>
    <x v="24"/>
    <x v="1"/>
    <x v="19"/>
    <s v="Cust_162"/>
    <x v="2"/>
    <x v="4"/>
    <x v="3"/>
    <n v="982297"/>
    <x v="4"/>
    <s v="SKU162"/>
    <s v="Product_162"/>
    <s v="Essentials"/>
    <n v="10"/>
    <n v="3"/>
    <n v="123.07"/>
    <n v="0"/>
    <n v="369.21"/>
    <n v="18.46"/>
    <n v="30"/>
    <n v="10"/>
    <n v="427.67"/>
    <s v="Delivered"/>
    <n v="48"/>
  </r>
  <r>
    <x v="763"/>
    <x v="1"/>
    <x v="0"/>
    <x v="1"/>
    <s v="Cust_163"/>
    <x v="2"/>
    <x v="4"/>
    <x v="3"/>
    <n v="263402"/>
    <x v="6"/>
    <s v="SKU163"/>
    <s v="Product_163"/>
    <s v="Frozen"/>
    <n v="6"/>
    <n v="2"/>
    <n v="84.15"/>
    <n v="12.62"/>
    <n v="155.68"/>
    <n v="7.78"/>
    <n v="30"/>
    <n v="10"/>
    <n v="203.46"/>
    <s v="Delivered"/>
    <n v="35"/>
  </r>
  <r>
    <x v="764"/>
    <x v="27"/>
    <x v="0"/>
    <x v="21"/>
    <s v="Cust_164"/>
    <x v="1"/>
    <x v="4"/>
    <x v="3"/>
    <n v="323034"/>
    <x v="4"/>
    <s v="SKU164"/>
    <s v="Product_164"/>
    <s v="Beverages"/>
    <n v="9"/>
    <n v="6"/>
    <n v="15.14"/>
    <n v="0.76"/>
    <n v="90.08"/>
    <n v="4.5"/>
    <n v="20"/>
    <n v="20"/>
    <n v="134.58000000000001"/>
    <s v="Delivered"/>
    <n v="28"/>
  </r>
  <r>
    <x v="765"/>
    <x v="6"/>
    <x v="1"/>
    <x v="1"/>
    <s v="Cust_165"/>
    <x v="0"/>
    <x v="1"/>
    <x v="3"/>
    <n v="593891"/>
    <x v="0"/>
    <s v="SKU165"/>
    <s v="Product_165"/>
    <s v="Veg"/>
    <n v="3"/>
    <n v="3"/>
    <n v="86.96"/>
    <n v="8.6999999999999993"/>
    <n v="252.18"/>
    <n v="12.61"/>
    <n v="20"/>
    <n v="20"/>
    <n v="304.79000000000002"/>
    <s v="Delivered"/>
    <n v="45"/>
  </r>
  <r>
    <x v="766"/>
    <x v="13"/>
    <x v="0"/>
    <x v="11"/>
    <s v="Cust_166"/>
    <x v="0"/>
    <x v="1"/>
    <x v="3"/>
    <n v="859990"/>
    <x v="1"/>
    <s v="SKU166"/>
    <s v="Product_166"/>
    <s v="snaks"/>
    <n v="5"/>
    <n v="5"/>
    <n v="238.22"/>
    <n v="35.729999999999997"/>
    <n v="1155.3699999999999"/>
    <n v="57.77"/>
    <n v="10"/>
    <n v="10"/>
    <n v="1233.1400000000001"/>
    <s v="Delivered"/>
    <n v="28"/>
  </r>
  <r>
    <x v="767"/>
    <x v="12"/>
    <x v="0"/>
    <x v="10"/>
    <s v="Cust_167"/>
    <x v="0"/>
    <x v="5"/>
    <x v="3"/>
    <n v="853624"/>
    <x v="0"/>
    <s v="SKU167"/>
    <s v="Product_167"/>
    <s v="Dairy"/>
    <n v="5"/>
    <n v="1"/>
    <n v="150.51"/>
    <n v="7.53"/>
    <n v="142.97999999999999"/>
    <n v="7.15"/>
    <n v="10"/>
    <n v="0"/>
    <n v="160.13"/>
    <s v="Delivered"/>
    <n v="41"/>
  </r>
  <r>
    <x v="768"/>
    <x v="9"/>
    <x v="1"/>
    <x v="7"/>
    <s v="Cust_168"/>
    <x v="0"/>
    <x v="2"/>
    <x v="3"/>
    <n v="120039"/>
    <x v="0"/>
    <s v="SKU168"/>
    <s v="Product_168"/>
    <s v="bevrage"/>
    <n v="7"/>
    <n v="2"/>
    <n v="59.92"/>
    <n v="8.99"/>
    <n v="110.85"/>
    <n v="5.54"/>
    <n v="0"/>
    <n v="5"/>
    <n v="121.39"/>
    <s v="Cancelled"/>
    <n v="25"/>
  </r>
  <r>
    <x v="769"/>
    <x v="30"/>
    <x v="1"/>
    <x v="22"/>
    <s v="Cust_169"/>
    <x v="0"/>
    <x v="2"/>
    <x v="3"/>
    <n v="338540"/>
    <x v="5"/>
    <s v="SKU169"/>
    <s v="Product_169"/>
    <s v="DIARY"/>
    <n v="5"/>
    <n v="2"/>
    <n v="244.07"/>
    <n v="0"/>
    <n v="488.14"/>
    <n v="24.41"/>
    <n v="10"/>
    <n v="20"/>
    <n v="542.54999999999995"/>
    <s v="Delivered"/>
    <n v="36"/>
  </r>
  <r>
    <x v="770"/>
    <x v="34"/>
    <x v="0"/>
    <x v="24"/>
    <s v="Cust_170"/>
    <x v="1"/>
    <x v="4"/>
    <x v="3"/>
    <n v="948389"/>
    <x v="4"/>
    <s v="SKU170"/>
    <s v="Product_170"/>
    <s v="Frozen"/>
    <n v="6"/>
    <n v="1"/>
    <n v="164.6"/>
    <n v="24.69"/>
    <n v="139.91"/>
    <n v="7"/>
    <n v="10"/>
    <n v="0"/>
    <n v="156.91"/>
    <s v="Delivered"/>
    <n v="12"/>
  </r>
  <r>
    <x v="771"/>
    <x v="0"/>
    <x v="0"/>
    <x v="0"/>
    <s v="Cust_171"/>
    <x v="0"/>
    <x v="3"/>
    <x v="3"/>
    <n v="819533"/>
    <x v="1"/>
    <s v="SKU171"/>
    <s v="Product_171"/>
    <s v="Veg"/>
    <n v="3"/>
    <n v="1"/>
    <n v="77.150000000000006"/>
    <n v="0"/>
    <n v="77.150000000000006"/>
    <n v="3.86"/>
    <n v="20"/>
    <n v="15"/>
    <n v="116.01"/>
    <s v="Delivered"/>
    <n v="37"/>
  </r>
  <r>
    <x v="772"/>
    <x v="52"/>
    <x v="0"/>
    <x v="27"/>
    <s v="Cust_172"/>
    <x v="0"/>
    <x v="5"/>
    <x v="3"/>
    <n v="696861"/>
    <x v="3"/>
    <s v="SKU172"/>
    <s v="Product_172"/>
    <s v="Bakery"/>
    <n v="6"/>
    <n v="1"/>
    <n v="57.45"/>
    <n v="0"/>
    <n v="57.45"/>
    <n v="2.87"/>
    <n v="30"/>
    <n v="5"/>
    <n v="95.32"/>
    <s v="Delivered"/>
    <n v="37"/>
  </r>
  <r>
    <x v="773"/>
    <x v="12"/>
    <x v="0"/>
    <x v="10"/>
    <s v="Cust_173"/>
    <x v="0"/>
    <x v="0"/>
    <x v="3"/>
    <n v="154460"/>
    <x v="6"/>
    <s v="SKU173"/>
    <s v="Product_173"/>
    <s v="Frozen"/>
    <n v="6"/>
    <n v="1"/>
    <n v="97.56"/>
    <n v="9.76"/>
    <n v="87.8"/>
    <n v="4.3899999999999997"/>
    <n v="10"/>
    <n v="10"/>
    <n v="112.19"/>
    <s v="Delivered"/>
    <n v="22"/>
  </r>
  <r>
    <x v="774"/>
    <x v="28"/>
    <x v="0"/>
    <x v="8"/>
    <s v="Cust_174"/>
    <x v="0"/>
    <x v="2"/>
    <x v="3"/>
    <n v="195558"/>
    <x v="0"/>
    <s v="SKU174"/>
    <s v="Product_174"/>
    <s v="Snacks"/>
    <n v="6"/>
    <n v="7"/>
    <n v="155.36000000000001"/>
    <n v="23.3"/>
    <n v="1064.22"/>
    <n v="53.21"/>
    <n v="10"/>
    <n v="5"/>
    <n v="1132.43"/>
    <s v="Delivered"/>
    <n v="22"/>
  </r>
  <r>
    <x v="775"/>
    <x v="7"/>
    <x v="0"/>
    <x v="5"/>
    <s v="Cust_175"/>
    <x v="0"/>
    <x v="5"/>
    <x v="3"/>
    <n v="867175"/>
    <x v="3"/>
    <s v="SKU175"/>
    <s v="Product_175"/>
    <s v="snaks"/>
    <n v="5"/>
    <n v="1"/>
    <n v="154.07"/>
    <n v="15.41"/>
    <n v="138.66"/>
    <n v="6.93"/>
    <n v="20"/>
    <n v="10"/>
    <n v="175.59"/>
    <s v="Delivered"/>
    <n v="24"/>
  </r>
  <r>
    <x v="776"/>
    <x v="0"/>
    <x v="0"/>
    <x v="0"/>
    <s v="Cust_176"/>
    <x v="0"/>
    <x v="2"/>
    <x v="3"/>
    <n v="359590"/>
    <x v="0"/>
    <s v="SKU176"/>
    <s v="Product_176"/>
    <s v="Snacks"/>
    <n v="6"/>
    <n v="2"/>
    <n v="158.43"/>
    <n v="7.92"/>
    <n v="308.94"/>
    <n v="15.45"/>
    <n v="10"/>
    <n v="20"/>
    <n v="354.39"/>
    <s v="Delivered"/>
    <n v="26"/>
  </r>
  <r>
    <x v="777"/>
    <x v="40"/>
    <x v="1"/>
    <x v="27"/>
    <s v="Cust_177"/>
    <x v="1"/>
    <x v="4"/>
    <x v="3"/>
    <n v="174694"/>
    <x v="1"/>
    <s v="SKU177"/>
    <s v="Product_177"/>
    <s v="Dairy"/>
    <n v="5"/>
    <n v="1"/>
    <n v="116.29"/>
    <n v="11.63"/>
    <n v="104.66"/>
    <n v="5.23"/>
    <n v="20"/>
    <n v="20"/>
    <n v="149.88999999999999"/>
    <s v="Delivered"/>
    <n v="16"/>
  </r>
  <r>
    <x v="778"/>
    <x v="50"/>
    <x v="1"/>
    <x v="30"/>
    <s v="Cust_178"/>
    <x v="0"/>
    <x v="0"/>
    <x v="3"/>
    <n v="880862"/>
    <x v="0"/>
    <s v="SKU178"/>
    <s v="Product_178"/>
    <s v="Other"/>
    <n v="5"/>
    <n v="5"/>
    <n v="177.5"/>
    <n v="26.62"/>
    <n v="860.88"/>
    <n v="43.04"/>
    <n v="0"/>
    <n v="5"/>
    <n v="908.92"/>
    <s v="Cancelled"/>
    <n v="25"/>
  </r>
  <r>
    <x v="779"/>
    <x v="7"/>
    <x v="0"/>
    <x v="5"/>
    <s v="Cust_179"/>
    <x v="0"/>
    <x v="5"/>
    <x v="3"/>
    <n v="741232"/>
    <x v="2"/>
    <s v="SKU179"/>
    <s v="Product_179"/>
    <s v="FRUITS "/>
    <n v="7"/>
    <n v="3"/>
    <n v="56.64"/>
    <n v="2.83"/>
    <n v="167.09"/>
    <n v="8.35"/>
    <n v="0"/>
    <n v="15"/>
    <n v="190.44"/>
    <s v="Cancelled"/>
    <n v="25"/>
  </r>
  <r>
    <x v="780"/>
    <x v="55"/>
    <x v="1"/>
    <x v="11"/>
    <s v="Cust_180"/>
    <x v="0"/>
    <x v="5"/>
    <x v="3"/>
    <n v="597666"/>
    <x v="1"/>
    <s v="SKU180"/>
    <s v="Product_180"/>
    <s v="Frozen"/>
    <n v="6"/>
    <n v="2"/>
    <n v="181.18"/>
    <n v="18.12"/>
    <n v="344.24"/>
    <n v="17.21"/>
    <n v="30"/>
    <n v="0"/>
    <n v="391.45"/>
    <s v="Delivered"/>
    <n v="10"/>
  </r>
  <r>
    <x v="781"/>
    <x v="44"/>
    <x v="0"/>
    <x v="26"/>
    <s v="Cust_181"/>
    <x v="2"/>
    <x v="4"/>
    <x v="3"/>
    <n v="412636"/>
    <x v="4"/>
    <s v="SKU181"/>
    <s v="Product_181"/>
    <s v="Dairy"/>
    <n v="5"/>
    <n v="3"/>
    <n v="131.63999999999999"/>
    <n v="0"/>
    <n v="394.92"/>
    <n v="19.75"/>
    <n v="30"/>
    <n v="10"/>
    <n v="454.67"/>
    <s v="Returned"/>
    <n v="25"/>
  </r>
  <r>
    <x v="782"/>
    <x v="9"/>
    <x v="1"/>
    <x v="7"/>
    <s v="Cust_182"/>
    <x v="0"/>
    <x v="0"/>
    <x v="3"/>
    <n v="472339"/>
    <x v="6"/>
    <s v="SKU182"/>
    <s v="Product_182"/>
    <s v="DIARY"/>
    <n v="5"/>
    <n v="1"/>
    <n v="72.599999999999994"/>
    <n v="7.26"/>
    <n v="65.339999999999989"/>
    <n v="3.27"/>
    <n v="30"/>
    <n v="15"/>
    <n v="113.61"/>
    <s v="Cancelled"/>
    <n v="25"/>
  </r>
  <r>
    <x v="783"/>
    <x v="2"/>
    <x v="1"/>
    <x v="2"/>
    <s v="Cust_183"/>
    <x v="0"/>
    <x v="5"/>
    <x v="3"/>
    <n v="901818"/>
    <x v="0"/>
    <s v="SKU183"/>
    <s v="Product_183"/>
    <s v="Other"/>
    <n v="5"/>
    <n v="1"/>
    <n v="56.03"/>
    <n v="2.8"/>
    <n v="53.23"/>
    <n v="2.66"/>
    <n v="20"/>
    <n v="0"/>
    <n v="75.89"/>
    <s v="Delivered"/>
    <n v="41"/>
  </r>
  <r>
    <x v="784"/>
    <x v="4"/>
    <x v="0"/>
    <x v="4"/>
    <s v="Cust_184"/>
    <x v="0"/>
    <x v="2"/>
    <x v="3"/>
    <n v="611566"/>
    <x v="0"/>
    <s v="SKU184"/>
    <s v="Product_184"/>
    <s v="FRUITS "/>
    <n v="7"/>
    <n v="6"/>
    <n v="96.68"/>
    <n v="0"/>
    <n v="580.08000000000004"/>
    <n v="29"/>
    <n v="0"/>
    <n v="15"/>
    <n v="624.08000000000004"/>
    <s v="Delivered"/>
    <n v="28"/>
  </r>
  <r>
    <x v="785"/>
    <x v="10"/>
    <x v="1"/>
    <x v="8"/>
    <s v="Cust_185"/>
    <x v="0"/>
    <x v="5"/>
    <x v="3"/>
    <n v="568668"/>
    <x v="4"/>
    <s v="SKU185"/>
    <s v="Product_185"/>
    <s v="Veg"/>
    <n v="3"/>
    <n v="4"/>
    <n v="176.92"/>
    <n v="8.85"/>
    <n v="698.82999999999993"/>
    <n v="34.94"/>
    <n v="10"/>
    <n v="15"/>
    <n v="758.77"/>
    <s v="Delivered"/>
    <n v="17"/>
  </r>
  <r>
    <x v="786"/>
    <x v="38"/>
    <x v="1"/>
    <x v="20"/>
    <s v="Cust_186"/>
    <x v="0"/>
    <x v="2"/>
    <x v="3"/>
    <n v="254721"/>
    <x v="0"/>
    <s v="SKU186"/>
    <s v="Product_186"/>
    <s v="Dairy"/>
    <n v="5"/>
    <n v="1"/>
    <n v="24.66"/>
    <n v="0"/>
    <n v="24.66"/>
    <n v="1.23"/>
    <n v="20"/>
    <n v="15"/>
    <n v="60.89"/>
    <s v="Delivered"/>
    <n v="39"/>
  </r>
  <r>
    <x v="787"/>
    <x v="31"/>
    <x v="0"/>
    <x v="22"/>
    <s v="Cust_187"/>
    <x v="0"/>
    <x v="5"/>
    <x v="3"/>
    <n v="913820"/>
    <x v="4"/>
    <s v="SKU187"/>
    <s v="Product_187"/>
    <s v="Essentials"/>
    <n v="10"/>
    <n v="1"/>
    <n v="58.18"/>
    <n v="2.91"/>
    <n v="55.27"/>
    <n v="2.76"/>
    <n v="30"/>
    <n v="10"/>
    <n v="98.03"/>
    <s v="Cancelled"/>
    <n v="25"/>
  </r>
  <r>
    <x v="788"/>
    <x v="23"/>
    <x v="1"/>
    <x v="4"/>
    <s v="Cust_188"/>
    <x v="0"/>
    <x v="0"/>
    <x v="3"/>
    <n v="655393"/>
    <x v="0"/>
    <s v="SKU188"/>
    <s v="Product_188"/>
    <s v="Veg"/>
    <n v="3"/>
    <n v="4"/>
    <n v="4.28"/>
    <n v="0"/>
    <n v="17.12"/>
    <n v="0.86"/>
    <n v="10"/>
    <n v="5"/>
    <n v="32.979999999999997"/>
    <s v="Delivered"/>
    <n v="48"/>
  </r>
  <r>
    <x v="789"/>
    <x v="37"/>
    <x v="1"/>
    <x v="12"/>
    <s v="Cust_189"/>
    <x v="0"/>
    <x v="2"/>
    <x v="3"/>
    <n v="377948"/>
    <x v="2"/>
    <s v="SKU189"/>
    <s v="Product_189"/>
    <s v="Baby"/>
    <n v="4"/>
    <n v="1"/>
    <n v="123.67"/>
    <n v="6.18"/>
    <n v="117.49"/>
    <n v="5.87"/>
    <n v="30"/>
    <n v="5"/>
    <n v="158.36000000000001"/>
    <s v="Delivered"/>
    <n v="25"/>
  </r>
  <r>
    <x v="790"/>
    <x v="49"/>
    <x v="1"/>
    <x v="29"/>
    <s v="Cust_190"/>
    <x v="2"/>
    <x v="4"/>
    <x v="3"/>
    <n v="381209"/>
    <x v="1"/>
    <s v="SKU190"/>
    <s v="Product_190"/>
    <s v="Frozen"/>
    <n v="6"/>
    <n v="1"/>
    <n v="160.47"/>
    <n v="8.02"/>
    <n v="152.44999999999999"/>
    <n v="7.62"/>
    <n v="0"/>
    <n v="10"/>
    <n v="170.07"/>
    <s v="Delivered"/>
    <n v="28"/>
  </r>
  <r>
    <x v="791"/>
    <x v="7"/>
    <x v="0"/>
    <x v="5"/>
    <s v="Cust_191"/>
    <x v="0"/>
    <x v="2"/>
    <x v="3"/>
    <n v="870644"/>
    <x v="2"/>
    <s v="SKU191"/>
    <s v="Product_191"/>
    <s v="Frozen"/>
    <n v="6"/>
    <n v="2"/>
    <n v="11.21"/>
    <n v="0.56000000000000005"/>
    <n v="21.86"/>
    <n v="1.0900000000000001"/>
    <n v="30"/>
    <n v="15"/>
    <n v="67.95"/>
    <s v="Delivered"/>
    <n v="14"/>
  </r>
  <r>
    <x v="792"/>
    <x v="18"/>
    <x v="0"/>
    <x v="15"/>
    <s v="Cust_192"/>
    <x v="0"/>
    <x v="2"/>
    <x v="3"/>
    <n v="653958"/>
    <x v="0"/>
    <s v="SKU192"/>
    <s v="Product_192"/>
    <s v="Bakery"/>
    <n v="6"/>
    <n v="1"/>
    <n v="184.92"/>
    <n v="18.489999999999998"/>
    <n v="166.43"/>
    <n v="8.32"/>
    <n v="30"/>
    <n v="15"/>
    <n v="219.75"/>
    <s v="Delivered"/>
    <n v="26"/>
  </r>
  <r>
    <x v="793"/>
    <x v="45"/>
    <x v="1"/>
    <x v="28"/>
    <s v="Cust_193"/>
    <x v="1"/>
    <x v="4"/>
    <x v="3"/>
    <n v="876001"/>
    <x v="0"/>
    <s v="SKU193"/>
    <s v="Product_193"/>
    <s v="Frozen"/>
    <n v="6"/>
    <n v="4"/>
    <n v="153.58000000000001"/>
    <n v="15.36"/>
    <n v="598.96"/>
    <n v="29.95"/>
    <n v="10"/>
    <n v="5"/>
    <n v="643.91000000000008"/>
    <s v="Delivered"/>
    <n v="26"/>
  </r>
  <r>
    <x v="794"/>
    <x v="20"/>
    <x v="0"/>
    <x v="17"/>
    <s v="Cust_194"/>
    <x v="0"/>
    <x v="1"/>
    <x v="3"/>
    <n v="753841"/>
    <x v="5"/>
    <s v="SKU194"/>
    <s v="Product_194"/>
    <s v="Veg"/>
    <n v="3"/>
    <n v="4"/>
    <n v="164.08"/>
    <n v="16.41"/>
    <n v="639.91000000000008"/>
    <n v="32"/>
    <n v="30"/>
    <n v="15"/>
    <n v="716.91000000000008"/>
    <s v="Delivered"/>
    <n v="20"/>
  </r>
  <r>
    <x v="795"/>
    <x v="36"/>
    <x v="1"/>
    <x v="17"/>
    <s v="Cust_195"/>
    <x v="0"/>
    <x v="1"/>
    <x v="3"/>
    <n v="100215"/>
    <x v="2"/>
    <s v="SKU195"/>
    <s v="Product_195"/>
    <s v="snaks"/>
    <n v="5"/>
    <n v="1"/>
    <n v="142.91999999999999"/>
    <n v="21.44"/>
    <n v="121.48"/>
    <n v="6.07"/>
    <n v="10"/>
    <n v="10"/>
    <n v="147.55000000000001"/>
    <s v="Delivered"/>
    <n v="16"/>
  </r>
  <r>
    <x v="796"/>
    <x v="59"/>
    <x v="0"/>
    <x v="3"/>
    <s v="Cust_196"/>
    <x v="0"/>
    <x v="2"/>
    <x v="3"/>
    <n v="396618"/>
    <x v="1"/>
    <s v="SKU196"/>
    <s v="Product_196"/>
    <s v="Essentials"/>
    <n v="10"/>
    <n v="1"/>
    <n v="141.09"/>
    <n v="14.11"/>
    <n v="126.98"/>
    <n v="6.35"/>
    <n v="30"/>
    <n v="20"/>
    <n v="183.33"/>
    <s v="Delivered"/>
    <n v="15"/>
  </r>
  <r>
    <x v="797"/>
    <x v="56"/>
    <x v="1"/>
    <x v="15"/>
    <s v="Cust_197"/>
    <x v="0"/>
    <x v="2"/>
    <x v="3"/>
    <n v="768689"/>
    <x v="0"/>
    <s v="SKU197"/>
    <s v="Product_197"/>
    <s v="Snacks"/>
    <n v="6"/>
    <n v="2"/>
    <n v="197.42"/>
    <n v="19.739999999999998"/>
    <n v="375.1"/>
    <n v="18.75"/>
    <n v="20"/>
    <n v="20"/>
    <n v="433.85"/>
    <s v="Delivered"/>
    <n v="32"/>
  </r>
  <r>
    <x v="798"/>
    <x v="14"/>
    <x v="0"/>
    <x v="12"/>
    <s v="Cust_198"/>
    <x v="0"/>
    <x v="1"/>
    <x v="3"/>
    <n v="313286"/>
    <x v="0"/>
    <s v="SKU198"/>
    <s v="Product_198"/>
    <s v="Frozen"/>
    <n v="6"/>
    <n v="3"/>
    <n v="106.55"/>
    <n v="10.66"/>
    <n v="308.99"/>
    <n v="15.45"/>
    <n v="0"/>
    <n v="10"/>
    <n v="334.43999999999988"/>
    <s v="Delivered"/>
    <n v="26"/>
  </r>
  <r>
    <x v="799"/>
    <x v="28"/>
    <x v="0"/>
    <x v="8"/>
    <s v="Cust_199"/>
    <x v="0"/>
    <x v="5"/>
    <x v="3"/>
    <n v="845222"/>
    <x v="0"/>
    <s v="SKU199"/>
    <s v="Product_199"/>
    <s v="Baby"/>
    <n v="4"/>
    <n v="3"/>
    <n v="82.32"/>
    <n v="12.35"/>
    <n v="234.61"/>
    <n v="11.73"/>
    <n v="10"/>
    <n v="0"/>
    <n v="256.33999999999997"/>
    <s v="Delivered"/>
    <n v="35"/>
  </r>
  <r>
    <x v="800"/>
    <x v="37"/>
    <x v="1"/>
    <x v="12"/>
    <s v="Cust_200"/>
    <x v="0"/>
    <x v="1"/>
    <x v="3"/>
    <n v="219875"/>
    <x v="3"/>
    <s v="SKU0"/>
    <s v="Product_0"/>
    <s v="Frozen"/>
    <n v="6"/>
    <n v="3"/>
    <n v="65.33"/>
    <n v="0"/>
    <n v="195.99"/>
    <n v="9.8000000000000007"/>
    <n v="20"/>
    <n v="20"/>
    <n v="245.79"/>
    <s v="Delivered"/>
    <n v="9"/>
  </r>
  <r>
    <x v="801"/>
    <x v="41"/>
    <x v="0"/>
    <x v="6"/>
    <s v="Cust_201"/>
    <x v="0"/>
    <x v="3"/>
    <x v="3"/>
    <n v="893897"/>
    <x v="3"/>
    <s v="SKU1"/>
    <s v="Product_1"/>
    <s v="DIARY"/>
    <n v="5"/>
    <n v="1"/>
    <n v="103.97"/>
    <n v="15.6"/>
    <n v="88.37"/>
    <n v="4.42"/>
    <n v="0"/>
    <n v="20"/>
    <n v="112.79"/>
    <s v="Delivered"/>
    <n v="29"/>
  </r>
  <r>
    <x v="802"/>
    <x v="26"/>
    <x v="1"/>
    <x v="5"/>
    <s v="Cust_202"/>
    <x v="0"/>
    <x v="2"/>
    <x v="3"/>
    <n v="454835"/>
    <x v="6"/>
    <s v="SKU2"/>
    <s v="Product_2"/>
    <s v="Frozen"/>
    <n v="6"/>
    <n v="3"/>
    <n v="74.47"/>
    <n v="7.45"/>
    <n v="215.96"/>
    <n v="10.8"/>
    <n v="20"/>
    <n v="5"/>
    <n v="251.76"/>
    <s v="Delivered"/>
    <n v="21"/>
  </r>
  <r>
    <x v="803"/>
    <x v="7"/>
    <x v="0"/>
    <x v="5"/>
    <s v="Cust_203"/>
    <x v="0"/>
    <x v="2"/>
    <x v="3"/>
    <n v="858741"/>
    <x v="5"/>
    <s v="SKU3"/>
    <s v="Product_3"/>
    <s v="Frozen"/>
    <n v="6"/>
    <n v="4"/>
    <n v="138.75"/>
    <n v="6.94"/>
    <n v="548.05999999999995"/>
    <n v="27.4"/>
    <n v="10"/>
    <n v="0"/>
    <n v="585.45999999999992"/>
    <s v="Delivered"/>
    <n v="29"/>
  </r>
  <r>
    <x v="804"/>
    <x v="17"/>
    <x v="1"/>
    <x v="14"/>
    <s v="Cust_204"/>
    <x v="0"/>
    <x v="0"/>
    <x v="3"/>
    <n v="778173"/>
    <x v="4"/>
    <s v="SKU4"/>
    <s v="Product_4"/>
    <s v="Fruits"/>
    <n v="6"/>
    <n v="3"/>
    <n v="128.51"/>
    <n v="19.28"/>
    <n v="366.25"/>
    <n v="18.309999999999999"/>
    <n v="30"/>
    <n v="10"/>
    <n v="424.56"/>
    <s v="Delivered"/>
    <n v="21"/>
  </r>
  <r>
    <x v="805"/>
    <x v="55"/>
    <x v="1"/>
    <x v="11"/>
    <s v="Cust_205"/>
    <x v="0"/>
    <x v="5"/>
    <x v="3"/>
    <n v="854981"/>
    <x v="4"/>
    <s v="SKU5"/>
    <s v="Product_5"/>
    <s v="Essentials"/>
    <n v="10"/>
    <n v="2"/>
    <n v="129.63"/>
    <n v="6.48"/>
    <n v="252.78"/>
    <n v="12.64"/>
    <n v="10"/>
    <n v="0"/>
    <n v="275.42"/>
    <s v="Cancelled"/>
    <n v="25"/>
  </r>
  <r>
    <x v="806"/>
    <x v="2"/>
    <x v="1"/>
    <x v="2"/>
    <s v="Cust_206"/>
    <x v="0"/>
    <x v="0"/>
    <x v="3"/>
    <n v="255063"/>
    <x v="3"/>
    <s v="SKU6"/>
    <s v="Product_6"/>
    <s v="Veg"/>
    <n v="3"/>
    <n v="7"/>
    <n v="179.39"/>
    <n v="17.940000000000001"/>
    <n v="1237.79"/>
    <n v="61.89"/>
    <n v="0"/>
    <n v="0"/>
    <n v="1299.68"/>
    <s v="Delivered"/>
    <n v="18"/>
  </r>
  <r>
    <x v="807"/>
    <x v="35"/>
    <x v="0"/>
    <x v="25"/>
    <s v="Cust_207"/>
    <x v="0"/>
    <x v="0"/>
    <x v="3"/>
    <n v="126081"/>
    <x v="3"/>
    <s v="SKU7"/>
    <s v="Product_7"/>
    <s v="Frozen"/>
    <n v="6"/>
    <n v="5"/>
    <n v="44.53"/>
    <n v="2.23"/>
    <n v="220.42"/>
    <n v="11.02"/>
    <n v="0"/>
    <n v="0"/>
    <n v="231.44"/>
    <s v="Delivered"/>
    <n v="34"/>
  </r>
  <r>
    <x v="808"/>
    <x v="20"/>
    <x v="0"/>
    <x v="17"/>
    <s v="Cust_208"/>
    <x v="1"/>
    <x v="4"/>
    <x v="3"/>
    <n v="886492"/>
    <x v="0"/>
    <s v="SKU8"/>
    <s v="Product_8"/>
    <s v="Snacks"/>
    <n v="6"/>
    <n v="1"/>
    <n v="144.12"/>
    <n v="7.21"/>
    <n v="136.91"/>
    <n v="6.85"/>
    <n v="20"/>
    <n v="20"/>
    <n v="183.76"/>
    <s v="Delivered"/>
    <n v="17"/>
  </r>
  <r>
    <x v="809"/>
    <x v="8"/>
    <x v="1"/>
    <x v="6"/>
    <s v="Cust_209"/>
    <x v="0"/>
    <x v="2"/>
    <x v="3"/>
    <n v="204127"/>
    <x v="4"/>
    <s v="SKU9"/>
    <s v="Product_9"/>
    <s v="Baby"/>
    <n v="4"/>
    <n v="1"/>
    <n v="169.21"/>
    <n v="16.920000000000002"/>
    <n v="152.29"/>
    <n v="7.61"/>
    <n v="0"/>
    <n v="5"/>
    <n v="164.9"/>
    <s v="Delivered"/>
    <n v="10"/>
  </r>
  <r>
    <x v="810"/>
    <x v="5"/>
    <x v="1"/>
    <x v="0"/>
    <s v="Cust_210"/>
    <x v="2"/>
    <x v="4"/>
    <x v="4"/>
    <n v="633484"/>
    <x v="3"/>
    <s v="SKU10"/>
    <s v="Product_10"/>
    <s v="bevrage"/>
    <n v="7"/>
    <n v="5"/>
    <n v="107.78"/>
    <n v="10.78"/>
    <n v="528.12"/>
    <n v="26.41"/>
    <n v="30"/>
    <n v="5"/>
    <n v="589.53"/>
    <s v="Delivered"/>
    <n v="43"/>
  </r>
  <r>
    <x v="811"/>
    <x v="51"/>
    <x v="0"/>
    <x v="28"/>
    <s v="Cust_211"/>
    <x v="0"/>
    <x v="5"/>
    <x v="4"/>
    <n v="874751"/>
    <x v="1"/>
    <s v="SKU11"/>
    <s v="Product_11"/>
    <s v="Baby"/>
    <n v="4"/>
    <n v="1"/>
    <n v="96.39"/>
    <n v="9.64"/>
    <n v="86.75"/>
    <n v="4.34"/>
    <n v="20"/>
    <n v="15"/>
    <n v="126.09"/>
    <s v="Delivered"/>
    <n v="35"/>
  </r>
  <r>
    <x v="812"/>
    <x v="52"/>
    <x v="0"/>
    <x v="27"/>
    <s v="Cust_212"/>
    <x v="0"/>
    <x v="5"/>
    <x v="4"/>
    <n v="871152"/>
    <x v="4"/>
    <s v="SKU12"/>
    <s v="Product_12"/>
    <s v="Frozen"/>
    <n v="6"/>
    <n v="5"/>
    <n v="125.47"/>
    <n v="12.55"/>
    <n v="614.80000000000007"/>
    <n v="30.74"/>
    <n v="30"/>
    <n v="15"/>
    <n v="690.54000000000008"/>
    <s v="Delivered"/>
    <n v="43"/>
  </r>
  <r>
    <x v="813"/>
    <x v="54"/>
    <x v="1"/>
    <x v="18"/>
    <s v="Cust_213"/>
    <x v="0"/>
    <x v="0"/>
    <x v="4"/>
    <n v="350606"/>
    <x v="5"/>
    <s v="SKU13"/>
    <s v="Product_13"/>
    <s v="Beverages"/>
    <n v="9"/>
    <n v="5"/>
    <n v="110.9"/>
    <n v="16.64"/>
    <n v="537.86"/>
    <n v="26.89"/>
    <n v="10"/>
    <n v="0"/>
    <n v="574.75"/>
    <s v="Cancelled"/>
    <n v="25"/>
  </r>
  <r>
    <x v="814"/>
    <x v="16"/>
    <x v="1"/>
    <x v="10"/>
    <s v="Cust_214"/>
    <x v="0"/>
    <x v="2"/>
    <x v="4"/>
    <n v="832256"/>
    <x v="1"/>
    <s v="SKU14"/>
    <s v="Product_14"/>
    <s v="Baby"/>
    <n v="4"/>
    <n v="1"/>
    <n v="138.88"/>
    <n v="13.89"/>
    <n v="124.99"/>
    <n v="6.25"/>
    <n v="30"/>
    <n v="20"/>
    <n v="181.24"/>
    <s v="Delivered"/>
    <n v="43"/>
  </r>
  <r>
    <x v="815"/>
    <x v="1"/>
    <x v="0"/>
    <x v="1"/>
    <s v="Cust_215"/>
    <x v="0"/>
    <x v="3"/>
    <x v="4"/>
    <n v="714966"/>
    <x v="5"/>
    <s v="SKU15"/>
    <s v="Product_15"/>
    <s v="Snacks"/>
    <n v="6"/>
    <n v="2"/>
    <n v="172.33"/>
    <n v="0"/>
    <n v="344.66"/>
    <n v="17.23"/>
    <n v="0"/>
    <n v="15"/>
    <n v="376.89"/>
    <s v="Delivered"/>
    <n v="21"/>
  </r>
  <r>
    <x v="816"/>
    <x v="45"/>
    <x v="1"/>
    <x v="28"/>
    <s v="Cust_216"/>
    <x v="0"/>
    <x v="2"/>
    <x v="4"/>
    <n v="465391"/>
    <x v="0"/>
    <s v="SKU16"/>
    <s v="Product_16"/>
    <s v="Frozen"/>
    <n v="6"/>
    <n v="2"/>
    <n v="64.31"/>
    <n v="3.22"/>
    <n v="125.4"/>
    <n v="6.27"/>
    <n v="0"/>
    <n v="20"/>
    <n v="151.66999999999999"/>
    <s v="Delivered"/>
    <n v="19"/>
  </r>
  <r>
    <x v="817"/>
    <x v="36"/>
    <x v="1"/>
    <x v="17"/>
    <s v="Cust_217"/>
    <x v="2"/>
    <x v="4"/>
    <x v="4"/>
    <n v="665148"/>
    <x v="3"/>
    <s v="SKU17"/>
    <s v="Product_17"/>
    <s v="Frozen"/>
    <n v="6"/>
    <n v="2"/>
    <n v="183.91"/>
    <n v="18.39"/>
    <n v="349.43"/>
    <n v="17.47"/>
    <n v="30"/>
    <n v="5"/>
    <n v="401.9"/>
    <s v="Failed"/>
    <n v="25"/>
  </r>
  <r>
    <x v="818"/>
    <x v="24"/>
    <x v="1"/>
    <x v="19"/>
    <s v="Cust_218"/>
    <x v="0"/>
    <x v="0"/>
    <x v="4"/>
    <n v="545096"/>
    <x v="3"/>
    <s v="SKU18"/>
    <s v="Product_18"/>
    <s v="Frozen"/>
    <n v="6"/>
    <n v="5"/>
    <n v="179.79"/>
    <n v="17.98"/>
    <n v="880.96999999999991"/>
    <n v="44.05"/>
    <n v="20"/>
    <n v="20"/>
    <n v="965.01999999999987"/>
    <s v="Delivered"/>
    <n v="17"/>
  </r>
  <r>
    <x v="819"/>
    <x v="52"/>
    <x v="0"/>
    <x v="27"/>
    <s v="Cust_219"/>
    <x v="0"/>
    <x v="1"/>
    <x v="4"/>
    <n v="410272"/>
    <x v="5"/>
    <s v="SKU19"/>
    <s v="Product_19"/>
    <s v="Veg"/>
    <n v="3"/>
    <n v="3"/>
    <n v="122.37"/>
    <n v="12.24"/>
    <n v="354.87"/>
    <n v="17.739999999999998"/>
    <n v="10"/>
    <n v="15"/>
    <n v="397.61"/>
    <s v="Delivered"/>
    <n v="26"/>
  </r>
  <r>
    <x v="820"/>
    <x v="39"/>
    <x v="1"/>
    <x v="26"/>
    <s v="Cust_220"/>
    <x v="0"/>
    <x v="3"/>
    <x v="4"/>
    <n v="235393"/>
    <x v="4"/>
    <s v="SKU20"/>
    <s v="Product_20"/>
    <s v="FRUITS "/>
    <n v="7"/>
    <n v="1"/>
    <n v="111.5"/>
    <n v="5.58"/>
    <n v="105.92"/>
    <n v="5.3"/>
    <n v="0"/>
    <n v="20"/>
    <n v="131.22"/>
    <s v="Delivered"/>
    <n v="12"/>
  </r>
  <r>
    <x v="821"/>
    <x v="13"/>
    <x v="0"/>
    <x v="11"/>
    <s v="Cust_221"/>
    <x v="0"/>
    <x v="1"/>
    <x v="4"/>
    <n v="765673"/>
    <x v="1"/>
    <s v="SKU21"/>
    <s v="Product_21"/>
    <s v="Dairy"/>
    <n v="5"/>
    <n v="1"/>
    <n v="112.25"/>
    <n v="16.84"/>
    <n v="95.41"/>
    <n v="4.7699999999999996"/>
    <n v="10"/>
    <n v="10"/>
    <n v="120.18"/>
    <s v="Failed"/>
    <n v="25"/>
  </r>
  <r>
    <x v="822"/>
    <x v="46"/>
    <x v="1"/>
    <x v="25"/>
    <s v="Cust_222"/>
    <x v="0"/>
    <x v="2"/>
    <x v="4"/>
    <n v="250056"/>
    <x v="3"/>
    <s v="SKU22"/>
    <s v="Product_22"/>
    <s v="Fruits"/>
    <n v="6"/>
    <n v="3"/>
    <n v="86.29"/>
    <n v="0"/>
    <n v="258.87"/>
    <n v="12.94"/>
    <n v="0"/>
    <n v="20"/>
    <n v="291.81"/>
    <s v="Delivered"/>
    <n v="2"/>
  </r>
  <r>
    <x v="823"/>
    <x v="21"/>
    <x v="2"/>
    <x v="18"/>
    <s v="Cust_223"/>
    <x v="0"/>
    <x v="1"/>
    <x v="4"/>
    <n v="292319"/>
    <x v="0"/>
    <s v="SKU23"/>
    <s v="Product_23"/>
    <s v="Fruits"/>
    <n v="6"/>
    <n v="7"/>
    <n v="82.68"/>
    <n v="12.4"/>
    <n v="566.36"/>
    <n v="28.32"/>
    <n v="0"/>
    <n v="10"/>
    <n v="604.68000000000006"/>
    <s v="Delivered"/>
    <n v="30"/>
  </r>
  <r>
    <x v="824"/>
    <x v="50"/>
    <x v="1"/>
    <x v="30"/>
    <s v="Cust_224"/>
    <x v="0"/>
    <x v="5"/>
    <x v="4"/>
    <n v="192172"/>
    <x v="0"/>
    <s v="SKU24"/>
    <s v="Product_24"/>
    <s v="Snacks"/>
    <n v="6"/>
    <n v="1"/>
    <n v="144.19"/>
    <n v="14.42"/>
    <n v="129.77000000000001"/>
    <n v="6.49"/>
    <n v="20"/>
    <n v="15"/>
    <n v="171.26"/>
    <s v="Delivered"/>
    <n v="33"/>
  </r>
  <r>
    <x v="825"/>
    <x v="8"/>
    <x v="1"/>
    <x v="6"/>
    <s v="Cust_225"/>
    <x v="0"/>
    <x v="1"/>
    <x v="4"/>
    <n v="148639"/>
    <x v="0"/>
    <s v="SKU25"/>
    <s v="Product_25"/>
    <s v="FRUITS "/>
    <n v="7"/>
    <n v="1"/>
    <n v="193.18"/>
    <n v="9.66"/>
    <n v="183.52"/>
    <n v="9.18"/>
    <n v="20"/>
    <n v="5"/>
    <n v="217.7"/>
    <s v="Delivered"/>
    <n v="32"/>
  </r>
  <r>
    <x v="826"/>
    <x v="18"/>
    <x v="0"/>
    <x v="15"/>
    <s v="Cust_226"/>
    <x v="0"/>
    <x v="3"/>
    <x v="4"/>
    <n v="774932"/>
    <x v="0"/>
    <s v="SKU26"/>
    <s v="Product_26"/>
    <s v="Snacks"/>
    <n v="6"/>
    <n v="2"/>
    <n v="160.85"/>
    <n v="8.0399999999999991"/>
    <n v="313.66000000000003"/>
    <n v="15.68"/>
    <n v="20"/>
    <n v="20"/>
    <n v="369.34"/>
    <s v="Delivered"/>
    <n v="20"/>
  </r>
  <r>
    <x v="827"/>
    <x v="47"/>
    <x v="0"/>
    <x v="7"/>
    <s v="Cust_227"/>
    <x v="0"/>
    <x v="5"/>
    <x v="4"/>
    <n v="210957"/>
    <x v="2"/>
    <s v="SKU27"/>
    <s v="Product_27"/>
    <s v="Essentials"/>
    <n v="10"/>
    <n v="2"/>
    <n v="97.77"/>
    <n v="14.67"/>
    <n v="180.87"/>
    <n v="9.0399999999999991"/>
    <n v="0"/>
    <n v="15"/>
    <n v="204.91"/>
    <s v="Delivered"/>
    <n v="11"/>
  </r>
  <r>
    <x v="828"/>
    <x v="0"/>
    <x v="0"/>
    <x v="0"/>
    <s v="Cust_228"/>
    <x v="2"/>
    <x v="4"/>
    <x v="4"/>
    <n v="913051"/>
    <x v="0"/>
    <s v="SKU28"/>
    <s v="Product_28"/>
    <s v="Baby"/>
    <n v="4"/>
    <n v="3"/>
    <n v="160.77000000000001"/>
    <n v="8.0399999999999991"/>
    <n v="474.27"/>
    <n v="23.71"/>
    <n v="30"/>
    <n v="15"/>
    <n v="542.98"/>
    <s v="Delivered"/>
    <n v="33"/>
  </r>
  <r>
    <x v="829"/>
    <x v="26"/>
    <x v="1"/>
    <x v="5"/>
    <s v="Cust_229"/>
    <x v="0"/>
    <x v="3"/>
    <x v="4"/>
    <n v="785328"/>
    <x v="0"/>
    <s v="SKU29"/>
    <s v="Product_29"/>
    <s v="Veg"/>
    <n v="3"/>
    <n v="4"/>
    <n v="64.569999999999993"/>
    <n v="3.23"/>
    <n v="255.05"/>
    <n v="12.75"/>
    <n v="30"/>
    <n v="10"/>
    <n v="307.8"/>
    <s v="Failed"/>
    <n v="25"/>
  </r>
  <r>
    <x v="830"/>
    <x v="49"/>
    <x v="1"/>
    <x v="29"/>
    <s v="Cust_230"/>
    <x v="1"/>
    <x v="4"/>
    <x v="4"/>
    <n v="714985"/>
    <x v="5"/>
    <s v="SKU30"/>
    <s v="Product_30"/>
    <s v="Veg"/>
    <n v="3"/>
    <n v="4"/>
    <n v="56.11"/>
    <n v="5.61"/>
    <n v="218.83"/>
    <n v="10.94"/>
    <n v="0"/>
    <n v="20"/>
    <n v="249.77"/>
    <s v="Delivered"/>
    <n v="17"/>
  </r>
  <r>
    <x v="831"/>
    <x v="42"/>
    <x v="1"/>
    <x v="24"/>
    <s v="Cust_231"/>
    <x v="0"/>
    <x v="3"/>
    <x v="4"/>
    <n v="931187"/>
    <x v="0"/>
    <s v="SKU31"/>
    <s v="Product_31"/>
    <s v="Snacks"/>
    <n v="6"/>
    <n v="4"/>
    <n v="180.09"/>
    <n v="27.01"/>
    <n v="693.35"/>
    <n v="34.67"/>
    <n v="30"/>
    <n v="0"/>
    <n v="758.02"/>
    <s v="Delivered"/>
    <n v="23"/>
  </r>
  <r>
    <x v="832"/>
    <x v="8"/>
    <x v="1"/>
    <x v="6"/>
    <s v="Cust_232"/>
    <x v="0"/>
    <x v="3"/>
    <x v="4"/>
    <n v="294824"/>
    <x v="3"/>
    <s v="SKU32"/>
    <s v="Product_32"/>
    <s v="Frozen"/>
    <n v="6"/>
    <n v="2"/>
    <n v="219.72"/>
    <n v="10.99"/>
    <n v="428.45"/>
    <n v="21.42"/>
    <n v="30"/>
    <n v="10"/>
    <n v="489.87"/>
    <s v="Delivered"/>
    <n v="21"/>
  </r>
  <r>
    <x v="833"/>
    <x v="0"/>
    <x v="0"/>
    <x v="0"/>
    <s v="Cust_233"/>
    <x v="0"/>
    <x v="3"/>
    <x v="4"/>
    <n v="899448"/>
    <x v="6"/>
    <s v="SKU33"/>
    <s v="Product_33"/>
    <s v="Baby"/>
    <n v="4"/>
    <n v="3"/>
    <n v="129.97"/>
    <n v="0"/>
    <n v="389.91"/>
    <n v="19.5"/>
    <n v="20"/>
    <n v="20"/>
    <n v="449.41"/>
    <s v="Delivered"/>
    <n v="22"/>
  </r>
  <r>
    <x v="834"/>
    <x v="15"/>
    <x v="1"/>
    <x v="13"/>
    <s v="Cust_234"/>
    <x v="0"/>
    <x v="1"/>
    <x v="4"/>
    <n v="221169"/>
    <x v="0"/>
    <s v="SKU34"/>
    <s v="Product_34"/>
    <s v="Veg"/>
    <n v="3"/>
    <n v="6"/>
    <n v="119.39"/>
    <n v="17.91"/>
    <n v="698.43000000000006"/>
    <n v="34.92"/>
    <n v="20"/>
    <n v="10"/>
    <n v="763.35"/>
    <s v="Returned"/>
    <n v="25"/>
  </r>
  <r>
    <x v="835"/>
    <x v="52"/>
    <x v="0"/>
    <x v="27"/>
    <s v="Cust_235"/>
    <x v="0"/>
    <x v="2"/>
    <x v="4"/>
    <n v="494002"/>
    <x v="6"/>
    <s v="SKU35"/>
    <s v="Product_35"/>
    <s v="Frozen"/>
    <n v="6"/>
    <n v="3"/>
    <n v="71.22"/>
    <n v="0"/>
    <n v="213.66"/>
    <n v="10.68"/>
    <n v="30"/>
    <n v="0"/>
    <n v="254.34"/>
    <s v="Delivered"/>
    <n v="33"/>
  </r>
  <r>
    <x v="836"/>
    <x v="56"/>
    <x v="1"/>
    <x v="15"/>
    <s v="Cust_236"/>
    <x v="0"/>
    <x v="1"/>
    <x v="4"/>
    <n v="778960"/>
    <x v="6"/>
    <s v="SKU36"/>
    <s v="Product_36"/>
    <s v="Veg"/>
    <n v="3"/>
    <n v="3"/>
    <n v="86.24"/>
    <n v="8.6199999999999992"/>
    <n v="250.1"/>
    <n v="12.5"/>
    <n v="10"/>
    <n v="20"/>
    <n v="292.60000000000002"/>
    <s v="Delivered"/>
    <n v="20"/>
  </r>
  <r>
    <x v="837"/>
    <x v="41"/>
    <x v="0"/>
    <x v="6"/>
    <s v="Cust_237"/>
    <x v="0"/>
    <x v="2"/>
    <x v="4"/>
    <n v="205315"/>
    <x v="1"/>
    <s v="SKU37"/>
    <s v="Product_37"/>
    <s v="Other"/>
    <n v="5"/>
    <n v="4"/>
    <n v="159.88"/>
    <n v="0"/>
    <n v="639.52"/>
    <n v="31.98"/>
    <n v="10"/>
    <n v="15"/>
    <n v="696.5"/>
    <s v="Delivered"/>
    <n v="19"/>
  </r>
  <r>
    <x v="838"/>
    <x v="29"/>
    <x v="1"/>
    <x v="21"/>
    <s v="Cust_238"/>
    <x v="0"/>
    <x v="1"/>
    <x v="4"/>
    <n v="795139"/>
    <x v="5"/>
    <s v="SKU38"/>
    <s v="Product_38"/>
    <s v="Veg"/>
    <n v="3"/>
    <n v="1"/>
    <n v="72.61"/>
    <n v="10.89"/>
    <n v="61.72"/>
    <n v="3.09"/>
    <n v="20"/>
    <n v="15"/>
    <n v="99.81"/>
    <s v="Delivered"/>
    <n v="11"/>
  </r>
  <r>
    <x v="839"/>
    <x v="7"/>
    <x v="0"/>
    <x v="5"/>
    <s v="Cust_239"/>
    <x v="0"/>
    <x v="2"/>
    <x v="4"/>
    <n v="764704"/>
    <x v="4"/>
    <s v="SKU39"/>
    <s v="Product_39"/>
    <s v="Frozen"/>
    <n v="6"/>
    <n v="3"/>
    <n v="13.74"/>
    <n v="2.06"/>
    <n v="39.159999999999997"/>
    <n v="1.96"/>
    <n v="0"/>
    <n v="10"/>
    <n v="51.12"/>
    <s v="Delivered"/>
    <n v="29"/>
  </r>
  <r>
    <x v="840"/>
    <x v="43"/>
    <x v="1"/>
    <x v="23"/>
    <s v="Cust_240"/>
    <x v="0"/>
    <x v="0"/>
    <x v="4"/>
    <n v="165679"/>
    <x v="0"/>
    <s v="SKU40"/>
    <s v="Product_40"/>
    <s v="Other"/>
    <n v="5"/>
    <n v="3"/>
    <n v="117.02"/>
    <n v="5.85"/>
    <n v="345.21"/>
    <n v="17.260000000000002"/>
    <n v="0"/>
    <n v="0"/>
    <n v="362.47"/>
    <s v="Delivered"/>
    <n v="4"/>
  </r>
  <r>
    <x v="841"/>
    <x v="29"/>
    <x v="1"/>
    <x v="21"/>
    <s v="Cust_241"/>
    <x v="1"/>
    <x v="4"/>
    <x v="4"/>
    <n v="455398"/>
    <x v="0"/>
    <s v="SKU41"/>
    <s v="Product_41"/>
    <s v="Veg"/>
    <n v="3"/>
    <n v="2"/>
    <n v="110.98"/>
    <n v="5.55"/>
    <n v="216.41"/>
    <n v="10.82"/>
    <n v="10"/>
    <n v="10"/>
    <n v="247.23"/>
    <s v="Returned"/>
    <n v="25"/>
  </r>
  <r>
    <x v="842"/>
    <x v="5"/>
    <x v="1"/>
    <x v="0"/>
    <s v="Cust_242"/>
    <x v="0"/>
    <x v="0"/>
    <x v="4"/>
    <n v="800614"/>
    <x v="3"/>
    <s v="SKU42"/>
    <s v="Product_42"/>
    <s v="Frozen"/>
    <n v="6"/>
    <n v="2"/>
    <n v="64.77"/>
    <n v="6.48"/>
    <n v="123.06"/>
    <n v="6.15"/>
    <n v="30"/>
    <n v="0"/>
    <n v="159.21"/>
    <s v="Cancelled"/>
    <n v="25"/>
  </r>
  <r>
    <x v="843"/>
    <x v="53"/>
    <x v="0"/>
    <x v="29"/>
    <s v="Cust_243"/>
    <x v="0"/>
    <x v="5"/>
    <x v="4"/>
    <n v="125739"/>
    <x v="2"/>
    <s v="SKU43"/>
    <s v="Product_43"/>
    <s v="Baby"/>
    <n v="4"/>
    <n v="2"/>
    <n v="138.97999999999999"/>
    <n v="13.9"/>
    <n v="264.06"/>
    <n v="13.2"/>
    <n v="0"/>
    <n v="5"/>
    <n v="282.26"/>
    <s v="Delivered"/>
    <n v="16"/>
  </r>
  <r>
    <x v="844"/>
    <x v="0"/>
    <x v="0"/>
    <x v="0"/>
    <s v="Cust_244"/>
    <x v="0"/>
    <x v="2"/>
    <x v="4"/>
    <n v="135709"/>
    <x v="0"/>
    <s v="SKU44"/>
    <s v="Product_44"/>
    <s v="Frozen"/>
    <n v="6"/>
    <n v="3"/>
    <n v="198.2"/>
    <n v="29.73"/>
    <n v="564.86999999999989"/>
    <n v="28.24"/>
    <n v="10"/>
    <n v="10"/>
    <n v="613.1099999999999"/>
    <s v="Delivered"/>
    <n v="22"/>
  </r>
  <r>
    <x v="845"/>
    <x v="54"/>
    <x v="1"/>
    <x v="18"/>
    <s v="Cust_245"/>
    <x v="0"/>
    <x v="1"/>
    <x v="4"/>
    <n v="629787"/>
    <x v="4"/>
    <s v="SKU45"/>
    <s v="Product_45"/>
    <s v="Fruits"/>
    <n v="6"/>
    <n v="3"/>
    <n v="31.09"/>
    <n v="0"/>
    <n v="93.27"/>
    <n v="4.66"/>
    <n v="10"/>
    <n v="15"/>
    <n v="122.93"/>
    <s v="Delivered"/>
    <n v="24"/>
  </r>
  <r>
    <x v="846"/>
    <x v="15"/>
    <x v="1"/>
    <x v="13"/>
    <s v="Cust_246"/>
    <x v="0"/>
    <x v="0"/>
    <x v="4"/>
    <n v="760354"/>
    <x v="4"/>
    <s v="SKU46"/>
    <s v="Product_46"/>
    <s v="Frozen"/>
    <n v="6"/>
    <n v="2"/>
    <n v="132.72999999999999"/>
    <n v="19.91"/>
    <n v="245.55"/>
    <n v="12.28"/>
    <n v="0"/>
    <n v="10"/>
    <n v="267.83"/>
    <s v="Delivered"/>
    <n v="35"/>
  </r>
  <r>
    <x v="847"/>
    <x v="56"/>
    <x v="1"/>
    <x v="15"/>
    <s v="Cust_247"/>
    <x v="2"/>
    <x v="4"/>
    <x v="4"/>
    <n v="394499"/>
    <x v="4"/>
    <s v="SKU47"/>
    <s v="Product_47"/>
    <s v="FRUITS "/>
    <n v="7"/>
    <n v="3"/>
    <n v="175.96"/>
    <n v="0"/>
    <n v="527.88"/>
    <n v="26.39"/>
    <n v="30"/>
    <n v="15"/>
    <n v="599.27"/>
    <s v="Cancelled"/>
    <n v="25"/>
  </r>
  <r>
    <x v="848"/>
    <x v="29"/>
    <x v="1"/>
    <x v="21"/>
    <s v="Cust_248"/>
    <x v="2"/>
    <x v="4"/>
    <x v="4"/>
    <n v="875359"/>
    <x v="4"/>
    <s v="SKU48"/>
    <s v="Product_48"/>
    <s v="bevrage"/>
    <n v="7"/>
    <n v="1"/>
    <n v="66.430000000000007"/>
    <n v="6.64"/>
    <n v="59.790000000000013"/>
    <n v="2.99"/>
    <n v="10"/>
    <n v="0"/>
    <n v="72.78"/>
    <s v="Delivered"/>
    <n v="30"/>
  </r>
  <r>
    <x v="849"/>
    <x v="34"/>
    <x v="0"/>
    <x v="24"/>
    <s v="Cust_249"/>
    <x v="0"/>
    <x v="0"/>
    <x v="4"/>
    <n v="447186"/>
    <x v="1"/>
    <s v="SKU49"/>
    <s v="Product_49"/>
    <s v="Veg"/>
    <n v="3"/>
    <n v="5"/>
    <n v="120.98"/>
    <n v="6.05"/>
    <n v="598.85"/>
    <n v="29.94"/>
    <n v="10"/>
    <n v="10"/>
    <n v="648.79000000000008"/>
    <s v="Delivered"/>
    <n v="42"/>
  </r>
  <r>
    <x v="850"/>
    <x v="21"/>
    <x v="2"/>
    <x v="18"/>
    <s v="Cust_250"/>
    <x v="2"/>
    <x v="4"/>
    <x v="4"/>
    <n v="253956"/>
    <x v="0"/>
    <s v="SKU50"/>
    <s v="Product_50"/>
    <s v="Other"/>
    <n v="5"/>
    <n v="1"/>
    <n v="68.61"/>
    <n v="0"/>
    <n v="68.61"/>
    <n v="3.43"/>
    <n v="0"/>
    <n v="5"/>
    <n v="77.040000000000006"/>
    <s v="Failed"/>
    <n v="25"/>
  </r>
  <r>
    <x v="851"/>
    <x v="25"/>
    <x v="0"/>
    <x v="20"/>
    <s v="Cust_251"/>
    <x v="2"/>
    <x v="4"/>
    <x v="4"/>
    <n v="935726"/>
    <x v="0"/>
    <s v="SKU51"/>
    <s v="Product_51"/>
    <s v="Veg"/>
    <n v="3"/>
    <n v="3"/>
    <n v="97.03"/>
    <n v="4.8499999999999996"/>
    <n v="286.24"/>
    <n v="14.31"/>
    <n v="0"/>
    <n v="10"/>
    <n v="310.55"/>
    <s v="Delivered"/>
    <n v="23"/>
  </r>
  <r>
    <x v="852"/>
    <x v="24"/>
    <x v="1"/>
    <x v="19"/>
    <s v="Cust_252"/>
    <x v="2"/>
    <x v="4"/>
    <x v="4"/>
    <n v="978260"/>
    <x v="4"/>
    <s v="SKU52"/>
    <s v="Product_52"/>
    <s v="Veg"/>
    <n v="3"/>
    <n v="4"/>
    <n v="111.95"/>
    <n v="0"/>
    <n v="447.8"/>
    <n v="22.39"/>
    <n v="20"/>
    <n v="20"/>
    <n v="510.19"/>
    <s v="Delivered"/>
    <n v="37"/>
  </r>
  <r>
    <x v="853"/>
    <x v="58"/>
    <x v="0"/>
    <x v="19"/>
    <s v="Cust_253"/>
    <x v="0"/>
    <x v="3"/>
    <x v="4"/>
    <n v="515685"/>
    <x v="6"/>
    <s v="SKU53"/>
    <s v="Product_53"/>
    <s v="Snacks"/>
    <n v="6"/>
    <n v="3"/>
    <n v="117.31"/>
    <n v="0"/>
    <n v="351.93"/>
    <n v="17.600000000000001"/>
    <n v="30"/>
    <n v="10"/>
    <n v="409.53"/>
    <s v="Delivered"/>
    <n v="26"/>
  </r>
  <r>
    <x v="854"/>
    <x v="22"/>
    <x v="0"/>
    <x v="14"/>
    <s v="Cust_254"/>
    <x v="0"/>
    <x v="1"/>
    <x v="4"/>
    <n v="596246"/>
    <x v="0"/>
    <s v="SKU54"/>
    <s v="Product_54"/>
    <s v="Snacks"/>
    <n v="6"/>
    <n v="5"/>
    <n v="31.44"/>
    <n v="0"/>
    <n v="157.19999999999999"/>
    <n v="7.86"/>
    <n v="0"/>
    <n v="15"/>
    <n v="180.06"/>
    <s v="Delivered"/>
    <n v="17"/>
  </r>
  <r>
    <x v="855"/>
    <x v="20"/>
    <x v="0"/>
    <x v="17"/>
    <s v="Cust_255"/>
    <x v="0"/>
    <x v="0"/>
    <x v="4"/>
    <n v="496456"/>
    <x v="5"/>
    <s v="SKU55"/>
    <s v="Product_55"/>
    <s v="Veg"/>
    <n v="3"/>
    <n v="7"/>
    <n v="190.91"/>
    <n v="19.09"/>
    <n v="1317.28"/>
    <n v="65.86"/>
    <n v="10"/>
    <n v="20"/>
    <n v="1413.14"/>
    <s v="Delivered"/>
    <n v="29"/>
  </r>
  <r>
    <x v="856"/>
    <x v="12"/>
    <x v="0"/>
    <x v="10"/>
    <s v="Cust_256"/>
    <x v="0"/>
    <x v="0"/>
    <x v="4"/>
    <n v="748033"/>
    <x v="3"/>
    <s v="SKU56"/>
    <s v="Product_56"/>
    <s v="Veg"/>
    <n v="3"/>
    <n v="6"/>
    <n v="160.93"/>
    <n v="16.09"/>
    <n v="949.49"/>
    <n v="47.47"/>
    <n v="30"/>
    <n v="10"/>
    <n v="1036.96"/>
    <s v="Delivered"/>
    <n v="15"/>
  </r>
  <r>
    <x v="857"/>
    <x v="46"/>
    <x v="1"/>
    <x v="25"/>
    <s v="Cust_257"/>
    <x v="1"/>
    <x v="4"/>
    <x v="4"/>
    <n v="815601"/>
    <x v="3"/>
    <s v="SKU57"/>
    <s v="Product_57"/>
    <s v="Bakery"/>
    <n v="6"/>
    <n v="2"/>
    <n v="150.81"/>
    <n v="0"/>
    <n v="301.62"/>
    <n v="15.08"/>
    <n v="30"/>
    <n v="20"/>
    <n v="366.7"/>
    <s v="Delivered"/>
    <n v="43"/>
  </r>
  <r>
    <x v="858"/>
    <x v="7"/>
    <x v="0"/>
    <x v="5"/>
    <s v="Cust_258"/>
    <x v="1"/>
    <x v="4"/>
    <x v="4"/>
    <n v="170268"/>
    <x v="4"/>
    <s v="SKU58"/>
    <s v="Product_58"/>
    <s v="Bakery"/>
    <n v="6"/>
    <n v="3"/>
    <n v="132.87"/>
    <n v="13.29"/>
    <n v="385.32"/>
    <n v="19.27"/>
    <n v="10"/>
    <n v="20"/>
    <n v="434.59"/>
    <s v="Delivered"/>
    <n v="36"/>
  </r>
  <r>
    <x v="859"/>
    <x v="18"/>
    <x v="0"/>
    <x v="15"/>
    <s v="Cust_259"/>
    <x v="0"/>
    <x v="0"/>
    <x v="4"/>
    <n v="270635"/>
    <x v="5"/>
    <s v="SKU59"/>
    <s v="Product_59"/>
    <s v="Dairy"/>
    <n v="5"/>
    <n v="6"/>
    <n v="216.38"/>
    <n v="21.64"/>
    <n v="1276.6400000000001"/>
    <n v="63.83"/>
    <n v="30"/>
    <n v="0"/>
    <n v="1370.47"/>
    <s v="Delivered"/>
    <n v="26"/>
  </r>
  <r>
    <x v="860"/>
    <x v="52"/>
    <x v="0"/>
    <x v="27"/>
    <s v="Cust_260"/>
    <x v="0"/>
    <x v="5"/>
    <x v="4"/>
    <n v="700699"/>
    <x v="5"/>
    <s v="SKU60"/>
    <s v="Product_60"/>
    <s v="bevrage"/>
    <n v="7"/>
    <n v="5"/>
    <n v="111.3"/>
    <n v="5.57"/>
    <n v="550.92999999999995"/>
    <n v="27.55"/>
    <n v="30"/>
    <n v="5"/>
    <n v="613.4799999999999"/>
    <s v="Delivered"/>
    <n v="28"/>
  </r>
  <r>
    <x v="861"/>
    <x v="57"/>
    <x v="0"/>
    <x v="18"/>
    <s v="Cust_261"/>
    <x v="0"/>
    <x v="5"/>
    <x v="4"/>
    <n v="338441"/>
    <x v="1"/>
    <s v="SKU61"/>
    <s v="Product_61"/>
    <s v="Essentials"/>
    <n v="10"/>
    <n v="1"/>
    <n v="197.76"/>
    <n v="19.78"/>
    <n v="177.98"/>
    <n v="8.9"/>
    <n v="10"/>
    <n v="10"/>
    <n v="206.88"/>
    <s v="Delivered"/>
    <n v="13"/>
  </r>
  <r>
    <x v="862"/>
    <x v="52"/>
    <x v="0"/>
    <x v="27"/>
    <s v="Cust_262"/>
    <x v="0"/>
    <x v="1"/>
    <x v="4"/>
    <n v="949649"/>
    <x v="4"/>
    <s v="SKU62"/>
    <s v="Product_62"/>
    <s v="Frozen"/>
    <n v="6"/>
    <n v="1"/>
    <n v="188.82"/>
    <n v="18.88"/>
    <n v="169.94"/>
    <n v="8.5"/>
    <n v="30"/>
    <n v="15"/>
    <n v="223.44"/>
    <s v="Delivered"/>
    <n v="16"/>
  </r>
  <r>
    <x v="863"/>
    <x v="31"/>
    <x v="0"/>
    <x v="22"/>
    <s v="Cust_263"/>
    <x v="0"/>
    <x v="3"/>
    <x v="4"/>
    <n v="473145"/>
    <x v="0"/>
    <s v="SKU63"/>
    <s v="Product_63"/>
    <s v="Veg"/>
    <n v="3"/>
    <n v="5"/>
    <n v="76.56"/>
    <n v="11.48"/>
    <n v="371.32"/>
    <n v="18.57"/>
    <n v="0"/>
    <n v="10"/>
    <n v="399.89"/>
    <s v="Delivered"/>
    <n v="23"/>
  </r>
  <r>
    <x v="864"/>
    <x v="6"/>
    <x v="1"/>
    <x v="1"/>
    <s v="Cust_264"/>
    <x v="1"/>
    <x v="4"/>
    <x v="4"/>
    <n v="797789"/>
    <x v="6"/>
    <s v="SKU64"/>
    <s v="Product_64"/>
    <s v="bevrage"/>
    <n v="7"/>
    <n v="1"/>
    <n v="104.16"/>
    <n v="15.62"/>
    <n v="88.539999999999992"/>
    <n v="4.43"/>
    <n v="10"/>
    <n v="20"/>
    <n v="122.97"/>
    <s v="Delivered"/>
    <n v="21"/>
  </r>
  <r>
    <x v="865"/>
    <x v="30"/>
    <x v="1"/>
    <x v="22"/>
    <s v="Cust_265"/>
    <x v="0"/>
    <x v="2"/>
    <x v="4"/>
    <n v="738071"/>
    <x v="5"/>
    <s v="SKU65"/>
    <s v="Product_65"/>
    <s v="FRUITS "/>
    <n v="7"/>
    <n v="5"/>
    <n v="97.69"/>
    <n v="9.77"/>
    <n v="478.68"/>
    <n v="23.93"/>
    <n v="0"/>
    <n v="5"/>
    <n v="507.61"/>
    <s v="Delivered"/>
    <n v="17"/>
  </r>
  <r>
    <x v="866"/>
    <x v="47"/>
    <x v="0"/>
    <x v="7"/>
    <s v="Cust_266"/>
    <x v="0"/>
    <x v="1"/>
    <x v="4"/>
    <n v="532184"/>
    <x v="5"/>
    <s v="SKU66"/>
    <s v="Product_66"/>
    <s v="Fruits"/>
    <n v="6"/>
    <n v="4"/>
    <n v="71.569999999999993"/>
    <n v="3.58"/>
    <n v="282.7"/>
    <n v="14.13"/>
    <n v="20"/>
    <n v="5"/>
    <n v="321.83"/>
    <s v="Delivered"/>
    <n v="7"/>
  </r>
  <r>
    <x v="867"/>
    <x v="6"/>
    <x v="1"/>
    <x v="1"/>
    <s v="Cust_267"/>
    <x v="0"/>
    <x v="0"/>
    <x v="4"/>
    <n v="231827"/>
    <x v="0"/>
    <s v="SKU67"/>
    <s v="Product_67"/>
    <s v="Veg"/>
    <n v="3"/>
    <n v="2"/>
    <n v="36.590000000000003"/>
    <n v="1.83"/>
    <n v="71.350000000000009"/>
    <n v="3.57"/>
    <n v="20"/>
    <n v="0"/>
    <n v="94.92"/>
    <s v="Delivered"/>
    <n v="26"/>
  </r>
  <r>
    <x v="868"/>
    <x v="10"/>
    <x v="1"/>
    <x v="8"/>
    <s v="Cust_268"/>
    <x v="0"/>
    <x v="0"/>
    <x v="4"/>
    <n v="222989"/>
    <x v="0"/>
    <s v="SKU68"/>
    <s v="Product_68"/>
    <s v="Dairy"/>
    <n v="5"/>
    <n v="2"/>
    <n v="155.74"/>
    <n v="15.57"/>
    <n v="295.91000000000003"/>
    <n v="14.8"/>
    <n v="30"/>
    <n v="0"/>
    <n v="340.71"/>
    <s v="Delivered"/>
    <n v="25"/>
  </r>
  <r>
    <x v="869"/>
    <x v="21"/>
    <x v="2"/>
    <x v="18"/>
    <s v="Cust_269"/>
    <x v="0"/>
    <x v="3"/>
    <x v="4"/>
    <n v="461185"/>
    <x v="2"/>
    <s v="SKU69"/>
    <s v="Product_69"/>
    <s v="Snacks"/>
    <n v="6"/>
    <n v="2"/>
    <n v="220.29"/>
    <n v="22.03"/>
    <n v="418.55"/>
    <n v="20.93"/>
    <n v="30"/>
    <n v="5"/>
    <n v="474.48"/>
    <s v="Delivered"/>
    <n v="42"/>
  </r>
  <r>
    <x v="870"/>
    <x v="35"/>
    <x v="0"/>
    <x v="25"/>
    <s v="Cust_270"/>
    <x v="0"/>
    <x v="5"/>
    <x v="4"/>
    <n v="325756"/>
    <x v="1"/>
    <s v="SKU70"/>
    <s v="Product_70"/>
    <s v="Frozen"/>
    <n v="6"/>
    <n v="2"/>
    <n v="0.66"/>
    <n v="0.1"/>
    <n v="1.22"/>
    <n v="0.06"/>
    <n v="30"/>
    <n v="5"/>
    <n v="36.28"/>
    <s v="Delivered"/>
    <n v="28"/>
  </r>
  <r>
    <x v="871"/>
    <x v="13"/>
    <x v="0"/>
    <x v="11"/>
    <s v="Cust_271"/>
    <x v="0"/>
    <x v="5"/>
    <x v="4"/>
    <n v="972882"/>
    <x v="0"/>
    <s v="SKU71"/>
    <s v="Product_71"/>
    <s v="Other"/>
    <n v="5"/>
    <n v="3"/>
    <n v="54.37"/>
    <n v="8.16"/>
    <n v="154.94999999999999"/>
    <n v="7.75"/>
    <n v="20"/>
    <n v="15"/>
    <n v="197.7"/>
    <s v="Cancelled"/>
    <n v="25"/>
  </r>
  <r>
    <x v="872"/>
    <x v="44"/>
    <x v="0"/>
    <x v="26"/>
    <s v="Cust_272"/>
    <x v="0"/>
    <x v="5"/>
    <x v="4"/>
    <n v="534352"/>
    <x v="2"/>
    <s v="SKU72"/>
    <s v="Product_72"/>
    <s v="Fruits"/>
    <n v="6"/>
    <n v="4"/>
    <n v="93.91"/>
    <n v="0"/>
    <n v="375.64"/>
    <n v="18.78"/>
    <n v="30"/>
    <n v="20"/>
    <n v="444.42"/>
    <s v="Delivered"/>
    <n v="29"/>
  </r>
  <r>
    <x v="873"/>
    <x v="8"/>
    <x v="1"/>
    <x v="6"/>
    <s v="Cust_273"/>
    <x v="0"/>
    <x v="5"/>
    <x v="4"/>
    <n v="597873"/>
    <x v="0"/>
    <s v="SKU73"/>
    <s v="Product_73"/>
    <s v="FRUITS "/>
    <n v="7"/>
    <n v="6"/>
    <n v="143.88"/>
    <n v="7.19"/>
    <n v="856.08999999999992"/>
    <n v="42.8"/>
    <n v="20"/>
    <n v="20"/>
    <n v="938.88999999999987"/>
    <s v="Delivered"/>
    <n v="36"/>
  </r>
  <r>
    <x v="874"/>
    <x v="43"/>
    <x v="1"/>
    <x v="23"/>
    <s v="Cust_274"/>
    <x v="0"/>
    <x v="3"/>
    <x v="4"/>
    <n v="149156"/>
    <x v="1"/>
    <s v="SKU74"/>
    <s v="Product_74"/>
    <s v="FRUITS "/>
    <n v="7"/>
    <n v="1"/>
    <n v="96.42"/>
    <n v="14.46"/>
    <n v="81.960000000000008"/>
    <n v="4.0999999999999996"/>
    <n v="0"/>
    <n v="0"/>
    <n v="86.06"/>
    <s v="Returned"/>
    <n v="25"/>
  </r>
  <r>
    <x v="875"/>
    <x v="34"/>
    <x v="0"/>
    <x v="24"/>
    <s v="Cust_275"/>
    <x v="1"/>
    <x v="4"/>
    <x v="4"/>
    <n v="684570"/>
    <x v="4"/>
    <s v="SKU75"/>
    <s v="Product_75"/>
    <s v="DIARY"/>
    <n v="5"/>
    <n v="5"/>
    <n v="129.58000000000001"/>
    <n v="6.48"/>
    <n v="641.42000000000007"/>
    <n v="32.07"/>
    <n v="0"/>
    <n v="10"/>
    <n v="683.49000000000012"/>
    <s v="Returned"/>
    <n v="25"/>
  </r>
  <r>
    <x v="876"/>
    <x v="38"/>
    <x v="1"/>
    <x v="20"/>
    <s v="Cust_276"/>
    <x v="0"/>
    <x v="5"/>
    <x v="4"/>
    <n v="782954"/>
    <x v="6"/>
    <s v="SKU76"/>
    <s v="Product_76"/>
    <s v="Baby"/>
    <n v="4"/>
    <n v="4"/>
    <n v="145.76"/>
    <n v="14.58"/>
    <n v="568.45999999999992"/>
    <n v="28.42"/>
    <n v="30"/>
    <n v="5"/>
    <n v="631.87999999999988"/>
    <s v="Failed"/>
    <n v="25"/>
  </r>
  <r>
    <x v="877"/>
    <x v="31"/>
    <x v="0"/>
    <x v="22"/>
    <s v="Cust_277"/>
    <x v="0"/>
    <x v="3"/>
    <x v="4"/>
    <n v="137860"/>
    <x v="2"/>
    <s v="SKU77"/>
    <s v="Product_77"/>
    <s v="Bakery"/>
    <n v="6"/>
    <n v="3"/>
    <n v="112.53"/>
    <n v="16.88"/>
    <n v="320.70999999999998"/>
    <n v="16.04"/>
    <n v="30"/>
    <n v="15"/>
    <n v="381.75000000000011"/>
    <s v="Delivered"/>
    <n v="19"/>
  </r>
  <r>
    <x v="878"/>
    <x v="53"/>
    <x v="0"/>
    <x v="29"/>
    <s v="Cust_278"/>
    <x v="0"/>
    <x v="2"/>
    <x v="4"/>
    <n v="695983"/>
    <x v="5"/>
    <s v="SKU78"/>
    <s v="Product_78"/>
    <s v="Essentials"/>
    <n v="10"/>
    <n v="6"/>
    <n v="100.68"/>
    <n v="15.1"/>
    <n v="588.98"/>
    <n v="29.45"/>
    <n v="0"/>
    <n v="5"/>
    <n v="623.43000000000006"/>
    <s v="Delivered"/>
    <n v="21"/>
  </r>
  <r>
    <x v="879"/>
    <x v="25"/>
    <x v="0"/>
    <x v="20"/>
    <s v="Cust_279"/>
    <x v="0"/>
    <x v="1"/>
    <x v="4"/>
    <n v="105636"/>
    <x v="5"/>
    <s v="SKU79"/>
    <s v="Product_79"/>
    <s v="Dairy"/>
    <n v="5"/>
    <n v="7"/>
    <n v="137.83000000000001"/>
    <n v="6.89"/>
    <n v="957.92000000000007"/>
    <n v="47.9"/>
    <n v="30"/>
    <n v="10"/>
    <n v="1045.82"/>
    <s v="Delivered"/>
    <n v="41"/>
  </r>
  <r>
    <x v="880"/>
    <x v="40"/>
    <x v="1"/>
    <x v="27"/>
    <s v="Cust_280"/>
    <x v="0"/>
    <x v="2"/>
    <x v="4"/>
    <n v="678921"/>
    <x v="0"/>
    <s v="SKU80"/>
    <s v="Product_80"/>
    <s v="Frozen"/>
    <n v="6"/>
    <n v="2"/>
    <n v="119.09"/>
    <n v="17.86"/>
    <n v="220.32"/>
    <n v="11.02"/>
    <n v="30"/>
    <n v="0"/>
    <n v="261.33999999999997"/>
    <s v="Delivered"/>
    <n v="16"/>
  </r>
  <r>
    <x v="881"/>
    <x v="3"/>
    <x v="1"/>
    <x v="3"/>
    <s v="Cust_281"/>
    <x v="0"/>
    <x v="2"/>
    <x v="4"/>
    <n v="766978"/>
    <x v="5"/>
    <s v="SKU81"/>
    <s v="Product_81"/>
    <s v="Veg"/>
    <n v="3"/>
    <n v="1"/>
    <n v="122.54"/>
    <n v="6.13"/>
    <n v="116.41"/>
    <n v="5.82"/>
    <n v="10"/>
    <n v="20"/>
    <n v="152.22999999999999"/>
    <s v="Delivered"/>
    <n v="30"/>
  </r>
  <r>
    <x v="882"/>
    <x v="50"/>
    <x v="1"/>
    <x v="30"/>
    <s v="Cust_282"/>
    <x v="0"/>
    <x v="2"/>
    <x v="4"/>
    <n v="816825"/>
    <x v="1"/>
    <s v="SKU82"/>
    <s v="Product_82"/>
    <s v="Dairy"/>
    <n v="5"/>
    <n v="1"/>
    <n v="111.21"/>
    <n v="16.68"/>
    <n v="94.53"/>
    <n v="4.7300000000000004"/>
    <n v="30"/>
    <n v="5"/>
    <n v="134.26"/>
    <s v="Delivered"/>
    <n v="34"/>
  </r>
  <r>
    <x v="883"/>
    <x v="54"/>
    <x v="1"/>
    <x v="18"/>
    <s v="Cust_283"/>
    <x v="0"/>
    <x v="1"/>
    <x v="4"/>
    <n v="535686"/>
    <x v="1"/>
    <s v="SKU83"/>
    <s v="Product_83"/>
    <s v="FRUITS "/>
    <n v="7"/>
    <n v="3"/>
    <n v="159.03"/>
    <n v="0"/>
    <n v="477.09"/>
    <n v="23.85"/>
    <n v="20"/>
    <n v="10"/>
    <n v="530.94000000000005"/>
    <s v="Delivered"/>
    <n v="29"/>
  </r>
  <r>
    <x v="884"/>
    <x v="12"/>
    <x v="0"/>
    <x v="10"/>
    <s v="Cust_284"/>
    <x v="0"/>
    <x v="0"/>
    <x v="4"/>
    <n v="244233"/>
    <x v="3"/>
    <s v="SKU84"/>
    <s v="Product_84"/>
    <s v="Bakery"/>
    <n v="6"/>
    <n v="6"/>
    <n v="115.65"/>
    <n v="5.78"/>
    <n v="688.12000000000012"/>
    <n v="34.409999999999997"/>
    <n v="30"/>
    <n v="5"/>
    <n v="757.53000000000009"/>
    <s v="Failed"/>
    <n v="25"/>
  </r>
  <r>
    <x v="885"/>
    <x v="47"/>
    <x v="0"/>
    <x v="7"/>
    <s v="Cust_285"/>
    <x v="0"/>
    <x v="5"/>
    <x v="4"/>
    <n v="321439"/>
    <x v="5"/>
    <s v="SKU85"/>
    <s v="Product_85"/>
    <s v="Essentials"/>
    <n v="10"/>
    <n v="1"/>
    <n v="75.64"/>
    <n v="11.35"/>
    <n v="64.290000000000006"/>
    <n v="3.21"/>
    <n v="0"/>
    <n v="10"/>
    <n v="77.5"/>
    <s v="Delivered"/>
    <n v="19"/>
  </r>
  <r>
    <x v="886"/>
    <x v="47"/>
    <x v="0"/>
    <x v="7"/>
    <s v="Cust_286"/>
    <x v="0"/>
    <x v="3"/>
    <x v="4"/>
    <n v="497595"/>
    <x v="1"/>
    <s v="SKU86"/>
    <s v="Product_86"/>
    <s v="Beverages"/>
    <n v="9"/>
    <n v="3"/>
    <n v="141.71"/>
    <n v="0"/>
    <n v="425.13"/>
    <n v="21.26"/>
    <n v="30"/>
    <n v="20"/>
    <n v="496.39"/>
    <s v="Delivered"/>
    <n v="35"/>
  </r>
  <r>
    <x v="887"/>
    <x v="15"/>
    <x v="1"/>
    <x v="13"/>
    <s v="Cust_287"/>
    <x v="0"/>
    <x v="0"/>
    <x v="4"/>
    <n v="445452"/>
    <x v="2"/>
    <s v="SKU87"/>
    <s v="Product_87"/>
    <s v="Fruits"/>
    <n v="6"/>
    <n v="3"/>
    <n v="39.229999999999997"/>
    <n v="3.92"/>
    <n v="113.77"/>
    <n v="5.69"/>
    <n v="20"/>
    <n v="10"/>
    <n v="149.46"/>
    <s v="Delivered"/>
    <n v="33"/>
  </r>
  <r>
    <x v="888"/>
    <x v="30"/>
    <x v="1"/>
    <x v="22"/>
    <s v="Cust_288"/>
    <x v="0"/>
    <x v="2"/>
    <x v="4"/>
    <n v="862277"/>
    <x v="1"/>
    <s v="SKU88"/>
    <s v="Product_88"/>
    <s v="Baby"/>
    <n v="4"/>
    <n v="2"/>
    <n v="152.26"/>
    <n v="7.61"/>
    <n v="296.91000000000003"/>
    <n v="14.85"/>
    <n v="20"/>
    <n v="20"/>
    <n v="351.76"/>
    <s v="Delivered"/>
    <n v="29"/>
  </r>
  <r>
    <x v="889"/>
    <x v="9"/>
    <x v="1"/>
    <x v="7"/>
    <s v="Cust_289"/>
    <x v="1"/>
    <x v="4"/>
    <x v="4"/>
    <n v="974802"/>
    <x v="1"/>
    <s v="SKU89"/>
    <s v="Product_89"/>
    <s v="Snacks"/>
    <n v="6"/>
    <n v="1"/>
    <n v="104.91"/>
    <n v="0"/>
    <n v="104.91"/>
    <n v="5.25"/>
    <n v="20"/>
    <n v="0"/>
    <n v="130.16"/>
    <s v="Cancelled"/>
    <n v="25"/>
  </r>
  <r>
    <x v="890"/>
    <x v="34"/>
    <x v="0"/>
    <x v="24"/>
    <s v="Cust_290"/>
    <x v="0"/>
    <x v="1"/>
    <x v="4"/>
    <n v="118830"/>
    <x v="4"/>
    <s v="SKU90"/>
    <s v="Product_90"/>
    <s v="Veg"/>
    <n v="3"/>
    <n v="7"/>
    <n v="154.22999999999999"/>
    <n v="7.71"/>
    <n v="1071.9000000000001"/>
    <n v="53.59"/>
    <n v="20"/>
    <n v="15"/>
    <n v="1160.49"/>
    <s v="Failed"/>
    <n v="25"/>
  </r>
  <r>
    <x v="891"/>
    <x v="10"/>
    <x v="1"/>
    <x v="8"/>
    <s v="Cust_291"/>
    <x v="0"/>
    <x v="3"/>
    <x v="4"/>
    <n v="103681"/>
    <x v="3"/>
    <s v="SKU91"/>
    <s v="Product_91"/>
    <s v="Other"/>
    <n v="5"/>
    <n v="4"/>
    <n v="7.4"/>
    <n v="0.37"/>
    <n v="29.23"/>
    <n v="1.46"/>
    <n v="20"/>
    <n v="10"/>
    <n v="60.69"/>
    <s v="Delivered"/>
    <n v="26"/>
  </r>
  <r>
    <x v="892"/>
    <x v="23"/>
    <x v="1"/>
    <x v="4"/>
    <s v="Cust_292"/>
    <x v="0"/>
    <x v="1"/>
    <x v="4"/>
    <n v="193246"/>
    <x v="5"/>
    <s v="SKU92"/>
    <s v="Product_92"/>
    <s v="Essentials"/>
    <n v="10"/>
    <n v="3"/>
    <n v="122.96"/>
    <n v="18.440000000000001"/>
    <n v="350.44"/>
    <n v="17.52"/>
    <n v="10"/>
    <n v="0"/>
    <n v="377.96"/>
    <s v="Delivered"/>
    <n v="32"/>
  </r>
  <r>
    <x v="893"/>
    <x v="49"/>
    <x v="1"/>
    <x v="29"/>
    <s v="Cust_293"/>
    <x v="0"/>
    <x v="2"/>
    <x v="4"/>
    <n v="345160"/>
    <x v="4"/>
    <s v="SKU93"/>
    <s v="Product_93"/>
    <s v="Beverages"/>
    <n v="9"/>
    <n v="4"/>
    <n v="152.61000000000001"/>
    <n v="0"/>
    <n v="610.44000000000005"/>
    <n v="30.52"/>
    <n v="10"/>
    <n v="15"/>
    <n v="665.96"/>
    <s v="Delivered"/>
    <n v="45"/>
  </r>
  <r>
    <x v="894"/>
    <x v="57"/>
    <x v="0"/>
    <x v="18"/>
    <s v="Cust_294"/>
    <x v="0"/>
    <x v="1"/>
    <x v="4"/>
    <n v="320326"/>
    <x v="0"/>
    <s v="SKU94"/>
    <s v="Product_94"/>
    <s v="Dairy"/>
    <n v="5"/>
    <n v="5"/>
    <n v="207.48"/>
    <n v="20.75"/>
    <n v="1016.65"/>
    <n v="50.83"/>
    <n v="30"/>
    <n v="0"/>
    <n v="1097.48"/>
    <s v="Delivered"/>
    <n v="10"/>
  </r>
  <r>
    <x v="895"/>
    <x v="30"/>
    <x v="1"/>
    <x v="22"/>
    <s v="Cust_295"/>
    <x v="0"/>
    <x v="5"/>
    <x v="4"/>
    <n v="180730"/>
    <x v="5"/>
    <s v="SKU95"/>
    <s v="Product_95"/>
    <s v="snaks"/>
    <n v="5"/>
    <n v="3"/>
    <n v="131.49"/>
    <n v="13.15"/>
    <n v="381.32000000000011"/>
    <n v="19.07"/>
    <n v="10"/>
    <n v="15"/>
    <n v="425.39"/>
    <s v="Delivered"/>
    <n v="16"/>
  </r>
  <r>
    <x v="896"/>
    <x v="5"/>
    <x v="1"/>
    <x v="0"/>
    <s v="Cust_296"/>
    <x v="0"/>
    <x v="5"/>
    <x v="4"/>
    <n v="909253"/>
    <x v="4"/>
    <s v="SKU96"/>
    <s v="Product_96"/>
    <s v="Veg"/>
    <n v="3"/>
    <n v="4"/>
    <n v="186.97"/>
    <n v="9.35"/>
    <n v="738.53"/>
    <n v="36.93"/>
    <n v="0"/>
    <n v="5"/>
    <n v="780.45999999999992"/>
    <s v="Delivered"/>
    <n v="40"/>
  </r>
  <r>
    <x v="897"/>
    <x v="20"/>
    <x v="0"/>
    <x v="17"/>
    <s v="Cust_297"/>
    <x v="0"/>
    <x v="5"/>
    <x v="4"/>
    <n v="223777"/>
    <x v="0"/>
    <s v="SKU97"/>
    <s v="Product_97"/>
    <s v="Dairy"/>
    <n v="5"/>
    <n v="9"/>
    <n v="52.59"/>
    <n v="0"/>
    <n v="473.31000000000012"/>
    <n v="23.67"/>
    <n v="30"/>
    <n v="20"/>
    <n v="546.98"/>
    <s v="Cancelled"/>
    <n v="25"/>
  </r>
  <r>
    <x v="898"/>
    <x v="23"/>
    <x v="1"/>
    <x v="4"/>
    <s v="Cust_298"/>
    <x v="2"/>
    <x v="4"/>
    <x v="4"/>
    <n v="726614"/>
    <x v="0"/>
    <s v="SKU98"/>
    <s v="Product_98"/>
    <s v="Beverages"/>
    <n v="9"/>
    <n v="1"/>
    <n v="125.41"/>
    <n v="18.809999999999999"/>
    <n v="106.6"/>
    <n v="5.33"/>
    <n v="30"/>
    <n v="10"/>
    <n v="151.93"/>
    <s v="Delivered"/>
    <n v="33"/>
  </r>
  <r>
    <x v="899"/>
    <x v="11"/>
    <x v="1"/>
    <x v="9"/>
    <s v="Cust_299"/>
    <x v="0"/>
    <x v="3"/>
    <x v="4"/>
    <n v="196952"/>
    <x v="0"/>
    <s v="SKU99"/>
    <s v="Product_99"/>
    <s v="Bakery"/>
    <n v="6"/>
    <n v="1"/>
    <n v="235.41"/>
    <n v="0"/>
    <n v="235.41"/>
    <n v="11.77"/>
    <n v="0"/>
    <n v="0"/>
    <n v="247.18"/>
    <s v="Delivered"/>
    <n v="17"/>
  </r>
  <r>
    <x v="900"/>
    <x v="29"/>
    <x v="1"/>
    <x v="21"/>
    <s v="Cust_0"/>
    <x v="0"/>
    <x v="3"/>
    <x v="4"/>
    <n v="623165"/>
    <x v="5"/>
    <s v="SKU100"/>
    <s v="Product_100"/>
    <s v="FRUITS "/>
    <n v="7"/>
    <n v="3"/>
    <n v="17.87"/>
    <n v="0.89"/>
    <n v="52.72"/>
    <n v="2.64"/>
    <n v="10"/>
    <n v="10"/>
    <n v="75.36"/>
    <s v="Delivered"/>
    <n v="9"/>
  </r>
  <r>
    <x v="901"/>
    <x v="12"/>
    <x v="0"/>
    <x v="10"/>
    <s v="Cust_1"/>
    <x v="0"/>
    <x v="5"/>
    <x v="4"/>
    <n v="711796"/>
    <x v="0"/>
    <s v="SKU101"/>
    <s v="Product_101"/>
    <s v="Essentials"/>
    <n v="10"/>
    <n v="1"/>
    <n v="4.67"/>
    <n v="0.23"/>
    <n v="4.4400000000000004"/>
    <n v="0.22"/>
    <n v="20"/>
    <n v="15"/>
    <n v="39.659999999999997"/>
    <s v="Delivered"/>
    <n v="21"/>
  </r>
  <r>
    <x v="902"/>
    <x v="5"/>
    <x v="1"/>
    <x v="0"/>
    <s v="Cust_2"/>
    <x v="2"/>
    <x v="4"/>
    <x v="4"/>
    <n v="930547"/>
    <x v="0"/>
    <s v="SKU102"/>
    <s v="Product_102"/>
    <s v="DIARY"/>
    <n v="5"/>
    <n v="3"/>
    <n v="103.78"/>
    <n v="0"/>
    <n v="311.33999999999997"/>
    <n v="15.57"/>
    <n v="0"/>
    <n v="10"/>
    <n v="336.91"/>
    <s v="Delivered"/>
    <n v="23"/>
  </r>
  <r>
    <x v="903"/>
    <x v="7"/>
    <x v="0"/>
    <x v="5"/>
    <s v="Cust_3"/>
    <x v="0"/>
    <x v="0"/>
    <x v="4"/>
    <n v="923628"/>
    <x v="6"/>
    <s v="SKU103"/>
    <s v="Product_103"/>
    <s v="Baby"/>
    <n v="4"/>
    <n v="2"/>
    <n v="121.08"/>
    <n v="12.11"/>
    <n v="230.05"/>
    <n v="11.5"/>
    <n v="30"/>
    <n v="15"/>
    <n v="286.55"/>
    <s v="Delivered"/>
    <n v="29"/>
  </r>
  <r>
    <x v="904"/>
    <x v="29"/>
    <x v="1"/>
    <x v="21"/>
    <s v="Cust_4"/>
    <x v="0"/>
    <x v="2"/>
    <x v="4"/>
    <n v="808669"/>
    <x v="0"/>
    <s v="SKU104"/>
    <s v="Product_104"/>
    <s v="FRUITS "/>
    <n v="7"/>
    <n v="2"/>
    <n v="24.26"/>
    <n v="2.4300000000000002"/>
    <n v="46.09"/>
    <n v="2.2999999999999998"/>
    <n v="30"/>
    <n v="15"/>
    <n v="93.39"/>
    <s v="Delivered"/>
    <n v="32"/>
  </r>
  <r>
    <x v="905"/>
    <x v="13"/>
    <x v="0"/>
    <x v="11"/>
    <s v="Cust_5"/>
    <x v="0"/>
    <x v="1"/>
    <x v="4"/>
    <n v="827467"/>
    <x v="0"/>
    <s v="SKU105"/>
    <s v="Product_105"/>
    <s v="FRUITS "/>
    <n v="7"/>
    <n v="4"/>
    <n v="90.7"/>
    <n v="13.61"/>
    <n v="349.19"/>
    <n v="17.46"/>
    <n v="10"/>
    <n v="0"/>
    <n v="376.65"/>
    <s v="Delivered"/>
    <n v="31"/>
  </r>
  <r>
    <x v="906"/>
    <x v="42"/>
    <x v="1"/>
    <x v="24"/>
    <s v="Cust_6"/>
    <x v="0"/>
    <x v="0"/>
    <x v="4"/>
    <n v="139236"/>
    <x v="4"/>
    <s v="SKU106"/>
    <s v="Product_106"/>
    <s v="Snacks"/>
    <n v="6"/>
    <n v="2"/>
    <n v="187.19"/>
    <n v="18.72"/>
    <n v="355.66"/>
    <n v="17.78"/>
    <n v="30"/>
    <n v="5"/>
    <n v="408.43999999999988"/>
    <s v="Delivered"/>
    <n v="15"/>
  </r>
  <r>
    <x v="907"/>
    <x v="5"/>
    <x v="1"/>
    <x v="0"/>
    <s v="Cust_7"/>
    <x v="0"/>
    <x v="2"/>
    <x v="4"/>
    <n v="396379"/>
    <x v="0"/>
    <s v="SKU107"/>
    <s v="Product_107"/>
    <s v="Beverages"/>
    <n v="9"/>
    <n v="3"/>
    <n v="33.479999999999997"/>
    <n v="1.67"/>
    <n v="98.77"/>
    <n v="4.9400000000000004"/>
    <n v="30"/>
    <n v="10"/>
    <n v="143.71"/>
    <s v="Delivered"/>
    <n v="6"/>
  </r>
  <r>
    <x v="908"/>
    <x v="7"/>
    <x v="0"/>
    <x v="5"/>
    <s v="Cust_8"/>
    <x v="0"/>
    <x v="3"/>
    <x v="4"/>
    <n v="472454"/>
    <x v="0"/>
    <s v="SKU108"/>
    <s v="Product_108"/>
    <s v="DIARY"/>
    <n v="5"/>
    <n v="3"/>
    <n v="225.04"/>
    <n v="33.76"/>
    <n v="641.36"/>
    <n v="32.07"/>
    <n v="30"/>
    <n v="0"/>
    <n v="703.43000000000006"/>
    <s v="Delivered"/>
    <n v="20"/>
  </r>
  <r>
    <x v="909"/>
    <x v="21"/>
    <x v="2"/>
    <x v="18"/>
    <s v="Cust_9"/>
    <x v="0"/>
    <x v="5"/>
    <x v="4"/>
    <n v="889948"/>
    <x v="1"/>
    <s v="SKU109"/>
    <s v="Product_109"/>
    <s v="bevrage"/>
    <n v="7"/>
    <n v="4"/>
    <n v="88.94"/>
    <n v="0"/>
    <n v="355.76"/>
    <n v="17.79"/>
    <n v="10"/>
    <n v="0"/>
    <n v="383.55"/>
    <s v="Delivered"/>
    <n v="24"/>
  </r>
  <r>
    <x v="910"/>
    <x v="41"/>
    <x v="0"/>
    <x v="6"/>
    <s v="Cust_10"/>
    <x v="0"/>
    <x v="1"/>
    <x v="4"/>
    <n v="332931"/>
    <x v="0"/>
    <s v="SKU110"/>
    <s v="Product_110"/>
    <s v="snaks"/>
    <n v="5"/>
    <n v="6"/>
    <n v="230.63"/>
    <n v="23.06"/>
    <n v="1360.72"/>
    <n v="68.040000000000006"/>
    <n v="0"/>
    <n v="20"/>
    <n v="1448.76"/>
    <s v="Delivered"/>
    <n v="37"/>
  </r>
  <r>
    <x v="911"/>
    <x v="29"/>
    <x v="1"/>
    <x v="21"/>
    <s v="Cust_11"/>
    <x v="0"/>
    <x v="5"/>
    <x v="4"/>
    <n v="411741"/>
    <x v="3"/>
    <s v="SKU111"/>
    <s v="Product_111"/>
    <s v="Snacks"/>
    <n v="6"/>
    <n v="1"/>
    <n v="102.71"/>
    <n v="15.41"/>
    <n v="87.3"/>
    <n v="4.37"/>
    <n v="0"/>
    <n v="10"/>
    <n v="101.67"/>
    <s v="Delivered"/>
    <n v="29"/>
  </r>
  <r>
    <x v="912"/>
    <x v="29"/>
    <x v="1"/>
    <x v="21"/>
    <s v="Cust_12"/>
    <x v="0"/>
    <x v="2"/>
    <x v="4"/>
    <n v="847320"/>
    <x v="0"/>
    <s v="SKU112"/>
    <s v="Product_112"/>
    <s v="Fruits"/>
    <n v="6"/>
    <n v="3"/>
    <n v="180.97"/>
    <n v="9.0500000000000007"/>
    <n v="533.86"/>
    <n v="26.69"/>
    <n v="30"/>
    <n v="10"/>
    <n v="600.55000000000007"/>
    <s v="Delivered"/>
    <n v="36"/>
  </r>
  <r>
    <x v="913"/>
    <x v="35"/>
    <x v="0"/>
    <x v="25"/>
    <s v="Cust_13"/>
    <x v="0"/>
    <x v="3"/>
    <x v="4"/>
    <n v="354043"/>
    <x v="0"/>
    <s v="SKU113"/>
    <s v="Product_113"/>
    <s v="Other"/>
    <n v="5"/>
    <n v="3"/>
    <n v="50.93"/>
    <n v="5.09"/>
    <n v="147.69999999999999"/>
    <n v="7.38"/>
    <n v="10"/>
    <n v="5"/>
    <n v="170.08"/>
    <s v="Delivered"/>
    <n v="3"/>
  </r>
  <r>
    <x v="914"/>
    <x v="53"/>
    <x v="0"/>
    <x v="29"/>
    <s v="Cust_14"/>
    <x v="0"/>
    <x v="1"/>
    <x v="4"/>
    <n v="445876"/>
    <x v="5"/>
    <s v="SKU114"/>
    <s v="Product_114"/>
    <s v="Frozen"/>
    <n v="6"/>
    <n v="1"/>
    <n v="88.12"/>
    <n v="13.22"/>
    <n v="74.900000000000006"/>
    <n v="3.75"/>
    <n v="10"/>
    <n v="20"/>
    <n v="108.65"/>
    <s v="Delivered"/>
    <n v="33"/>
  </r>
  <r>
    <x v="915"/>
    <x v="13"/>
    <x v="0"/>
    <x v="11"/>
    <s v="Cust_15"/>
    <x v="0"/>
    <x v="1"/>
    <x v="4"/>
    <n v="784050"/>
    <x v="0"/>
    <s v="SKU115"/>
    <s v="Product_115"/>
    <s v="Veg"/>
    <n v="3"/>
    <n v="2"/>
    <n v="56.18"/>
    <n v="8.43"/>
    <n v="103.93"/>
    <n v="5.2"/>
    <n v="10"/>
    <n v="10"/>
    <n v="129.13"/>
    <s v="Delivered"/>
    <n v="18"/>
  </r>
  <r>
    <x v="916"/>
    <x v="26"/>
    <x v="1"/>
    <x v="5"/>
    <s v="Cust_16"/>
    <x v="0"/>
    <x v="3"/>
    <x v="4"/>
    <n v="280775"/>
    <x v="4"/>
    <s v="SKU116"/>
    <s v="Product_116"/>
    <s v="Veg"/>
    <n v="3"/>
    <n v="3"/>
    <n v="95.06"/>
    <n v="0"/>
    <n v="285.18"/>
    <n v="14.26"/>
    <n v="0"/>
    <n v="20"/>
    <n v="319.44"/>
    <s v="Cancelled"/>
    <n v="25"/>
  </r>
  <r>
    <x v="917"/>
    <x v="47"/>
    <x v="0"/>
    <x v="7"/>
    <s v="Cust_17"/>
    <x v="1"/>
    <x v="4"/>
    <x v="4"/>
    <n v="646774"/>
    <x v="5"/>
    <s v="SKU117"/>
    <s v="Product_117"/>
    <s v="bevrage"/>
    <n v="7"/>
    <n v="3"/>
    <n v="220.26"/>
    <n v="11.01"/>
    <n v="649.77"/>
    <n v="32.49"/>
    <n v="30"/>
    <n v="10"/>
    <n v="722.26"/>
    <s v="Delivered"/>
    <n v="17"/>
  </r>
  <r>
    <x v="918"/>
    <x v="45"/>
    <x v="1"/>
    <x v="28"/>
    <s v="Cust_18"/>
    <x v="0"/>
    <x v="5"/>
    <x v="4"/>
    <n v="836854"/>
    <x v="1"/>
    <s v="SKU118"/>
    <s v="Product_118"/>
    <s v="bevrage"/>
    <n v="7"/>
    <n v="3"/>
    <n v="184"/>
    <n v="0"/>
    <n v="552"/>
    <n v="27.6"/>
    <n v="20"/>
    <n v="5"/>
    <n v="604.6"/>
    <s v="Delivered"/>
    <n v="21"/>
  </r>
  <r>
    <x v="919"/>
    <x v="37"/>
    <x v="1"/>
    <x v="12"/>
    <s v="Cust_19"/>
    <x v="0"/>
    <x v="5"/>
    <x v="4"/>
    <n v="647026"/>
    <x v="3"/>
    <s v="SKU119"/>
    <s v="Product_119"/>
    <s v="Essentials"/>
    <n v="10"/>
    <n v="2"/>
    <n v="144.69"/>
    <n v="14.47"/>
    <n v="274.91000000000003"/>
    <n v="13.75"/>
    <n v="10"/>
    <n v="0"/>
    <n v="298.66000000000003"/>
    <s v="Returned"/>
    <n v="25"/>
  </r>
  <r>
    <x v="920"/>
    <x v="22"/>
    <x v="0"/>
    <x v="14"/>
    <s v="Cust_20"/>
    <x v="1"/>
    <x v="4"/>
    <x v="4"/>
    <n v="256688"/>
    <x v="0"/>
    <s v="SKU120"/>
    <s v="Product_120"/>
    <s v="Frozen"/>
    <n v="6"/>
    <n v="4"/>
    <n v="68.319999999999993"/>
    <n v="10.25"/>
    <n v="263.02999999999997"/>
    <n v="13.15"/>
    <n v="30"/>
    <n v="15"/>
    <n v="321.17999999999989"/>
    <s v="Delivered"/>
    <n v="21"/>
  </r>
  <r>
    <x v="921"/>
    <x v="12"/>
    <x v="0"/>
    <x v="10"/>
    <s v="Cust_21"/>
    <x v="0"/>
    <x v="2"/>
    <x v="4"/>
    <n v="262403"/>
    <x v="0"/>
    <s v="SKU121"/>
    <s v="Product_121"/>
    <s v="Veg"/>
    <n v="3"/>
    <n v="1"/>
    <n v="242.97"/>
    <n v="0"/>
    <n v="242.97"/>
    <n v="12.15"/>
    <n v="30"/>
    <n v="20"/>
    <n v="305.12"/>
    <s v="Delivered"/>
    <n v="22"/>
  </r>
  <r>
    <x v="922"/>
    <x v="43"/>
    <x v="1"/>
    <x v="23"/>
    <s v="Cust_22"/>
    <x v="0"/>
    <x v="5"/>
    <x v="4"/>
    <n v="617200"/>
    <x v="0"/>
    <s v="SKU122"/>
    <s v="Product_122"/>
    <s v="Other"/>
    <n v="5"/>
    <n v="1"/>
    <n v="85.44"/>
    <n v="4.2699999999999996"/>
    <n v="81.17"/>
    <n v="4.0599999999999996"/>
    <n v="0"/>
    <n v="10"/>
    <n v="95.23"/>
    <s v="Delivered"/>
    <n v="12"/>
  </r>
  <r>
    <x v="923"/>
    <x v="56"/>
    <x v="1"/>
    <x v="15"/>
    <s v="Cust_23"/>
    <x v="0"/>
    <x v="2"/>
    <x v="4"/>
    <n v="268733"/>
    <x v="0"/>
    <s v="SKU123"/>
    <s v="Product_123"/>
    <s v="Other"/>
    <n v="5"/>
    <n v="1"/>
    <n v="22.73"/>
    <n v="1.1399999999999999"/>
    <n v="21.59"/>
    <n v="1.08"/>
    <n v="30"/>
    <n v="5"/>
    <n v="57.67"/>
    <s v="Delivered"/>
    <n v="21"/>
  </r>
  <r>
    <x v="924"/>
    <x v="29"/>
    <x v="1"/>
    <x v="21"/>
    <s v="Cust_24"/>
    <x v="0"/>
    <x v="2"/>
    <x v="4"/>
    <n v="250862"/>
    <x v="2"/>
    <s v="SKU124"/>
    <s v="Product_124"/>
    <s v="Veg"/>
    <n v="3"/>
    <n v="2"/>
    <n v="101.66"/>
    <n v="0"/>
    <n v="203.32"/>
    <n v="10.17"/>
    <n v="30"/>
    <n v="15"/>
    <n v="258.49"/>
    <s v="Delivered"/>
    <n v="28"/>
  </r>
  <r>
    <x v="925"/>
    <x v="51"/>
    <x v="0"/>
    <x v="28"/>
    <s v="Cust_25"/>
    <x v="0"/>
    <x v="1"/>
    <x v="4"/>
    <n v="805611"/>
    <x v="0"/>
    <s v="SKU125"/>
    <s v="Product_125"/>
    <s v="Frozen"/>
    <n v="6"/>
    <n v="3"/>
    <n v="116.47"/>
    <n v="17.47"/>
    <n v="331.93999999999988"/>
    <n v="16.600000000000001"/>
    <n v="30"/>
    <n v="10"/>
    <n v="388.54"/>
    <s v="Delivered"/>
    <n v="19"/>
  </r>
  <r>
    <x v="926"/>
    <x v="2"/>
    <x v="1"/>
    <x v="2"/>
    <s v="Cust_26"/>
    <x v="0"/>
    <x v="2"/>
    <x v="4"/>
    <n v="565536"/>
    <x v="1"/>
    <s v="SKU126"/>
    <s v="Product_126"/>
    <s v="Snacks"/>
    <n v="6"/>
    <n v="4"/>
    <n v="124.79"/>
    <n v="12.48"/>
    <n v="486.68"/>
    <n v="24.33"/>
    <n v="20"/>
    <n v="15"/>
    <n v="546.01"/>
    <s v="Cancelled"/>
    <n v="25"/>
  </r>
  <r>
    <x v="927"/>
    <x v="56"/>
    <x v="1"/>
    <x v="15"/>
    <s v="Cust_27"/>
    <x v="0"/>
    <x v="1"/>
    <x v="4"/>
    <n v="981809"/>
    <x v="1"/>
    <s v="SKU127"/>
    <s v="Product_127"/>
    <s v="Frozen"/>
    <n v="6"/>
    <n v="2"/>
    <n v="129.71"/>
    <n v="0"/>
    <n v="259.42"/>
    <n v="12.97"/>
    <n v="20"/>
    <n v="20"/>
    <n v="312.39"/>
    <s v="Delivered"/>
    <n v="22"/>
  </r>
  <r>
    <x v="928"/>
    <x v="59"/>
    <x v="0"/>
    <x v="3"/>
    <s v="Cust_28"/>
    <x v="0"/>
    <x v="1"/>
    <x v="4"/>
    <n v="356427"/>
    <x v="0"/>
    <s v="SKU128"/>
    <s v="Product_128"/>
    <s v="Other"/>
    <n v="5"/>
    <n v="1"/>
    <n v="54.08"/>
    <n v="5.41"/>
    <n v="48.67"/>
    <n v="2.4300000000000002"/>
    <n v="0"/>
    <n v="0"/>
    <n v="51.1"/>
    <s v="Delivered"/>
    <n v="39"/>
  </r>
  <r>
    <x v="929"/>
    <x v="44"/>
    <x v="0"/>
    <x v="26"/>
    <s v="Cust_29"/>
    <x v="1"/>
    <x v="4"/>
    <x v="4"/>
    <n v="686789"/>
    <x v="3"/>
    <s v="SKU129"/>
    <s v="Product_129"/>
    <s v="Essentials"/>
    <n v="10"/>
    <n v="1"/>
    <n v="46.88"/>
    <n v="4.6900000000000004"/>
    <n v="42.19"/>
    <n v="2.11"/>
    <n v="30"/>
    <n v="10"/>
    <n v="84.300000000000011"/>
    <s v="Delivered"/>
    <n v="31"/>
  </r>
  <r>
    <x v="930"/>
    <x v="46"/>
    <x v="1"/>
    <x v="25"/>
    <s v="Cust_30"/>
    <x v="0"/>
    <x v="2"/>
    <x v="4"/>
    <n v="524429"/>
    <x v="3"/>
    <s v="SKU130"/>
    <s v="Product_130"/>
    <s v="Frozen"/>
    <n v="6"/>
    <n v="3"/>
    <n v="155.72999999999999"/>
    <n v="15.57"/>
    <n v="451.61999999999989"/>
    <n v="22.58"/>
    <n v="30"/>
    <n v="10"/>
    <n v="514.19999999999993"/>
    <s v="Delivered"/>
    <n v="19"/>
  </r>
  <r>
    <x v="931"/>
    <x v="38"/>
    <x v="1"/>
    <x v="20"/>
    <s v="Cust_31"/>
    <x v="0"/>
    <x v="5"/>
    <x v="4"/>
    <n v="305827"/>
    <x v="5"/>
    <s v="SKU131"/>
    <s v="Product_131"/>
    <s v="Other"/>
    <n v="5"/>
    <n v="2"/>
    <n v="82.51"/>
    <n v="4.13"/>
    <n v="160.88999999999999"/>
    <n v="8.0399999999999991"/>
    <n v="10"/>
    <n v="0"/>
    <n v="178.93"/>
    <s v="Delivered"/>
    <n v="14"/>
  </r>
  <r>
    <x v="932"/>
    <x v="32"/>
    <x v="0"/>
    <x v="23"/>
    <s v="Cust_32"/>
    <x v="0"/>
    <x v="5"/>
    <x v="4"/>
    <n v="942955"/>
    <x v="3"/>
    <s v="SKU132"/>
    <s v="Product_132"/>
    <s v="Snacks"/>
    <n v="6"/>
    <n v="1"/>
    <n v="102.35"/>
    <n v="15.35"/>
    <n v="87"/>
    <n v="4.3499999999999996"/>
    <n v="20"/>
    <n v="0"/>
    <n v="111.35"/>
    <s v="Delivered"/>
    <n v="38"/>
  </r>
  <r>
    <x v="933"/>
    <x v="55"/>
    <x v="1"/>
    <x v="11"/>
    <s v="Cust_33"/>
    <x v="1"/>
    <x v="4"/>
    <x v="4"/>
    <n v="367614"/>
    <x v="0"/>
    <s v="SKU133"/>
    <s v="Product_133"/>
    <s v="Snacks"/>
    <n v="6"/>
    <n v="3"/>
    <n v="159.79"/>
    <n v="15.98"/>
    <n v="463.39"/>
    <n v="23.17"/>
    <n v="20"/>
    <n v="0"/>
    <n v="506.56"/>
    <s v="Failed"/>
    <n v="25"/>
  </r>
  <r>
    <x v="934"/>
    <x v="31"/>
    <x v="0"/>
    <x v="22"/>
    <s v="Cust_34"/>
    <x v="0"/>
    <x v="5"/>
    <x v="4"/>
    <n v="254062"/>
    <x v="3"/>
    <s v="SKU134"/>
    <s v="Product_134"/>
    <s v="snaks"/>
    <n v="5"/>
    <n v="1"/>
    <n v="172.43"/>
    <n v="25.86"/>
    <n v="146.57"/>
    <n v="7.33"/>
    <n v="0"/>
    <n v="10"/>
    <n v="163.9"/>
    <s v="Cancelled"/>
    <n v="25"/>
  </r>
  <r>
    <x v="935"/>
    <x v="24"/>
    <x v="1"/>
    <x v="19"/>
    <s v="Cust_35"/>
    <x v="0"/>
    <x v="0"/>
    <x v="4"/>
    <n v="438246"/>
    <x v="3"/>
    <s v="SKU135"/>
    <s v="Product_135"/>
    <s v="FRUITS "/>
    <n v="7"/>
    <n v="2"/>
    <n v="87.46"/>
    <n v="4.37"/>
    <n v="170.55"/>
    <n v="8.5299999999999994"/>
    <n v="30"/>
    <n v="10"/>
    <n v="219.08"/>
    <s v="Delivered"/>
    <n v="22"/>
  </r>
  <r>
    <x v="936"/>
    <x v="17"/>
    <x v="1"/>
    <x v="14"/>
    <s v="Cust_36"/>
    <x v="0"/>
    <x v="3"/>
    <x v="4"/>
    <n v="951617"/>
    <x v="4"/>
    <s v="SKU136"/>
    <s v="Product_136"/>
    <s v="Veg"/>
    <n v="3"/>
    <n v="1"/>
    <n v="72.52"/>
    <n v="10.88"/>
    <n v="61.639999999999993"/>
    <n v="3.08"/>
    <n v="0"/>
    <n v="20"/>
    <n v="84.72"/>
    <s v="Delivered"/>
    <n v="28"/>
  </r>
  <r>
    <x v="937"/>
    <x v="49"/>
    <x v="1"/>
    <x v="29"/>
    <s v="Cust_37"/>
    <x v="2"/>
    <x v="4"/>
    <x v="4"/>
    <n v="922450"/>
    <x v="0"/>
    <s v="SKU137"/>
    <s v="Product_137"/>
    <s v="Dairy"/>
    <n v="5"/>
    <n v="3"/>
    <n v="183.37"/>
    <n v="0"/>
    <n v="550.11"/>
    <n v="27.51"/>
    <n v="20"/>
    <n v="5"/>
    <n v="602.62"/>
    <s v="Delivered"/>
    <n v="28"/>
  </r>
  <r>
    <x v="938"/>
    <x v="58"/>
    <x v="0"/>
    <x v="19"/>
    <s v="Cust_38"/>
    <x v="0"/>
    <x v="5"/>
    <x v="4"/>
    <n v="523327"/>
    <x v="4"/>
    <s v="SKU138"/>
    <s v="Product_138"/>
    <s v="DIARY"/>
    <n v="5"/>
    <n v="1"/>
    <n v="158.16999999999999"/>
    <n v="23.73"/>
    <n v="134.44"/>
    <n v="6.72"/>
    <n v="20"/>
    <n v="15"/>
    <n v="176.16"/>
    <s v="Delivered"/>
    <n v="8"/>
  </r>
  <r>
    <x v="939"/>
    <x v="19"/>
    <x v="1"/>
    <x v="16"/>
    <s v="Cust_39"/>
    <x v="0"/>
    <x v="3"/>
    <x v="4"/>
    <n v="636114"/>
    <x v="2"/>
    <s v="SKU139"/>
    <s v="Product_139"/>
    <s v="FRUITS "/>
    <n v="7"/>
    <n v="3"/>
    <n v="206.44"/>
    <n v="0"/>
    <n v="619.31999999999994"/>
    <n v="30.97"/>
    <n v="10"/>
    <n v="15"/>
    <n v="675.29"/>
    <s v="Delivered"/>
    <n v="24"/>
  </r>
  <r>
    <x v="940"/>
    <x v="41"/>
    <x v="0"/>
    <x v="6"/>
    <s v="Cust_40"/>
    <x v="0"/>
    <x v="2"/>
    <x v="4"/>
    <n v="419186"/>
    <x v="6"/>
    <s v="SKU140"/>
    <s v="Product_140"/>
    <s v="Frozen"/>
    <n v="6"/>
    <n v="3"/>
    <n v="135.37"/>
    <n v="13.54"/>
    <n v="392.57"/>
    <n v="19.63"/>
    <n v="30"/>
    <n v="20"/>
    <n v="462.2"/>
    <s v="Delivered"/>
    <n v="29"/>
  </r>
  <r>
    <x v="941"/>
    <x v="27"/>
    <x v="0"/>
    <x v="21"/>
    <s v="Cust_41"/>
    <x v="1"/>
    <x v="4"/>
    <x v="4"/>
    <n v="538988"/>
    <x v="0"/>
    <s v="SKU141"/>
    <s v="Product_141"/>
    <s v="Veg"/>
    <n v="3"/>
    <n v="3"/>
    <n v="138.69999999999999"/>
    <n v="13.87"/>
    <n v="402.23"/>
    <n v="20.11"/>
    <n v="0"/>
    <n v="0"/>
    <n v="422.34"/>
    <s v="Delivered"/>
    <n v="23"/>
  </r>
  <r>
    <x v="942"/>
    <x v="52"/>
    <x v="0"/>
    <x v="27"/>
    <s v="Cust_42"/>
    <x v="0"/>
    <x v="0"/>
    <x v="4"/>
    <n v="356323"/>
    <x v="0"/>
    <s v="SKU142"/>
    <s v="Product_142"/>
    <s v="Snacks"/>
    <n v="6"/>
    <n v="3"/>
    <n v="74.05"/>
    <n v="7.41"/>
    <n v="214.74"/>
    <n v="10.74"/>
    <n v="20"/>
    <n v="10"/>
    <n v="255.48"/>
    <s v="Delivered"/>
    <n v="24"/>
  </r>
  <r>
    <x v="943"/>
    <x v="55"/>
    <x v="1"/>
    <x v="11"/>
    <s v="Cust_43"/>
    <x v="0"/>
    <x v="0"/>
    <x v="4"/>
    <n v="538744"/>
    <x v="2"/>
    <s v="SKU143"/>
    <s v="Product_143"/>
    <s v="Frozen"/>
    <n v="6"/>
    <n v="4"/>
    <n v="106.97"/>
    <n v="10.7"/>
    <n v="417.18"/>
    <n v="20.86"/>
    <n v="10"/>
    <n v="0"/>
    <n v="448.04"/>
    <s v="Delivered"/>
    <n v="19"/>
  </r>
  <r>
    <x v="944"/>
    <x v="33"/>
    <x v="0"/>
    <x v="9"/>
    <s v="Cust_44"/>
    <x v="0"/>
    <x v="3"/>
    <x v="4"/>
    <n v="675312"/>
    <x v="0"/>
    <s v="SKU144"/>
    <s v="Product_144"/>
    <s v="Essentials"/>
    <n v="10"/>
    <n v="2"/>
    <n v="8.2799999999999994"/>
    <n v="1.24"/>
    <n v="15.32"/>
    <n v="0.77"/>
    <n v="0"/>
    <n v="20"/>
    <n v="36.090000000000003"/>
    <s v="Delivered"/>
    <n v="26"/>
  </r>
  <r>
    <x v="945"/>
    <x v="58"/>
    <x v="0"/>
    <x v="19"/>
    <s v="Cust_45"/>
    <x v="0"/>
    <x v="5"/>
    <x v="4"/>
    <n v="194202"/>
    <x v="0"/>
    <s v="SKU145"/>
    <s v="Product_145"/>
    <s v="Bakery"/>
    <n v="6"/>
    <n v="5"/>
    <n v="213.92"/>
    <n v="0"/>
    <n v="1069.5999999999999"/>
    <n v="53.48"/>
    <n v="10"/>
    <n v="0"/>
    <n v="1133.08"/>
    <s v="Cancelled"/>
    <n v="25"/>
  </r>
  <r>
    <x v="946"/>
    <x v="22"/>
    <x v="0"/>
    <x v="14"/>
    <s v="Cust_46"/>
    <x v="0"/>
    <x v="3"/>
    <x v="4"/>
    <n v="184363"/>
    <x v="1"/>
    <s v="SKU146"/>
    <s v="Product_146"/>
    <s v="Snacks"/>
    <n v="6"/>
    <n v="6"/>
    <n v="126.72"/>
    <n v="0"/>
    <n v="760.31999999999994"/>
    <n v="38.020000000000003"/>
    <n v="30"/>
    <n v="20"/>
    <n v="848.33999999999992"/>
    <s v="Delivered"/>
    <n v="9"/>
  </r>
  <r>
    <x v="947"/>
    <x v="47"/>
    <x v="0"/>
    <x v="7"/>
    <s v="Cust_47"/>
    <x v="0"/>
    <x v="0"/>
    <x v="4"/>
    <n v="461484"/>
    <x v="0"/>
    <s v="SKU147"/>
    <s v="Product_147"/>
    <s v="Other"/>
    <n v="5"/>
    <n v="2"/>
    <n v="108.23"/>
    <n v="5.41"/>
    <n v="211.05"/>
    <n v="10.55"/>
    <n v="0"/>
    <n v="20"/>
    <n v="241.6"/>
    <s v="Delivered"/>
    <n v="18"/>
  </r>
  <r>
    <x v="948"/>
    <x v="54"/>
    <x v="1"/>
    <x v="18"/>
    <s v="Cust_48"/>
    <x v="0"/>
    <x v="3"/>
    <x v="4"/>
    <n v="361176"/>
    <x v="0"/>
    <s v="SKU148"/>
    <s v="Product_148"/>
    <s v="Essentials"/>
    <n v="10"/>
    <n v="2"/>
    <n v="107.72"/>
    <n v="10.77"/>
    <n v="204.67"/>
    <n v="10.23"/>
    <n v="20"/>
    <n v="20"/>
    <n v="254.9"/>
    <s v="Delivered"/>
    <n v="43"/>
  </r>
  <r>
    <x v="949"/>
    <x v="38"/>
    <x v="1"/>
    <x v="20"/>
    <s v="Cust_49"/>
    <x v="0"/>
    <x v="0"/>
    <x v="4"/>
    <n v="629954"/>
    <x v="2"/>
    <s v="SKU149"/>
    <s v="Product_149"/>
    <s v="Beverages"/>
    <n v="9"/>
    <n v="2"/>
    <n v="131.76"/>
    <n v="0"/>
    <n v="263.52"/>
    <n v="13.18"/>
    <n v="20"/>
    <n v="5"/>
    <n v="301.7"/>
    <s v="Delivered"/>
    <n v="43"/>
  </r>
  <r>
    <x v="950"/>
    <x v="57"/>
    <x v="0"/>
    <x v="18"/>
    <s v="Cust_50"/>
    <x v="0"/>
    <x v="1"/>
    <x v="4"/>
    <n v="126505"/>
    <x v="0"/>
    <s v="SKU150"/>
    <s v="Product_150"/>
    <s v="Frozen"/>
    <n v="6"/>
    <n v="5"/>
    <n v="159.22"/>
    <n v="23.88"/>
    <n v="772.22"/>
    <n v="38.61"/>
    <n v="20"/>
    <n v="20"/>
    <n v="850.83"/>
    <s v="Delivered"/>
    <n v="24"/>
  </r>
  <r>
    <x v="951"/>
    <x v="31"/>
    <x v="0"/>
    <x v="22"/>
    <s v="Cust_51"/>
    <x v="0"/>
    <x v="1"/>
    <x v="4"/>
    <n v="926954"/>
    <x v="1"/>
    <s v="SKU151"/>
    <s v="Product_151"/>
    <s v="bevrage"/>
    <n v="7"/>
    <n v="1"/>
    <n v="115.72"/>
    <n v="11.57"/>
    <n v="104.15"/>
    <n v="5.21"/>
    <n v="20"/>
    <n v="10"/>
    <n v="139.36000000000001"/>
    <s v="Failed"/>
    <n v="25"/>
  </r>
  <r>
    <x v="952"/>
    <x v="25"/>
    <x v="0"/>
    <x v="20"/>
    <s v="Cust_52"/>
    <x v="0"/>
    <x v="1"/>
    <x v="4"/>
    <n v="340056"/>
    <x v="3"/>
    <s v="SKU152"/>
    <s v="Product_152"/>
    <s v="Baby"/>
    <n v="4"/>
    <n v="4"/>
    <n v="61.84"/>
    <n v="3.09"/>
    <n v="244.27"/>
    <n v="12.21"/>
    <n v="20"/>
    <n v="5"/>
    <n v="281.48"/>
    <s v="Delivered"/>
    <n v="26"/>
  </r>
  <r>
    <x v="953"/>
    <x v="10"/>
    <x v="1"/>
    <x v="8"/>
    <s v="Cust_53"/>
    <x v="0"/>
    <x v="2"/>
    <x v="4"/>
    <n v="543942"/>
    <x v="3"/>
    <s v="SKU153"/>
    <s v="Product_153"/>
    <s v="DIARY"/>
    <n v="5"/>
    <n v="5"/>
    <n v="25.58"/>
    <n v="3.84"/>
    <n v="124.06"/>
    <n v="6.2"/>
    <n v="30"/>
    <n v="0"/>
    <n v="160.26"/>
    <s v="Delivered"/>
    <n v="25"/>
  </r>
  <r>
    <x v="954"/>
    <x v="6"/>
    <x v="1"/>
    <x v="1"/>
    <s v="Cust_54"/>
    <x v="0"/>
    <x v="1"/>
    <x v="4"/>
    <n v="281413"/>
    <x v="0"/>
    <s v="SKU154"/>
    <s v="Product_154"/>
    <s v="Other"/>
    <n v="5"/>
    <n v="1"/>
    <n v="101.63"/>
    <n v="10.16"/>
    <n v="91.47"/>
    <n v="4.57"/>
    <n v="20"/>
    <n v="10"/>
    <n v="126.04"/>
    <s v="Delivered"/>
    <n v="32"/>
  </r>
  <r>
    <x v="955"/>
    <x v="42"/>
    <x v="1"/>
    <x v="24"/>
    <s v="Cust_55"/>
    <x v="0"/>
    <x v="5"/>
    <x v="4"/>
    <n v="840686"/>
    <x v="6"/>
    <s v="SKU155"/>
    <s v="Product_155"/>
    <s v="FRUITS "/>
    <n v="7"/>
    <n v="1"/>
    <n v="154.27000000000001"/>
    <n v="7.71"/>
    <n v="146.56"/>
    <n v="7.33"/>
    <n v="30"/>
    <n v="10"/>
    <n v="193.89"/>
    <s v="Delivered"/>
    <n v="21"/>
  </r>
  <r>
    <x v="956"/>
    <x v="24"/>
    <x v="1"/>
    <x v="19"/>
    <s v="Cust_56"/>
    <x v="0"/>
    <x v="2"/>
    <x v="4"/>
    <n v="670993"/>
    <x v="0"/>
    <s v="SKU156"/>
    <s v="Product_156"/>
    <s v="Beverages"/>
    <n v="9"/>
    <n v="4"/>
    <n v="21.19"/>
    <n v="1.06"/>
    <n v="83.7"/>
    <n v="4.1900000000000004"/>
    <n v="10"/>
    <n v="20"/>
    <n v="117.89"/>
    <s v="Delivered"/>
    <n v="31"/>
  </r>
  <r>
    <x v="957"/>
    <x v="16"/>
    <x v="1"/>
    <x v="10"/>
    <s v="Cust_57"/>
    <x v="0"/>
    <x v="2"/>
    <x v="4"/>
    <n v="371733"/>
    <x v="6"/>
    <s v="SKU157"/>
    <s v="Product_157"/>
    <s v="Baby"/>
    <n v="4"/>
    <n v="3"/>
    <n v="82.42"/>
    <n v="4.12"/>
    <n v="243.14"/>
    <n v="12.16"/>
    <n v="0"/>
    <n v="10"/>
    <n v="265.3"/>
    <s v="Failed"/>
    <n v="25"/>
  </r>
  <r>
    <x v="958"/>
    <x v="27"/>
    <x v="0"/>
    <x v="21"/>
    <s v="Cust_58"/>
    <x v="0"/>
    <x v="3"/>
    <x v="4"/>
    <n v="747999"/>
    <x v="0"/>
    <s v="SKU158"/>
    <s v="Product_158"/>
    <s v="Beverages"/>
    <n v="9"/>
    <n v="2"/>
    <n v="49.61"/>
    <n v="2.48"/>
    <n v="96.74"/>
    <n v="4.84"/>
    <n v="20"/>
    <n v="5"/>
    <n v="126.58"/>
    <s v="Delivered"/>
    <n v="24"/>
  </r>
  <r>
    <x v="959"/>
    <x v="26"/>
    <x v="1"/>
    <x v="5"/>
    <s v="Cust_59"/>
    <x v="0"/>
    <x v="5"/>
    <x v="4"/>
    <n v="211915"/>
    <x v="4"/>
    <s v="SKU159"/>
    <s v="Product_159"/>
    <s v="Beverages"/>
    <n v="9"/>
    <n v="5"/>
    <n v="32.340000000000003"/>
    <n v="0"/>
    <n v="161.69999999999999"/>
    <n v="8.09"/>
    <n v="20"/>
    <n v="10"/>
    <n v="199.79"/>
    <s v="Failed"/>
    <n v="25"/>
  </r>
  <r>
    <x v="960"/>
    <x v="25"/>
    <x v="0"/>
    <x v="20"/>
    <s v="Cust_60"/>
    <x v="0"/>
    <x v="2"/>
    <x v="4"/>
    <n v="213153"/>
    <x v="2"/>
    <s v="SKU160"/>
    <s v="Product_160"/>
    <s v="Bakery"/>
    <n v="6"/>
    <n v="1"/>
    <n v="151.43"/>
    <n v="22.71"/>
    <n v="128.72"/>
    <n v="6.44"/>
    <n v="10"/>
    <n v="10"/>
    <n v="155.16"/>
    <s v="Delivered"/>
    <n v="37"/>
  </r>
  <r>
    <x v="961"/>
    <x v="56"/>
    <x v="1"/>
    <x v="15"/>
    <s v="Cust_61"/>
    <x v="2"/>
    <x v="4"/>
    <x v="4"/>
    <n v="187876"/>
    <x v="4"/>
    <s v="SKU161"/>
    <s v="Product_161"/>
    <s v="Baby"/>
    <n v="4"/>
    <n v="4"/>
    <n v="229.08"/>
    <n v="22.91"/>
    <n v="893.41000000000008"/>
    <n v="44.67"/>
    <n v="20"/>
    <n v="10"/>
    <n v="968.08"/>
    <s v="Delivered"/>
    <n v="25"/>
  </r>
  <r>
    <x v="962"/>
    <x v="22"/>
    <x v="0"/>
    <x v="14"/>
    <s v="Cust_62"/>
    <x v="0"/>
    <x v="3"/>
    <x v="4"/>
    <n v="398845"/>
    <x v="0"/>
    <s v="SKU162"/>
    <s v="Product_162"/>
    <s v="Essentials"/>
    <n v="10"/>
    <n v="4"/>
    <n v="121.86"/>
    <n v="18.28"/>
    <n v="469.16"/>
    <n v="23.46"/>
    <n v="30"/>
    <n v="5"/>
    <n v="527.61999999999989"/>
    <s v="Delivered"/>
    <n v="20"/>
  </r>
  <r>
    <x v="963"/>
    <x v="48"/>
    <x v="0"/>
    <x v="13"/>
    <s v="Cust_63"/>
    <x v="2"/>
    <x v="4"/>
    <x v="4"/>
    <n v="307397"/>
    <x v="4"/>
    <s v="SKU163"/>
    <s v="Product_163"/>
    <s v="Frozen"/>
    <n v="6"/>
    <n v="1"/>
    <n v="161.25"/>
    <n v="0"/>
    <n v="161.25"/>
    <n v="8.06"/>
    <n v="30"/>
    <n v="20"/>
    <n v="219.31"/>
    <s v="Delivered"/>
    <n v="28"/>
  </r>
  <r>
    <x v="964"/>
    <x v="53"/>
    <x v="0"/>
    <x v="29"/>
    <s v="Cust_64"/>
    <x v="0"/>
    <x v="3"/>
    <x v="4"/>
    <n v="952318"/>
    <x v="3"/>
    <s v="SKU164"/>
    <s v="Product_164"/>
    <s v="Bakery"/>
    <n v="6"/>
    <n v="1"/>
    <n v="115.42"/>
    <n v="0"/>
    <n v="115.42"/>
    <n v="5.77"/>
    <n v="0"/>
    <n v="10"/>
    <n v="131.19"/>
    <s v="Delivered"/>
    <n v="23"/>
  </r>
  <r>
    <x v="965"/>
    <x v="44"/>
    <x v="0"/>
    <x v="26"/>
    <s v="Cust_65"/>
    <x v="1"/>
    <x v="4"/>
    <x v="4"/>
    <n v="923932"/>
    <x v="0"/>
    <s v="SKU165"/>
    <s v="Product_165"/>
    <s v="snaks"/>
    <n v="5"/>
    <n v="3"/>
    <n v="235.92"/>
    <n v="0"/>
    <n v="707.76"/>
    <n v="35.39"/>
    <n v="0"/>
    <n v="5"/>
    <n v="748.15"/>
    <s v="Delivered"/>
    <n v="16"/>
  </r>
  <r>
    <x v="966"/>
    <x v="54"/>
    <x v="1"/>
    <x v="18"/>
    <s v="Cust_66"/>
    <x v="0"/>
    <x v="2"/>
    <x v="4"/>
    <n v="135187"/>
    <x v="0"/>
    <s v="SKU166"/>
    <s v="Product_166"/>
    <s v="Other"/>
    <n v="5"/>
    <n v="3"/>
    <n v="83.35"/>
    <n v="12.5"/>
    <n v="237.55"/>
    <n v="11.88"/>
    <n v="30"/>
    <n v="15"/>
    <n v="294.42999999999989"/>
    <s v="Delivered"/>
    <n v="30"/>
  </r>
  <r>
    <x v="967"/>
    <x v="6"/>
    <x v="1"/>
    <x v="1"/>
    <s v="Cust_67"/>
    <x v="0"/>
    <x v="3"/>
    <x v="4"/>
    <n v="491770"/>
    <x v="1"/>
    <s v="SKU167"/>
    <s v="Product_167"/>
    <s v="Bakery"/>
    <n v="6"/>
    <n v="2"/>
    <n v="109.34"/>
    <n v="0"/>
    <n v="218.68"/>
    <n v="10.93"/>
    <n v="10"/>
    <n v="5"/>
    <n v="244.61"/>
    <s v="Delivered"/>
    <n v="6"/>
  </r>
  <r>
    <x v="968"/>
    <x v="51"/>
    <x v="0"/>
    <x v="28"/>
    <s v="Cust_68"/>
    <x v="0"/>
    <x v="3"/>
    <x v="4"/>
    <n v="638304"/>
    <x v="1"/>
    <s v="SKU168"/>
    <s v="Product_168"/>
    <s v="Snacks"/>
    <n v="6"/>
    <n v="4"/>
    <n v="65.97"/>
    <n v="3.3"/>
    <n v="260.58"/>
    <n v="13.03"/>
    <n v="10"/>
    <n v="5"/>
    <n v="288.61"/>
    <s v="Delivered"/>
    <n v="30"/>
  </r>
  <r>
    <x v="969"/>
    <x v="33"/>
    <x v="0"/>
    <x v="9"/>
    <s v="Cust_69"/>
    <x v="0"/>
    <x v="2"/>
    <x v="4"/>
    <n v="505377"/>
    <x v="6"/>
    <s v="SKU169"/>
    <s v="Product_169"/>
    <s v="DIARY"/>
    <n v="5"/>
    <n v="1"/>
    <n v="95.29"/>
    <n v="0"/>
    <n v="95.29"/>
    <n v="4.76"/>
    <n v="0"/>
    <n v="20"/>
    <n v="120.05"/>
    <s v="Delivered"/>
    <n v="26"/>
  </r>
  <r>
    <x v="970"/>
    <x v="46"/>
    <x v="1"/>
    <x v="25"/>
    <s v="Cust_70"/>
    <x v="0"/>
    <x v="2"/>
    <x v="4"/>
    <n v="856488"/>
    <x v="0"/>
    <s v="SKU170"/>
    <s v="Product_170"/>
    <s v="Frozen"/>
    <n v="6"/>
    <n v="7"/>
    <n v="178.33"/>
    <n v="8.92"/>
    <n v="1239.3900000000001"/>
    <n v="61.97"/>
    <n v="30"/>
    <n v="10"/>
    <n v="1341.36"/>
    <s v="Delivered"/>
    <n v="38"/>
  </r>
  <r>
    <x v="971"/>
    <x v="29"/>
    <x v="1"/>
    <x v="21"/>
    <s v="Cust_71"/>
    <x v="0"/>
    <x v="1"/>
    <x v="4"/>
    <n v="513166"/>
    <x v="2"/>
    <s v="SKU171"/>
    <s v="Product_171"/>
    <s v="bevrage"/>
    <n v="7"/>
    <n v="4"/>
    <n v="114.52"/>
    <n v="17.18"/>
    <n v="440.9"/>
    <n v="22.05"/>
    <n v="30"/>
    <n v="20"/>
    <n v="512.95000000000005"/>
    <s v="Delivered"/>
    <n v="17"/>
  </r>
  <r>
    <x v="972"/>
    <x v="45"/>
    <x v="1"/>
    <x v="28"/>
    <s v="Cust_72"/>
    <x v="0"/>
    <x v="3"/>
    <x v="4"/>
    <n v="354957"/>
    <x v="4"/>
    <s v="SKU172"/>
    <s v="Product_172"/>
    <s v="bevrage"/>
    <n v="7"/>
    <n v="2"/>
    <n v="152.22999999999999"/>
    <n v="22.83"/>
    <n v="281.63"/>
    <n v="14.08"/>
    <n v="30"/>
    <n v="5"/>
    <n v="330.71"/>
    <s v="Delivered"/>
    <n v="9"/>
  </r>
  <r>
    <x v="973"/>
    <x v="55"/>
    <x v="1"/>
    <x v="11"/>
    <s v="Cust_73"/>
    <x v="0"/>
    <x v="5"/>
    <x v="4"/>
    <n v="246692"/>
    <x v="0"/>
    <s v="SKU173"/>
    <s v="Product_173"/>
    <s v="Fruits"/>
    <n v="6"/>
    <n v="3"/>
    <n v="61.75"/>
    <n v="3.09"/>
    <n v="182.16"/>
    <n v="9.11"/>
    <n v="30"/>
    <n v="20"/>
    <n v="241.27"/>
    <s v="Delivered"/>
    <n v="17"/>
  </r>
  <r>
    <x v="974"/>
    <x v="50"/>
    <x v="1"/>
    <x v="30"/>
    <s v="Cust_74"/>
    <x v="0"/>
    <x v="2"/>
    <x v="4"/>
    <n v="575573"/>
    <x v="6"/>
    <s v="SKU174"/>
    <s v="Product_174"/>
    <s v="bevrage"/>
    <n v="7"/>
    <n v="1"/>
    <n v="90.95"/>
    <n v="9.1"/>
    <n v="81.850000000000009"/>
    <n v="4.09"/>
    <n v="30"/>
    <n v="15"/>
    <n v="130.94"/>
    <s v="Delivered"/>
    <n v="34"/>
  </r>
  <r>
    <x v="975"/>
    <x v="55"/>
    <x v="1"/>
    <x v="11"/>
    <s v="Cust_75"/>
    <x v="0"/>
    <x v="2"/>
    <x v="4"/>
    <n v="779930"/>
    <x v="5"/>
    <s v="SKU175"/>
    <s v="Product_175"/>
    <s v="Veg"/>
    <n v="3"/>
    <n v="2"/>
    <n v="98.97"/>
    <n v="14.85"/>
    <n v="183.09"/>
    <n v="9.15"/>
    <n v="0"/>
    <n v="20"/>
    <n v="212.24"/>
    <s v="Delivered"/>
    <n v="34"/>
  </r>
  <r>
    <x v="976"/>
    <x v="20"/>
    <x v="0"/>
    <x v="17"/>
    <s v="Cust_76"/>
    <x v="0"/>
    <x v="2"/>
    <x v="4"/>
    <n v="572312"/>
    <x v="6"/>
    <s v="SKU176"/>
    <s v="Product_176"/>
    <s v="Baby"/>
    <n v="4"/>
    <n v="1"/>
    <n v="25.59"/>
    <n v="0"/>
    <n v="25.59"/>
    <n v="1.28"/>
    <n v="30"/>
    <n v="20"/>
    <n v="76.87"/>
    <s v="Delivered"/>
    <n v="12"/>
  </r>
  <r>
    <x v="977"/>
    <x v="15"/>
    <x v="1"/>
    <x v="13"/>
    <s v="Cust_77"/>
    <x v="2"/>
    <x v="4"/>
    <x v="4"/>
    <n v="335161"/>
    <x v="4"/>
    <s v="SKU177"/>
    <s v="Product_177"/>
    <s v="DIARY"/>
    <n v="5"/>
    <n v="1"/>
    <n v="113.92"/>
    <n v="5.7"/>
    <n v="108.22"/>
    <n v="5.41"/>
    <n v="20"/>
    <n v="0"/>
    <n v="133.63"/>
    <s v="Delivered"/>
    <n v="40"/>
  </r>
  <r>
    <x v="978"/>
    <x v="12"/>
    <x v="0"/>
    <x v="10"/>
    <s v="Cust_78"/>
    <x v="0"/>
    <x v="2"/>
    <x v="4"/>
    <n v="605173"/>
    <x v="4"/>
    <s v="SKU178"/>
    <s v="Product_178"/>
    <s v="Bakery"/>
    <n v="6"/>
    <n v="3"/>
    <n v="137.38"/>
    <n v="20.61"/>
    <n v="391.53"/>
    <n v="19.579999999999998"/>
    <n v="20"/>
    <n v="15"/>
    <n v="446.11"/>
    <s v="Delivered"/>
    <n v="25"/>
  </r>
  <r>
    <x v="979"/>
    <x v="9"/>
    <x v="1"/>
    <x v="7"/>
    <s v="Cust_79"/>
    <x v="0"/>
    <x v="2"/>
    <x v="4"/>
    <n v="805359"/>
    <x v="6"/>
    <s v="SKU179"/>
    <s v="Product_179"/>
    <s v="Beverages"/>
    <n v="9"/>
    <n v="5"/>
    <n v="178.39"/>
    <n v="17.84"/>
    <n v="874.1099999999999"/>
    <n v="43.71"/>
    <n v="30"/>
    <n v="20"/>
    <n v="967.81999999999994"/>
    <s v="Delivered"/>
    <n v="24"/>
  </r>
  <r>
    <x v="980"/>
    <x v="35"/>
    <x v="0"/>
    <x v="25"/>
    <s v="Cust_80"/>
    <x v="0"/>
    <x v="0"/>
    <x v="4"/>
    <n v="121576"/>
    <x v="1"/>
    <s v="SKU180"/>
    <s v="Product_180"/>
    <s v="DIARY"/>
    <n v="5"/>
    <n v="1"/>
    <n v="128.69999999999999"/>
    <n v="0"/>
    <n v="128.69999999999999"/>
    <n v="6.43"/>
    <n v="30"/>
    <n v="5"/>
    <n v="170.13"/>
    <s v="Delivered"/>
    <n v="18"/>
  </r>
  <r>
    <x v="981"/>
    <x v="12"/>
    <x v="0"/>
    <x v="10"/>
    <s v="Cust_81"/>
    <x v="2"/>
    <x v="4"/>
    <x v="4"/>
    <n v="794186"/>
    <x v="0"/>
    <s v="SKU181"/>
    <s v="Product_181"/>
    <s v="Dairy"/>
    <n v="5"/>
    <n v="4"/>
    <n v="94.18"/>
    <n v="14.13"/>
    <n v="362.59"/>
    <n v="18.13"/>
    <n v="20"/>
    <n v="0"/>
    <n v="400.72"/>
    <s v="Delivered"/>
    <n v="21"/>
  </r>
  <r>
    <x v="982"/>
    <x v="35"/>
    <x v="0"/>
    <x v="25"/>
    <s v="Cust_82"/>
    <x v="1"/>
    <x v="4"/>
    <x v="4"/>
    <n v="881700"/>
    <x v="3"/>
    <s v="SKU182"/>
    <s v="Product_182"/>
    <s v="Veg"/>
    <n v="3"/>
    <n v="5"/>
    <n v="93.45"/>
    <n v="14.02"/>
    <n v="453.23"/>
    <n v="22.66"/>
    <n v="0"/>
    <n v="10"/>
    <n v="485.89"/>
    <s v="Delivered"/>
    <n v="21"/>
  </r>
  <r>
    <x v="983"/>
    <x v="49"/>
    <x v="1"/>
    <x v="29"/>
    <s v="Cust_83"/>
    <x v="0"/>
    <x v="3"/>
    <x v="4"/>
    <n v="673722"/>
    <x v="2"/>
    <s v="SKU183"/>
    <s v="Product_183"/>
    <s v="FRUITS "/>
    <n v="7"/>
    <n v="5"/>
    <n v="28.37"/>
    <n v="1.42"/>
    <n v="140.43"/>
    <n v="7.02"/>
    <n v="10"/>
    <n v="0"/>
    <n v="157.44999999999999"/>
    <s v="Delivered"/>
    <n v="15"/>
  </r>
  <r>
    <x v="984"/>
    <x v="49"/>
    <x v="1"/>
    <x v="29"/>
    <s v="Cust_84"/>
    <x v="0"/>
    <x v="3"/>
    <x v="4"/>
    <n v="966164"/>
    <x v="0"/>
    <s v="SKU184"/>
    <s v="Product_184"/>
    <s v="Baby"/>
    <n v="4"/>
    <n v="4"/>
    <n v="218.99"/>
    <n v="0"/>
    <n v="875.96"/>
    <n v="43.8"/>
    <n v="0"/>
    <n v="20"/>
    <n v="939.76"/>
    <s v="Delivered"/>
    <n v="17"/>
  </r>
  <r>
    <x v="985"/>
    <x v="8"/>
    <x v="1"/>
    <x v="6"/>
    <s v="Cust_85"/>
    <x v="0"/>
    <x v="1"/>
    <x v="4"/>
    <n v="619493"/>
    <x v="6"/>
    <s v="SKU185"/>
    <s v="Product_185"/>
    <s v="snaks"/>
    <n v="5"/>
    <n v="1"/>
    <n v="24.13"/>
    <n v="3.62"/>
    <n v="20.51"/>
    <n v="1.03"/>
    <n v="10"/>
    <n v="10"/>
    <n v="41.54"/>
    <s v="Delivered"/>
    <n v="22"/>
  </r>
  <r>
    <x v="986"/>
    <x v="45"/>
    <x v="1"/>
    <x v="28"/>
    <s v="Cust_86"/>
    <x v="0"/>
    <x v="5"/>
    <x v="4"/>
    <n v="985540"/>
    <x v="2"/>
    <s v="SKU186"/>
    <s v="Product_186"/>
    <s v="Baby"/>
    <n v="4"/>
    <n v="5"/>
    <n v="51.77"/>
    <n v="0"/>
    <n v="258.85000000000002"/>
    <n v="12.94"/>
    <n v="30"/>
    <n v="5"/>
    <n v="306.79000000000002"/>
    <s v="Delivered"/>
    <n v="16"/>
  </r>
  <r>
    <x v="987"/>
    <x v="6"/>
    <x v="1"/>
    <x v="1"/>
    <s v="Cust_87"/>
    <x v="0"/>
    <x v="5"/>
    <x v="4"/>
    <n v="385248"/>
    <x v="0"/>
    <s v="SKU187"/>
    <s v="Product_187"/>
    <s v="Essentials"/>
    <n v="10"/>
    <n v="3"/>
    <n v="143.01"/>
    <n v="21.45"/>
    <n v="407.58"/>
    <n v="20.38"/>
    <n v="20"/>
    <n v="0"/>
    <n v="447.96"/>
    <s v="Delivered"/>
    <n v="19"/>
  </r>
  <r>
    <x v="988"/>
    <x v="40"/>
    <x v="1"/>
    <x v="27"/>
    <s v="Cust_88"/>
    <x v="0"/>
    <x v="3"/>
    <x v="4"/>
    <n v="566690"/>
    <x v="2"/>
    <s v="SKU188"/>
    <s v="Product_188"/>
    <s v="bevrage"/>
    <n v="7"/>
    <n v="1"/>
    <n v="16.73"/>
    <n v="2.5099999999999998"/>
    <n v="14.22"/>
    <n v="0.71"/>
    <n v="10"/>
    <n v="5"/>
    <n v="29.93"/>
    <s v="Delivered"/>
    <n v="15"/>
  </r>
  <r>
    <x v="989"/>
    <x v="37"/>
    <x v="1"/>
    <x v="12"/>
    <s v="Cust_89"/>
    <x v="2"/>
    <x v="4"/>
    <x v="4"/>
    <n v="271929"/>
    <x v="4"/>
    <s v="SKU189"/>
    <s v="Product_189"/>
    <s v="FRUITS "/>
    <n v="7"/>
    <n v="1"/>
    <n v="182.18"/>
    <n v="9.11"/>
    <n v="173.07"/>
    <n v="8.65"/>
    <n v="20"/>
    <n v="5"/>
    <n v="206.72"/>
    <s v="Delivered"/>
    <n v="27"/>
  </r>
  <r>
    <x v="990"/>
    <x v="59"/>
    <x v="0"/>
    <x v="3"/>
    <s v="Cust_90"/>
    <x v="0"/>
    <x v="1"/>
    <x v="4"/>
    <n v="804463"/>
    <x v="0"/>
    <s v="SKU190"/>
    <s v="Product_190"/>
    <s v="bevrage"/>
    <n v="7"/>
    <n v="3"/>
    <n v="175.92"/>
    <n v="0"/>
    <n v="527.76"/>
    <n v="26.39"/>
    <n v="0"/>
    <n v="20"/>
    <n v="574.15"/>
    <s v="Delivered"/>
    <n v="35"/>
  </r>
  <r>
    <x v="991"/>
    <x v="54"/>
    <x v="1"/>
    <x v="18"/>
    <s v="Cust_91"/>
    <x v="2"/>
    <x v="4"/>
    <x v="4"/>
    <n v="344942"/>
    <x v="0"/>
    <s v="SKU191"/>
    <s v="Product_191"/>
    <s v="FRUITS "/>
    <n v="7"/>
    <n v="4"/>
    <n v="50.78"/>
    <n v="2.54"/>
    <n v="200.58"/>
    <n v="10.029999999999999"/>
    <n v="20"/>
    <n v="5"/>
    <n v="235.61"/>
    <s v="Delivered"/>
    <n v="0"/>
  </r>
  <r>
    <x v="992"/>
    <x v="32"/>
    <x v="0"/>
    <x v="23"/>
    <s v="Cust_92"/>
    <x v="0"/>
    <x v="0"/>
    <x v="4"/>
    <n v="150755"/>
    <x v="0"/>
    <s v="SKU192"/>
    <s v="Product_192"/>
    <s v="Frozen"/>
    <n v="6"/>
    <n v="6"/>
    <n v="145.33000000000001"/>
    <n v="0"/>
    <n v="871.98"/>
    <n v="43.6"/>
    <n v="30"/>
    <n v="5"/>
    <n v="950.58"/>
    <s v="Delivered"/>
    <n v="40"/>
  </r>
  <r>
    <x v="993"/>
    <x v="52"/>
    <x v="0"/>
    <x v="27"/>
    <s v="Cust_93"/>
    <x v="0"/>
    <x v="0"/>
    <x v="4"/>
    <n v="641770"/>
    <x v="6"/>
    <s v="SKU193"/>
    <s v="Product_193"/>
    <s v="Snacks"/>
    <n v="6"/>
    <n v="1"/>
    <n v="100.96"/>
    <n v="10.1"/>
    <n v="90.86"/>
    <n v="4.54"/>
    <n v="20"/>
    <n v="5"/>
    <n v="120.4"/>
    <s v="Delivered"/>
    <n v="16"/>
  </r>
  <r>
    <x v="994"/>
    <x v="56"/>
    <x v="1"/>
    <x v="15"/>
    <s v="Cust_94"/>
    <x v="0"/>
    <x v="5"/>
    <x v="4"/>
    <n v="128930"/>
    <x v="4"/>
    <s v="SKU194"/>
    <s v="Product_194"/>
    <s v="Frozen"/>
    <n v="6"/>
    <n v="4"/>
    <n v="139.46"/>
    <n v="0"/>
    <n v="557.84"/>
    <n v="27.89"/>
    <n v="0"/>
    <n v="0"/>
    <n v="585.73"/>
    <s v="Delivered"/>
    <n v="47"/>
  </r>
  <r>
    <x v="995"/>
    <x v="39"/>
    <x v="1"/>
    <x v="26"/>
    <s v="Cust_95"/>
    <x v="0"/>
    <x v="1"/>
    <x v="4"/>
    <n v="974340"/>
    <x v="6"/>
    <s v="SKU195"/>
    <s v="Product_195"/>
    <s v="DIARY"/>
    <n v="5"/>
    <n v="1"/>
    <n v="92.95"/>
    <n v="13.94"/>
    <n v="79.010000000000005"/>
    <n v="3.95"/>
    <n v="20"/>
    <n v="15"/>
    <n v="117.96"/>
    <s v="Delivered"/>
    <n v="25"/>
  </r>
  <r>
    <x v="996"/>
    <x v="54"/>
    <x v="1"/>
    <x v="18"/>
    <s v="Cust_96"/>
    <x v="0"/>
    <x v="5"/>
    <x v="4"/>
    <n v="110737"/>
    <x v="0"/>
    <s v="SKU196"/>
    <s v="Product_196"/>
    <s v="Other"/>
    <n v="5"/>
    <n v="1"/>
    <n v="115.37"/>
    <n v="0"/>
    <n v="115.37"/>
    <n v="5.77"/>
    <n v="0"/>
    <n v="0"/>
    <n v="121.14"/>
    <s v="Delivered"/>
    <n v="18"/>
  </r>
  <r>
    <x v="997"/>
    <x v="25"/>
    <x v="0"/>
    <x v="20"/>
    <s v="Cust_97"/>
    <x v="1"/>
    <x v="4"/>
    <x v="4"/>
    <n v="414368"/>
    <x v="3"/>
    <s v="SKU197"/>
    <s v="Product_197"/>
    <s v="Frozen"/>
    <n v="6"/>
    <n v="1"/>
    <n v="139.07"/>
    <n v="13.91"/>
    <n v="125.16"/>
    <n v="6.26"/>
    <n v="20"/>
    <n v="15"/>
    <n v="166.42"/>
    <s v="Returned"/>
    <n v="25"/>
  </r>
  <r>
    <x v="998"/>
    <x v="14"/>
    <x v="0"/>
    <x v="12"/>
    <s v="Cust_98"/>
    <x v="0"/>
    <x v="3"/>
    <x v="4"/>
    <n v="396952"/>
    <x v="5"/>
    <s v="SKU198"/>
    <s v="Product_198"/>
    <s v="Frozen"/>
    <n v="6"/>
    <n v="4"/>
    <n v="160.81"/>
    <n v="24.12"/>
    <n v="619.12"/>
    <n v="30.96"/>
    <n v="30"/>
    <n v="0"/>
    <n v="680.08"/>
    <s v="Cancelled"/>
    <n v="25"/>
  </r>
  <r>
    <x v="999"/>
    <x v="57"/>
    <x v="0"/>
    <x v="18"/>
    <s v="Cust_99"/>
    <x v="0"/>
    <x v="0"/>
    <x v="4"/>
    <n v="930997"/>
    <x v="1"/>
    <s v="SKU199"/>
    <s v="Product_199"/>
    <s v="Veg"/>
    <n v="3"/>
    <n v="5"/>
    <n v="146.72999999999999"/>
    <n v="7.34"/>
    <n v="726.31"/>
    <n v="36.32"/>
    <n v="0"/>
    <n v="5"/>
    <n v="767.63"/>
    <s v="Delivered"/>
    <n v="17"/>
  </r>
  <r>
    <x v="1000"/>
    <x v="48"/>
    <x v="0"/>
    <x v="13"/>
    <s v="Cust_100"/>
    <x v="0"/>
    <x v="1"/>
    <x v="4"/>
    <n v="950100"/>
    <x v="2"/>
    <s v="SKU0"/>
    <s v="Product_0"/>
    <s v="Bakery"/>
    <n v="6"/>
    <n v="4"/>
    <n v="88.46"/>
    <n v="8.85"/>
    <n v="344.99"/>
    <n v="17.25"/>
    <n v="20"/>
    <n v="20"/>
    <n v="402.24"/>
    <s v="Failed"/>
    <n v="25"/>
  </r>
  <r>
    <x v="1001"/>
    <x v="29"/>
    <x v="1"/>
    <x v="21"/>
    <s v="Cust_101"/>
    <x v="0"/>
    <x v="0"/>
    <x v="4"/>
    <n v="353608"/>
    <x v="0"/>
    <s v="SKU1"/>
    <s v="Product_1"/>
    <s v="Frozen"/>
    <n v="6"/>
    <n v="3"/>
    <n v="112.5"/>
    <n v="5.62"/>
    <n v="331.88"/>
    <n v="16.59"/>
    <n v="30"/>
    <n v="20"/>
    <n v="398.47"/>
    <s v="Cancelled"/>
    <n v="25"/>
  </r>
  <r>
    <x v="1002"/>
    <x v="50"/>
    <x v="1"/>
    <x v="30"/>
    <s v="Cust_102"/>
    <x v="0"/>
    <x v="3"/>
    <x v="4"/>
    <n v="331807"/>
    <x v="3"/>
    <s v="SKU2"/>
    <s v="Product_2"/>
    <s v="Beverages"/>
    <n v="9"/>
    <n v="1"/>
    <n v="54.47"/>
    <n v="8.17"/>
    <n v="46.3"/>
    <n v="2.31"/>
    <n v="0"/>
    <n v="0"/>
    <n v="48.61"/>
    <s v="Delivered"/>
    <n v="26"/>
  </r>
  <r>
    <x v="1003"/>
    <x v="5"/>
    <x v="1"/>
    <x v="0"/>
    <s v="Cust_103"/>
    <x v="0"/>
    <x v="3"/>
    <x v="4"/>
    <n v="550400"/>
    <x v="4"/>
    <s v="SKU3"/>
    <s v="Product_3"/>
    <s v="Beverages"/>
    <n v="9"/>
    <n v="1"/>
    <n v="146.31"/>
    <n v="0"/>
    <n v="146.31"/>
    <n v="7.32"/>
    <n v="20"/>
    <n v="0"/>
    <n v="173.63"/>
    <s v="Delivered"/>
    <n v="21"/>
  </r>
  <r>
    <x v="1004"/>
    <x v="0"/>
    <x v="0"/>
    <x v="0"/>
    <s v="Cust_104"/>
    <x v="0"/>
    <x v="3"/>
    <x v="4"/>
    <n v="880498"/>
    <x v="6"/>
    <s v="SKU4"/>
    <s v="Product_4"/>
    <s v="Frozen"/>
    <n v="6"/>
    <n v="8"/>
    <n v="22.3"/>
    <n v="0"/>
    <n v="178.4"/>
    <n v="8.92"/>
    <n v="10"/>
    <n v="5"/>
    <n v="202.32"/>
    <s v="Delivered"/>
    <n v="45"/>
  </r>
  <r>
    <x v="1005"/>
    <x v="42"/>
    <x v="1"/>
    <x v="24"/>
    <s v="Cust_105"/>
    <x v="0"/>
    <x v="3"/>
    <x v="4"/>
    <n v="189846"/>
    <x v="6"/>
    <s v="SKU5"/>
    <s v="Product_5"/>
    <s v="Baby"/>
    <n v="4"/>
    <n v="4"/>
    <n v="141.66999999999999"/>
    <n v="21.25"/>
    <n v="545.42999999999995"/>
    <n v="27.27"/>
    <n v="10"/>
    <n v="10"/>
    <n v="592.69999999999993"/>
    <s v="Delivered"/>
    <n v="32"/>
  </r>
  <r>
    <x v="1006"/>
    <x v="7"/>
    <x v="0"/>
    <x v="5"/>
    <s v="Cust_106"/>
    <x v="2"/>
    <x v="4"/>
    <x v="4"/>
    <n v="707337"/>
    <x v="4"/>
    <s v="SKU6"/>
    <s v="Product_6"/>
    <s v="Veg"/>
    <n v="3"/>
    <n v="5"/>
    <n v="83.55"/>
    <n v="12.53"/>
    <n v="405.22"/>
    <n v="20.260000000000002"/>
    <n v="30"/>
    <n v="0"/>
    <n v="455.48"/>
    <s v="Delivered"/>
    <n v="20"/>
  </r>
  <r>
    <x v="1007"/>
    <x v="48"/>
    <x v="0"/>
    <x v="13"/>
    <s v="Cust_107"/>
    <x v="0"/>
    <x v="3"/>
    <x v="4"/>
    <n v="419849"/>
    <x v="0"/>
    <s v="SKU7"/>
    <s v="Product_7"/>
    <s v="Other"/>
    <n v="5"/>
    <n v="5"/>
    <n v="95.26"/>
    <n v="9.5299999999999994"/>
    <n v="466.77"/>
    <n v="23.34"/>
    <n v="10"/>
    <n v="10"/>
    <n v="510.11"/>
    <s v="Delivered"/>
    <n v="30"/>
  </r>
  <r>
    <x v="1008"/>
    <x v="47"/>
    <x v="0"/>
    <x v="7"/>
    <s v="Cust_108"/>
    <x v="0"/>
    <x v="2"/>
    <x v="4"/>
    <n v="945457"/>
    <x v="0"/>
    <s v="SKU8"/>
    <s v="Product_8"/>
    <s v="Beverages"/>
    <n v="9"/>
    <n v="4"/>
    <n v="162.94"/>
    <n v="0"/>
    <n v="651.76"/>
    <n v="32.590000000000003"/>
    <n v="0"/>
    <n v="0"/>
    <n v="684.35"/>
    <s v="Delivered"/>
    <n v="26"/>
  </r>
  <r>
    <x v="1009"/>
    <x v="47"/>
    <x v="0"/>
    <x v="7"/>
    <s v="Cust_109"/>
    <x v="0"/>
    <x v="2"/>
    <x v="4"/>
    <n v="992017"/>
    <x v="1"/>
    <s v="SKU9"/>
    <s v="Product_9"/>
    <s v="Veg"/>
    <n v="3"/>
    <n v="2"/>
    <n v="45.54"/>
    <n v="2.2799999999999998"/>
    <n v="88.8"/>
    <n v="4.4400000000000004"/>
    <n v="10"/>
    <n v="10"/>
    <n v="113.24"/>
    <s v="Delivered"/>
    <n v="15"/>
  </r>
  <r>
    <x v="1010"/>
    <x v="15"/>
    <x v="1"/>
    <x v="13"/>
    <s v="Cust_110"/>
    <x v="0"/>
    <x v="5"/>
    <x v="4"/>
    <n v="290545"/>
    <x v="2"/>
    <s v="SKU10"/>
    <s v="Product_10"/>
    <s v="DIARY"/>
    <n v="5"/>
    <n v="1"/>
    <n v="15.64"/>
    <n v="0"/>
    <n v="15.64"/>
    <n v="0.78"/>
    <n v="20"/>
    <n v="10"/>
    <n v="46.42"/>
    <s v="Delivered"/>
    <n v="14"/>
  </r>
  <r>
    <x v="1011"/>
    <x v="27"/>
    <x v="0"/>
    <x v="21"/>
    <s v="Cust_111"/>
    <x v="0"/>
    <x v="5"/>
    <x v="4"/>
    <n v="821615"/>
    <x v="5"/>
    <s v="SKU11"/>
    <s v="Product_11"/>
    <s v="Frozen"/>
    <n v="6"/>
    <n v="3"/>
    <n v="83.11"/>
    <n v="12.47"/>
    <n v="236.86"/>
    <n v="11.84"/>
    <n v="30"/>
    <n v="0"/>
    <n v="278.7"/>
    <s v="Returned"/>
    <n v="25"/>
  </r>
  <r>
    <x v="1012"/>
    <x v="41"/>
    <x v="0"/>
    <x v="6"/>
    <s v="Cust_112"/>
    <x v="0"/>
    <x v="2"/>
    <x v="4"/>
    <n v="455288"/>
    <x v="4"/>
    <s v="SKU12"/>
    <s v="Product_12"/>
    <s v="Bakery"/>
    <n v="6"/>
    <n v="8"/>
    <n v="184.54"/>
    <n v="9.23"/>
    <n v="1467.09"/>
    <n v="73.349999999999994"/>
    <n v="0"/>
    <n v="15"/>
    <n v="1555.44"/>
    <s v="Delivered"/>
    <n v="19"/>
  </r>
  <r>
    <x v="1013"/>
    <x v="23"/>
    <x v="1"/>
    <x v="4"/>
    <s v="Cust_113"/>
    <x v="0"/>
    <x v="1"/>
    <x v="4"/>
    <n v="284100"/>
    <x v="2"/>
    <s v="SKU13"/>
    <s v="Product_13"/>
    <s v="Veg"/>
    <n v="3"/>
    <n v="2"/>
    <n v="152.44999999999999"/>
    <n v="7.62"/>
    <n v="297.27999999999997"/>
    <n v="14.86"/>
    <n v="30"/>
    <n v="10"/>
    <n v="352.14"/>
    <s v="Delivered"/>
    <n v="33"/>
  </r>
  <r>
    <x v="1014"/>
    <x v="54"/>
    <x v="1"/>
    <x v="18"/>
    <s v="Cust_114"/>
    <x v="2"/>
    <x v="4"/>
    <x v="4"/>
    <n v="121058"/>
    <x v="1"/>
    <s v="SKU14"/>
    <s v="Product_14"/>
    <s v="Dairy"/>
    <n v="5"/>
    <n v="1"/>
    <n v="29.88"/>
    <n v="0"/>
    <n v="29.88"/>
    <n v="1.49"/>
    <n v="30"/>
    <n v="0"/>
    <n v="61.37"/>
    <s v="Delivered"/>
    <n v="31"/>
  </r>
  <r>
    <x v="1015"/>
    <x v="47"/>
    <x v="0"/>
    <x v="7"/>
    <s v="Cust_115"/>
    <x v="0"/>
    <x v="2"/>
    <x v="4"/>
    <n v="710777"/>
    <x v="0"/>
    <s v="SKU15"/>
    <s v="Product_15"/>
    <s v="Frozen"/>
    <n v="6"/>
    <n v="2"/>
    <n v="115.91"/>
    <n v="11.59"/>
    <n v="220.23"/>
    <n v="11.01"/>
    <n v="10"/>
    <n v="20"/>
    <n v="261.24"/>
    <s v="Delivered"/>
    <n v="27"/>
  </r>
  <r>
    <x v="1016"/>
    <x v="18"/>
    <x v="0"/>
    <x v="15"/>
    <s v="Cust_116"/>
    <x v="0"/>
    <x v="2"/>
    <x v="4"/>
    <n v="724152"/>
    <x v="4"/>
    <s v="SKU16"/>
    <s v="Product_16"/>
    <s v="snaks"/>
    <n v="5"/>
    <n v="4"/>
    <n v="163.69"/>
    <n v="24.55"/>
    <n v="630.21"/>
    <n v="31.51"/>
    <n v="0"/>
    <n v="20"/>
    <n v="681.72"/>
    <s v="Delivered"/>
    <n v="15"/>
  </r>
  <r>
    <x v="1017"/>
    <x v="55"/>
    <x v="1"/>
    <x v="11"/>
    <s v="Cust_117"/>
    <x v="0"/>
    <x v="5"/>
    <x v="4"/>
    <n v="307158"/>
    <x v="0"/>
    <s v="SKU17"/>
    <s v="Product_17"/>
    <s v="Frozen"/>
    <n v="6"/>
    <n v="4"/>
    <n v="141.02000000000001"/>
    <n v="21.15"/>
    <n v="542.93000000000006"/>
    <n v="27.15"/>
    <n v="30"/>
    <n v="5"/>
    <n v="605.08000000000004"/>
    <s v="Returned"/>
    <n v="25"/>
  </r>
  <r>
    <x v="1018"/>
    <x v="19"/>
    <x v="1"/>
    <x v="16"/>
    <s v="Cust_118"/>
    <x v="0"/>
    <x v="5"/>
    <x v="4"/>
    <n v="793201"/>
    <x v="6"/>
    <s v="SKU18"/>
    <s v="Product_18"/>
    <s v="Veg"/>
    <n v="3"/>
    <n v="1"/>
    <n v="119.72"/>
    <n v="0"/>
    <n v="119.72"/>
    <n v="5.99"/>
    <n v="20"/>
    <n v="0"/>
    <n v="145.71"/>
    <s v="Failed"/>
    <n v="25"/>
  </r>
  <r>
    <x v="1019"/>
    <x v="19"/>
    <x v="1"/>
    <x v="16"/>
    <s v="Cust_119"/>
    <x v="0"/>
    <x v="1"/>
    <x v="4"/>
    <n v="475595"/>
    <x v="3"/>
    <s v="SKU19"/>
    <s v="Product_19"/>
    <s v="Veg"/>
    <n v="3"/>
    <n v="3"/>
    <n v="120.46"/>
    <n v="6.02"/>
    <n v="355.36"/>
    <n v="17.77"/>
    <n v="0"/>
    <n v="0"/>
    <n v="373.13"/>
    <s v="Delivered"/>
    <n v="42"/>
  </r>
  <r>
    <x v="1020"/>
    <x v="27"/>
    <x v="0"/>
    <x v="21"/>
    <s v="Cust_120"/>
    <x v="0"/>
    <x v="2"/>
    <x v="4"/>
    <n v="667256"/>
    <x v="2"/>
    <s v="SKU20"/>
    <s v="Product_20"/>
    <s v="DIARY"/>
    <n v="5"/>
    <n v="1"/>
    <n v="1.19"/>
    <n v="0.18"/>
    <n v="1.01"/>
    <n v="0.05"/>
    <n v="10"/>
    <n v="5"/>
    <n v="16.059999999999999"/>
    <s v="Delivered"/>
    <n v="22"/>
  </r>
  <r>
    <x v="1021"/>
    <x v="34"/>
    <x v="0"/>
    <x v="24"/>
    <s v="Cust_121"/>
    <x v="0"/>
    <x v="0"/>
    <x v="4"/>
    <n v="661548"/>
    <x v="4"/>
    <s v="SKU21"/>
    <s v="Product_21"/>
    <s v="snaks"/>
    <n v="5"/>
    <n v="5"/>
    <n v="270.87"/>
    <n v="40.630000000000003"/>
    <n v="1313.72"/>
    <n v="65.69"/>
    <n v="0"/>
    <n v="20"/>
    <n v="1399.41"/>
    <s v="Delivered"/>
    <n v="33"/>
  </r>
  <r>
    <x v="1022"/>
    <x v="45"/>
    <x v="1"/>
    <x v="28"/>
    <s v="Cust_122"/>
    <x v="2"/>
    <x v="4"/>
    <x v="4"/>
    <n v="883924"/>
    <x v="0"/>
    <s v="SKU22"/>
    <s v="Product_22"/>
    <s v="snaks"/>
    <n v="5"/>
    <n v="4"/>
    <n v="175.37"/>
    <n v="8.77"/>
    <n v="692.71"/>
    <n v="34.64"/>
    <n v="20"/>
    <n v="0"/>
    <n v="747.35"/>
    <s v="Delivered"/>
    <n v="20"/>
  </r>
  <r>
    <x v="1023"/>
    <x v="51"/>
    <x v="0"/>
    <x v="28"/>
    <s v="Cust_123"/>
    <x v="0"/>
    <x v="1"/>
    <x v="4"/>
    <n v="342113"/>
    <x v="0"/>
    <s v="SKU23"/>
    <s v="Product_23"/>
    <s v="Fruits"/>
    <n v="6"/>
    <n v="2"/>
    <n v="112.16"/>
    <n v="0"/>
    <n v="224.32"/>
    <n v="11.22"/>
    <n v="10"/>
    <n v="0"/>
    <n v="245.54"/>
    <s v="Delivered"/>
    <n v="30"/>
  </r>
  <r>
    <x v="1024"/>
    <x v="31"/>
    <x v="0"/>
    <x v="22"/>
    <s v="Cust_124"/>
    <x v="0"/>
    <x v="3"/>
    <x v="4"/>
    <n v="207092"/>
    <x v="0"/>
    <s v="SKU24"/>
    <s v="Product_24"/>
    <s v="FRUITS "/>
    <n v="7"/>
    <n v="1"/>
    <n v="123.86"/>
    <n v="12.39"/>
    <n v="111.47"/>
    <n v="5.57"/>
    <n v="0"/>
    <n v="15"/>
    <n v="132.04"/>
    <s v="Delivered"/>
    <n v="19"/>
  </r>
  <r>
    <x v="1025"/>
    <x v="9"/>
    <x v="1"/>
    <x v="7"/>
    <s v="Cust_125"/>
    <x v="0"/>
    <x v="2"/>
    <x v="4"/>
    <n v="292180"/>
    <x v="2"/>
    <s v="SKU25"/>
    <s v="Product_25"/>
    <s v="Snacks"/>
    <n v="6"/>
    <n v="4"/>
    <n v="116.26"/>
    <n v="0"/>
    <n v="465.04"/>
    <n v="23.25"/>
    <n v="30"/>
    <n v="0"/>
    <n v="518.29"/>
    <s v="Delivered"/>
    <n v="29"/>
  </r>
  <r>
    <x v="1026"/>
    <x v="3"/>
    <x v="1"/>
    <x v="3"/>
    <s v="Cust_126"/>
    <x v="1"/>
    <x v="4"/>
    <x v="4"/>
    <n v="699649"/>
    <x v="6"/>
    <s v="SKU26"/>
    <s v="Product_26"/>
    <s v="Frozen"/>
    <n v="6"/>
    <n v="4"/>
    <n v="167.47"/>
    <n v="16.75"/>
    <n v="653.13"/>
    <n v="32.659999999999997"/>
    <n v="30"/>
    <n v="5"/>
    <n v="720.79"/>
    <s v="Failed"/>
    <n v="25"/>
  </r>
  <r>
    <x v="1027"/>
    <x v="35"/>
    <x v="0"/>
    <x v="25"/>
    <s v="Cust_127"/>
    <x v="0"/>
    <x v="3"/>
    <x v="4"/>
    <n v="317256"/>
    <x v="4"/>
    <s v="SKU27"/>
    <s v="Product_27"/>
    <s v="Veg"/>
    <n v="3"/>
    <n v="3"/>
    <n v="159.88999999999999"/>
    <n v="0"/>
    <n v="479.67"/>
    <n v="23.98"/>
    <n v="30"/>
    <n v="20"/>
    <n v="553.65"/>
    <s v="Returned"/>
    <n v="25"/>
  </r>
  <r>
    <x v="1028"/>
    <x v="6"/>
    <x v="1"/>
    <x v="1"/>
    <s v="Cust_128"/>
    <x v="0"/>
    <x v="5"/>
    <x v="4"/>
    <n v="393132"/>
    <x v="6"/>
    <s v="SKU28"/>
    <s v="Product_28"/>
    <s v="Snacks"/>
    <n v="6"/>
    <n v="1"/>
    <n v="185.67"/>
    <n v="0"/>
    <n v="185.67"/>
    <n v="9.2799999999999994"/>
    <n v="20"/>
    <n v="0"/>
    <n v="214.95"/>
    <s v="Failed"/>
    <n v="25"/>
  </r>
  <r>
    <x v="1029"/>
    <x v="40"/>
    <x v="1"/>
    <x v="27"/>
    <s v="Cust_129"/>
    <x v="0"/>
    <x v="0"/>
    <x v="4"/>
    <n v="560522"/>
    <x v="0"/>
    <s v="SKU29"/>
    <s v="Product_29"/>
    <s v="Veg"/>
    <n v="3"/>
    <n v="1"/>
    <n v="131.78"/>
    <n v="13.18"/>
    <n v="118.6"/>
    <n v="5.93"/>
    <n v="20"/>
    <n v="10"/>
    <n v="154.53"/>
    <s v="Delivered"/>
    <n v="28"/>
  </r>
  <r>
    <x v="1030"/>
    <x v="17"/>
    <x v="1"/>
    <x v="14"/>
    <s v="Cust_130"/>
    <x v="0"/>
    <x v="2"/>
    <x v="4"/>
    <n v="529199"/>
    <x v="2"/>
    <s v="SKU30"/>
    <s v="Product_30"/>
    <s v="FRUITS "/>
    <n v="7"/>
    <n v="5"/>
    <n v="184.05"/>
    <n v="18.41"/>
    <n v="901.84"/>
    <n v="45.09"/>
    <n v="30"/>
    <n v="0"/>
    <n v="976.93000000000006"/>
    <s v="Failed"/>
    <n v="25"/>
  </r>
  <r>
    <x v="1031"/>
    <x v="10"/>
    <x v="1"/>
    <x v="8"/>
    <s v="Cust_131"/>
    <x v="0"/>
    <x v="5"/>
    <x v="4"/>
    <n v="134160"/>
    <x v="0"/>
    <s v="SKU31"/>
    <s v="Product_31"/>
    <s v="Veg"/>
    <n v="3"/>
    <n v="4"/>
    <n v="158.82"/>
    <n v="15.88"/>
    <n v="619.4"/>
    <n v="30.97"/>
    <n v="20"/>
    <n v="10"/>
    <n v="680.37"/>
    <s v="Delivered"/>
    <n v="24"/>
  </r>
  <r>
    <x v="1032"/>
    <x v="32"/>
    <x v="0"/>
    <x v="23"/>
    <s v="Cust_132"/>
    <x v="0"/>
    <x v="1"/>
    <x v="4"/>
    <n v="396694"/>
    <x v="0"/>
    <s v="SKU32"/>
    <s v="Product_32"/>
    <s v="Other"/>
    <n v="5"/>
    <n v="2"/>
    <n v="99.7"/>
    <n v="0"/>
    <n v="199.4"/>
    <n v="9.9700000000000006"/>
    <n v="10"/>
    <n v="5"/>
    <n v="224.37"/>
    <s v="Delivered"/>
    <n v="25"/>
  </r>
  <r>
    <x v="1033"/>
    <x v="0"/>
    <x v="0"/>
    <x v="0"/>
    <s v="Cust_133"/>
    <x v="0"/>
    <x v="1"/>
    <x v="4"/>
    <n v="437547"/>
    <x v="1"/>
    <s v="SKU33"/>
    <s v="Product_33"/>
    <s v="Veg"/>
    <n v="3"/>
    <n v="2"/>
    <n v="69.290000000000006"/>
    <n v="3.46"/>
    <n v="135.12"/>
    <n v="6.76"/>
    <n v="20"/>
    <n v="20"/>
    <n v="181.88"/>
    <s v="Delivered"/>
    <n v="30"/>
  </r>
  <r>
    <x v="1034"/>
    <x v="20"/>
    <x v="0"/>
    <x v="17"/>
    <s v="Cust_134"/>
    <x v="0"/>
    <x v="5"/>
    <x v="4"/>
    <n v="481382"/>
    <x v="2"/>
    <s v="SKU34"/>
    <s v="Product_34"/>
    <s v="Fruits"/>
    <n v="6"/>
    <n v="2"/>
    <n v="119.31"/>
    <n v="5.97"/>
    <n v="232.65"/>
    <n v="11.63"/>
    <n v="10"/>
    <n v="20"/>
    <n v="274.27999999999997"/>
    <s v="Delivered"/>
    <n v="25"/>
  </r>
  <r>
    <x v="1035"/>
    <x v="21"/>
    <x v="2"/>
    <x v="18"/>
    <s v="Cust_135"/>
    <x v="0"/>
    <x v="1"/>
    <x v="4"/>
    <n v="883077"/>
    <x v="0"/>
    <s v="SKU35"/>
    <s v="Product_35"/>
    <s v="Essentials"/>
    <n v="10"/>
    <n v="6"/>
    <n v="159.9"/>
    <n v="0"/>
    <n v="959.40000000000009"/>
    <n v="47.97"/>
    <n v="0"/>
    <n v="20"/>
    <n v="1027.3699999999999"/>
    <s v="Delivered"/>
    <n v="17"/>
  </r>
  <r>
    <x v="1036"/>
    <x v="48"/>
    <x v="0"/>
    <x v="13"/>
    <s v="Cust_136"/>
    <x v="0"/>
    <x v="0"/>
    <x v="4"/>
    <n v="733669"/>
    <x v="3"/>
    <s v="SKU36"/>
    <s v="Product_36"/>
    <s v="Other"/>
    <n v="5"/>
    <n v="3"/>
    <n v="67.02"/>
    <n v="0"/>
    <n v="201.06"/>
    <n v="10.050000000000001"/>
    <n v="20"/>
    <n v="20"/>
    <n v="251.11"/>
    <s v="Delivered"/>
    <n v="24"/>
  </r>
  <r>
    <x v="1037"/>
    <x v="20"/>
    <x v="0"/>
    <x v="17"/>
    <s v="Cust_137"/>
    <x v="1"/>
    <x v="4"/>
    <x v="4"/>
    <n v="561122"/>
    <x v="5"/>
    <s v="SKU37"/>
    <s v="Product_37"/>
    <s v="bevrage"/>
    <n v="7"/>
    <n v="5"/>
    <n v="10.18"/>
    <n v="1.02"/>
    <n v="49.88"/>
    <n v="2.4900000000000002"/>
    <n v="30"/>
    <n v="15"/>
    <n v="97.37"/>
    <s v="Delivered"/>
    <n v="13"/>
  </r>
  <r>
    <x v="1038"/>
    <x v="41"/>
    <x v="0"/>
    <x v="6"/>
    <s v="Cust_138"/>
    <x v="0"/>
    <x v="3"/>
    <x v="4"/>
    <n v="237821"/>
    <x v="4"/>
    <s v="SKU38"/>
    <s v="Product_38"/>
    <s v="Beverages"/>
    <n v="9"/>
    <n v="1"/>
    <n v="57.38"/>
    <n v="5.74"/>
    <n v="51.64"/>
    <n v="2.58"/>
    <n v="30"/>
    <n v="10"/>
    <n v="94.22"/>
    <s v="Delivered"/>
    <n v="9"/>
  </r>
  <r>
    <x v="1039"/>
    <x v="48"/>
    <x v="0"/>
    <x v="13"/>
    <s v="Cust_139"/>
    <x v="1"/>
    <x v="4"/>
    <x v="4"/>
    <n v="446140"/>
    <x v="0"/>
    <s v="SKU39"/>
    <s v="Product_39"/>
    <s v="bevrage"/>
    <n v="7"/>
    <n v="3"/>
    <n v="153.22999999999999"/>
    <n v="7.66"/>
    <n v="452.02999999999992"/>
    <n v="22.6"/>
    <n v="20"/>
    <n v="15"/>
    <n v="509.62999999999988"/>
    <s v="Cancelled"/>
    <n v="25"/>
  </r>
  <r>
    <x v="1040"/>
    <x v="38"/>
    <x v="1"/>
    <x v="20"/>
    <s v="Cust_140"/>
    <x v="1"/>
    <x v="4"/>
    <x v="4"/>
    <n v="551989"/>
    <x v="1"/>
    <s v="SKU40"/>
    <s v="Product_40"/>
    <s v="Frozen"/>
    <n v="6"/>
    <n v="2"/>
    <n v="40.49"/>
    <n v="6.07"/>
    <n v="74.91"/>
    <n v="3.75"/>
    <n v="30"/>
    <n v="0"/>
    <n v="108.66"/>
    <s v="Delivered"/>
    <n v="30"/>
  </r>
  <r>
    <x v="1041"/>
    <x v="19"/>
    <x v="1"/>
    <x v="16"/>
    <s v="Cust_141"/>
    <x v="0"/>
    <x v="3"/>
    <x v="4"/>
    <n v="340270"/>
    <x v="3"/>
    <s v="SKU41"/>
    <s v="Product_41"/>
    <s v="Veg"/>
    <n v="3"/>
    <n v="1"/>
    <n v="155.08000000000001"/>
    <n v="7.75"/>
    <n v="147.33000000000001"/>
    <n v="7.37"/>
    <n v="30"/>
    <n v="15"/>
    <n v="199.7"/>
    <s v="Cancelled"/>
    <n v="25"/>
  </r>
  <r>
    <x v="1042"/>
    <x v="3"/>
    <x v="1"/>
    <x v="3"/>
    <s v="Cust_142"/>
    <x v="0"/>
    <x v="2"/>
    <x v="4"/>
    <n v="728431"/>
    <x v="0"/>
    <s v="SKU42"/>
    <s v="Product_42"/>
    <s v="Other"/>
    <n v="5"/>
    <n v="1"/>
    <n v="116.65"/>
    <n v="0"/>
    <n v="116.65"/>
    <n v="5.83"/>
    <n v="30"/>
    <n v="20"/>
    <n v="172.48"/>
    <s v="Cancelled"/>
    <n v="25"/>
  </r>
  <r>
    <x v="1043"/>
    <x v="26"/>
    <x v="1"/>
    <x v="5"/>
    <s v="Cust_143"/>
    <x v="1"/>
    <x v="4"/>
    <x v="4"/>
    <n v="289773"/>
    <x v="4"/>
    <s v="SKU43"/>
    <s v="Product_43"/>
    <s v="Veg"/>
    <n v="3"/>
    <n v="4"/>
    <n v="281.54000000000002"/>
    <n v="42.23"/>
    <n v="1083.93"/>
    <n v="54.2"/>
    <n v="30"/>
    <n v="10"/>
    <n v="1178.1300000000001"/>
    <s v="Delivered"/>
    <n v="20"/>
  </r>
  <r>
    <x v="1044"/>
    <x v="32"/>
    <x v="0"/>
    <x v="23"/>
    <s v="Cust_144"/>
    <x v="0"/>
    <x v="0"/>
    <x v="4"/>
    <n v="995781"/>
    <x v="0"/>
    <s v="SKU44"/>
    <s v="Product_44"/>
    <s v="Beverages"/>
    <n v="9"/>
    <n v="3"/>
    <n v="221.18"/>
    <n v="11.06"/>
    <n v="652.48"/>
    <n v="32.619999999999997"/>
    <n v="10"/>
    <n v="15"/>
    <n v="710.1"/>
    <s v="Delivered"/>
    <n v="21"/>
  </r>
  <r>
    <x v="1045"/>
    <x v="48"/>
    <x v="0"/>
    <x v="13"/>
    <s v="Cust_145"/>
    <x v="0"/>
    <x v="0"/>
    <x v="4"/>
    <n v="923578"/>
    <x v="3"/>
    <s v="SKU45"/>
    <s v="Product_45"/>
    <s v="Essentials"/>
    <n v="10"/>
    <n v="1"/>
    <n v="125.58"/>
    <n v="0"/>
    <n v="125.58"/>
    <n v="6.28"/>
    <n v="10"/>
    <n v="15"/>
    <n v="156.86000000000001"/>
    <s v="Delivered"/>
    <n v="20"/>
  </r>
  <r>
    <x v="1046"/>
    <x v="1"/>
    <x v="0"/>
    <x v="1"/>
    <s v="Cust_146"/>
    <x v="0"/>
    <x v="3"/>
    <x v="4"/>
    <n v="299294"/>
    <x v="0"/>
    <s v="SKU46"/>
    <s v="Product_46"/>
    <s v="Fruits"/>
    <n v="6"/>
    <n v="5"/>
    <n v="43.66"/>
    <n v="4.37"/>
    <n v="213.93"/>
    <n v="10.7"/>
    <n v="0"/>
    <n v="15"/>
    <n v="239.63"/>
    <s v="Delivered"/>
    <n v="18"/>
  </r>
  <r>
    <x v="1047"/>
    <x v="34"/>
    <x v="0"/>
    <x v="24"/>
    <s v="Cust_147"/>
    <x v="0"/>
    <x v="0"/>
    <x v="4"/>
    <n v="509675"/>
    <x v="4"/>
    <s v="SKU47"/>
    <s v="Product_47"/>
    <s v="Baby"/>
    <n v="4"/>
    <n v="3"/>
    <n v="46.45"/>
    <n v="0"/>
    <n v="139.35"/>
    <n v="6.97"/>
    <n v="20"/>
    <n v="0"/>
    <n v="166.32"/>
    <s v="Delivered"/>
    <n v="30"/>
  </r>
  <r>
    <x v="1048"/>
    <x v="20"/>
    <x v="0"/>
    <x v="17"/>
    <s v="Cust_148"/>
    <x v="1"/>
    <x v="4"/>
    <x v="4"/>
    <n v="477224"/>
    <x v="5"/>
    <s v="SKU48"/>
    <s v="Product_48"/>
    <s v="DIARY"/>
    <n v="5"/>
    <n v="1"/>
    <n v="164.55"/>
    <n v="24.68"/>
    <n v="139.87"/>
    <n v="6.99"/>
    <n v="10"/>
    <n v="5"/>
    <n v="161.86000000000001"/>
    <s v="Delivered"/>
    <n v="18"/>
  </r>
  <r>
    <x v="1049"/>
    <x v="22"/>
    <x v="0"/>
    <x v="14"/>
    <s v="Cust_149"/>
    <x v="0"/>
    <x v="5"/>
    <x v="4"/>
    <n v="548934"/>
    <x v="1"/>
    <s v="SKU49"/>
    <s v="Product_49"/>
    <s v="Veg"/>
    <n v="3"/>
    <n v="3"/>
    <n v="139.22"/>
    <n v="0"/>
    <n v="417.66"/>
    <n v="20.88"/>
    <n v="10"/>
    <n v="0"/>
    <n v="448.54"/>
    <s v="Delivered"/>
    <n v="14"/>
  </r>
  <r>
    <x v="1050"/>
    <x v="11"/>
    <x v="1"/>
    <x v="9"/>
    <s v="Cust_150"/>
    <x v="0"/>
    <x v="1"/>
    <x v="4"/>
    <n v="921939"/>
    <x v="2"/>
    <s v="SKU50"/>
    <s v="Product_50"/>
    <s v="Snacks"/>
    <n v="6"/>
    <n v="6"/>
    <n v="128.11000000000001"/>
    <n v="0"/>
    <n v="768.66000000000008"/>
    <n v="38.43"/>
    <n v="30"/>
    <n v="0"/>
    <n v="837.09"/>
    <s v="Cancelled"/>
    <n v="25"/>
  </r>
  <r>
    <x v="1051"/>
    <x v="3"/>
    <x v="1"/>
    <x v="3"/>
    <s v="Cust_151"/>
    <x v="0"/>
    <x v="2"/>
    <x v="4"/>
    <n v="230364"/>
    <x v="3"/>
    <s v="SKU51"/>
    <s v="Product_51"/>
    <s v="Veg"/>
    <n v="3"/>
    <n v="1"/>
    <n v="161.32"/>
    <n v="16.13"/>
    <n v="145.19"/>
    <n v="7.26"/>
    <n v="10"/>
    <n v="10"/>
    <n v="172.45"/>
    <s v="Cancelled"/>
    <n v="25"/>
  </r>
  <r>
    <x v="1052"/>
    <x v="21"/>
    <x v="2"/>
    <x v="18"/>
    <s v="Cust_152"/>
    <x v="2"/>
    <x v="4"/>
    <x v="4"/>
    <n v="961864"/>
    <x v="3"/>
    <s v="SKU52"/>
    <s v="Product_52"/>
    <s v="DIARY"/>
    <n v="5"/>
    <n v="2"/>
    <n v="66.819999999999993"/>
    <n v="3.34"/>
    <n v="130.30000000000001"/>
    <n v="6.51"/>
    <n v="10"/>
    <n v="0"/>
    <n v="146.81"/>
    <s v="Failed"/>
    <n v="25"/>
  </r>
  <r>
    <x v="1053"/>
    <x v="19"/>
    <x v="1"/>
    <x v="16"/>
    <s v="Cust_153"/>
    <x v="0"/>
    <x v="1"/>
    <x v="4"/>
    <n v="432548"/>
    <x v="6"/>
    <s v="SKU53"/>
    <s v="Product_53"/>
    <s v="bevrage"/>
    <n v="7"/>
    <n v="4"/>
    <n v="144.63"/>
    <n v="14.46"/>
    <n v="564.05999999999995"/>
    <n v="28.2"/>
    <n v="0"/>
    <n v="10"/>
    <n v="602.26"/>
    <s v="Delivered"/>
    <n v="22"/>
  </r>
  <r>
    <x v="1054"/>
    <x v="33"/>
    <x v="0"/>
    <x v="9"/>
    <s v="Cust_154"/>
    <x v="0"/>
    <x v="5"/>
    <x v="4"/>
    <n v="720804"/>
    <x v="2"/>
    <s v="SKU54"/>
    <s v="Product_54"/>
    <s v="Baby"/>
    <n v="4"/>
    <n v="1"/>
    <n v="172.38"/>
    <n v="8.6199999999999992"/>
    <n v="163.76"/>
    <n v="8.19"/>
    <n v="10"/>
    <n v="10"/>
    <n v="191.95"/>
    <s v="Delivered"/>
    <n v="31"/>
  </r>
  <r>
    <x v="1055"/>
    <x v="28"/>
    <x v="0"/>
    <x v="8"/>
    <s v="Cust_155"/>
    <x v="0"/>
    <x v="3"/>
    <x v="4"/>
    <n v="375381"/>
    <x v="6"/>
    <s v="SKU55"/>
    <s v="Product_55"/>
    <s v="Essentials"/>
    <n v="10"/>
    <n v="5"/>
    <n v="65.739999999999995"/>
    <n v="6.57"/>
    <n v="322.13"/>
    <n v="16.11"/>
    <n v="30"/>
    <n v="5"/>
    <n v="373.24"/>
    <s v="Delivered"/>
    <n v="24"/>
  </r>
  <r>
    <x v="1056"/>
    <x v="32"/>
    <x v="0"/>
    <x v="23"/>
    <s v="Cust_156"/>
    <x v="0"/>
    <x v="0"/>
    <x v="4"/>
    <n v="728935"/>
    <x v="0"/>
    <s v="SKU56"/>
    <s v="Product_56"/>
    <s v="FRUITS "/>
    <n v="7"/>
    <n v="2"/>
    <n v="131.36000000000001"/>
    <n v="19.7"/>
    <n v="243.02"/>
    <n v="12.15"/>
    <n v="30"/>
    <n v="0"/>
    <n v="285.17000000000007"/>
    <s v="Delivered"/>
    <n v="32"/>
  </r>
  <r>
    <x v="1057"/>
    <x v="45"/>
    <x v="1"/>
    <x v="28"/>
    <s v="Cust_157"/>
    <x v="0"/>
    <x v="2"/>
    <x v="4"/>
    <n v="157196"/>
    <x v="4"/>
    <s v="SKU57"/>
    <s v="Product_57"/>
    <s v="Fruits"/>
    <n v="6"/>
    <n v="1"/>
    <n v="223.85"/>
    <n v="11.19"/>
    <n v="212.66"/>
    <n v="10.63"/>
    <n v="10"/>
    <n v="0"/>
    <n v="233.29"/>
    <s v="Delivered"/>
    <n v="16"/>
  </r>
  <r>
    <x v="1058"/>
    <x v="55"/>
    <x v="1"/>
    <x v="11"/>
    <s v="Cust_158"/>
    <x v="2"/>
    <x v="4"/>
    <x v="4"/>
    <n v="143822"/>
    <x v="6"/>
    <s v="SKU58"/>
    <s v="Product_58"/>
    <s v="Essentials"/>
    <n v="10"/>
    <n v="3"/>
    <n v="110.96"/>
    <n v="16.64"/>
    <n v="316.24"/>
    <n v="15.81"/>
    <n v="10"/>
    <n v="0"/>
    <n v="342.05"/>
    <s v="Delivered"/>
    <n v="25"/>
  </r>
  <r>
    <x v="1059"/>
    <x v="2"/>
    <x v="1"/>
    <x v="2"/>
    <s v="Cust_159"/>
    <x v="0"/>
    <x v="2"/>
    <x v="4"/>
    <n v="492575"/>
    <x v="1"/>
    <s v="SKU59"/>
    <s v="Product_59"/>
    <s v="Frozen"/>
    <n v="6"/>
    <n v="2"/>
    <n v="102.91"/>
    <n v="5.15"/>
    <n v="200.67"/>
    <n v="10.029999999999999"/>
    <n v="30"/>
    <n v="20"/>
    <n v="260.7"/>
    <s v="Delivered"/>
    <n v="20"/>
  </r>
  <r>
    <x v="1060"/>
    <x v="39"/>
    <x v="1"/>
    <x v="26"/>
    <s v="Cust_160"/>
    <x v="0"/>
    <x v="3"/>
    <x v="4"/>
    <n v="113265"/>
    <x v="0"/>
    <s v="SKU60"/>
    <s v="Product_60"/>
    <s v="Bakery"/>
    <n v="6"/>
    <n v="1"/>
    <n v="106.71"/>
    <n v="0"/>
    <n v="106.71"/>
    <n v="5.34"/>
    <n v="20"/>
    <n v="10"/>
    <n v="142.05000000000001"/>
    <s v="Delivered"/>
    <n v="25"/>
  </r>
  <r>
    <x v="1061"/>
    <x v="49"/>
    <x v="1"/>
    <x v="29"/>
    <s v="Cust_161"/>
    <x v="0"/>
    <x v="2"/>
    <x v="4"/>
    <n v="711868"/>
    <x v="0"/>
    <s v="SKU61"/>
    <s v="Product_61"/>
    <s v="Frozen"/>
    <n v="6"/>
    <n v="3"/>
    <n v="152.11000000000001"/>
    <n v="0"/>
    <n v="456.33"/>
    <n v="22.82"/>
    <n v="0"/>
    <n v="10"/>
    <n v="489.15"/>
    <s v="Delivered"/>
    <n v="27"/>
  </r>
  <r>
    <x v="1062"/>
    <x v="58"/>
    <x v="0"/>
    <x v="19"/>
    <s v="Cust_162"/>
    <x v="0"/>
    <x v="1"/>
    <x v="4"/>
    <n v="411072"/>
    <x v="5"/>
    <s v="SKU62"/>
    <s v="Product_62"/>
    <s v="Dairy"/>
    <n v="5"/>
    <n v="3"/>
    <n v="65.260000000000005"/>
    <n v="9.7899999999999991"/>
    <n v="185.99"/>
    <n v="9.3000000000000007"/>
    <n v="0"/>
    <n v="10"/>
    <n v="205.29"/>
    <s v="Delivered"/>
    <n v="32"/>
  </r>
  <r>
    <x v="1063"/>
    <x v="45"/>
    <x v="1"/>
    <x v="28"/>
    <s v="Cust_163"/>
    <x v="0"/>
    <x v="1"/>
    <x v="4"/>
    <n v="369670"/>
    <x v="4"/>
    <s v="SKU63"/>
    <s v="Product_63"/>
    <s v="Frozen"/>
    <n v="6"/>
    <n v="3"/>
    <n v="109.92"/>
    <n v="10.99"/>
    <n v="318.77"/>
    <n v="15.94"/>
    <n v="20"/>
    <n v="0"/>
    <n v="354.71"/>
    <s v="Cancelled"/>
    <n v="25"/>
  </r>
  <r>
    <x v="1064"/>
    <x v="49"/>
    <x v="1"/>
    <x v="29"/>
    <s v="Cust_164"/>
    <x v="0"/>
    <x v="2"/>
    <x v="4"/>
    <n v="552333"/>
    <x v="6"/>
    <s v="SKU64"/>
    <s v="Product_64"/>
    <s v="Essentials"/>
    <n v="10"/>
    <n v="1"/>
    <n v="130.03"/>
    <n v="6.5"/>
    <n v="123.53"/>
    <n v="6.18"/>
    <n v="10"/>
    <n v="20"/>
    <n v="159.71"/>
    <s v="Delivered"/>
    <n v="25"/>
  </r>
  <r>
    <x v="1065"/>
    <x v="45"/>
    <x v="1"/>
    <x v="28"/>
    <s v="Cust_165"/>
    <x v="0"/>
    <x v="2"/>
    <x v="4"/>
    <n v="179888"/>
    <x v="0"/>
    <s v="SKU65"/>
    <s v="Product_65"/>
    <s v="Frozen"/>
    <n v="6"/>
    <n v="3"/>
    <n v="219.09"/>
    <n v="32.86"/>
    <n v="624.41"/>
    <n v="31.22"/>
    <n v="10"/>
    <n v="20"/>
    <n v="685.63"/>
    <s v="Delivered"/>
    <n v="30"/>
  </r>
  <r>
    <x v="1066"/>
    <x v="21"/>
    <x v="2"/>
    <x v="18"/>
    <s v="Cust_166"/>
    <x v="0"/>
    <x v="5"/>
    <x v="4"/>
    <n v="354793"/>
    <x v="6"/>
    <s v="SKU66"/>
    <s v="Product_66"/>
    <s v="Frozen"/>
    <n v="6"/>
    <n v="1"/>
    <n v="125.88"/>
    <n v="12.59"/>
    <n v="113.29"/>
    <n v="5.66"/>
    <n v="10"/>
    <n v="15"/>
    <n v="143.94999999999999"/>
    <s v="Delivered"/>
    <n v="21"/>
  </r>
  <r>
    <x v="1067"/>
    <x v="43"/>
    <x v="1"/>
    <x v="23"/>
    <s v="Cust_167"/>
    <x v="0"/>
    <x v="5"/>
    <x v="4"/>
    <n v="658086"/>
    <x v="1"/>
    <s v="SKU67"/>
    <s v="Product_67"/>
    <s v="snaks"/>
    <n v="5"/>
    <n v="1"/>
    <n v="23.63"/>
    <n v="3.54"/>
    <n v="20.09"/>
    <n v="1"/>
    <n v="20"/>
    <n v="0"/>
    <n v="41.09"/>
    <s v="Delivered"/>
    <n v="22"/>
  </r>
  <r>
    <x v="1068"/>
    <x v="11"/>
    <x v="1"/>
    <x v="9"/>
    <s v="Cust_168"/>
    <x v="0"/>
    <x v="3"/>
    <x v="4"/>
    <n v="587947"/>
    <x v="1"/>
    <s v="SKU68"/>
    <s v="Product_68"/>
    <s v="Bakery"/>
    <n v="6"/>
    <n v="4"/>
    <n v="140.13"/>
    <n v="7.01"/>
    <n v="553.51"/>
    <n v="27.68"/>
    <n v="10"/>
    <n v="15"/>
    <n v="606.18999999999994"/>
    <s v="Delivered"/>
    <n v="22"/>
  </r>
  <r>
    <x v="1069"/>
    <x v="55"/>
    <x v="1"/>
    <x v="11"/>
    <s v="Cust_169"/>
    <x v="0"/>
    <x v="5"/>
    <x v="4"/>
    <n v="254607"/>
    <x v="3"/>
    <s v="SKU69"/>
    <s v="Product_69"/>
    <s v="FRUITS "/>
    <n v="7"/>
    <n v="2"/>
    <n v="124.87"/>
    <n v="6.24"/>
    <n v="243.5"/>
    <n v="12.18"/>
    <n v="20"/>
    <n v="10"/>
    <n v="285.68"/>
    <s v="Cancelled"/>
    <n v="25"/>
  </r>
  <r>
    <x v="1070"/>
    <x v="48"/>
    <x v="0"/>
    <x v="13"/>
    <s v="Cust_170"/>
    <x v="0"/>
    <x v="3"/>
    <x v="4"/>
    <n v="390395"/>
    <x v="2"/>
    <s v="SKU70"/>
    <s v="Product_70"/>
    <s v="bevrage"/>
    <n v="7"/>
    <n v="1"/>
    <n v="79.81"/>
    <n v="11.97"/>
    <n v="67.84"/>
    <n v="3.39"/>
    <n v="0"/>
    <n v="10"/>
    <n v="81.23"/>
    <s v="Delivered"/>
    <n v="29"/>
  </r>
  <r>
    <x v="1071"/>
    <x v="46"/>
    <x v="1"/>
    <x v="25"/>
    <s v="Cust_171"/>
    <x v="0"/>
    <x v="2"/>
    <x v="4"/>
    <n v="572032"/>
    <x v="3"/>
    <s v="SKU71"/>
    <s v="Product_71"/>
    <s v="Essentials"/>
    <n v="10"/>
    <n v="1"/>
    <n v="206.52"/>
    <n v="10.33"/>
    <n v="196.19"/>
    <n v="9.81"/>
    <n v="10"/>
    <n v="5"/>
    <n v="221"/>
    <s v="Delivered"/>
    <n v="19"/>
  </r>
  <r>
    <x v="1072"/>
    <x v="12"/>
    <x v="0"/>
    <x v="10"/>
    <s v="Cust_172"/>
    <x v="0"/>
    <x v="3"/>
    <x v="4"/>
    <n v="323457"/>
    <x v="3"/>
    <s v="SKU72"/>
    <s v="Product_72"/>
    <s v="Veg"/>
    <n v="3"/>
    <n v="3"/>
    <n v="128.41999999999999"/>
    <n v="0"/>
    <n v="385.26"/>
    <n v="19.260000000000002"/>
    <n v="0"/>
    <n v="15"/>
    <n v="419.52"/>
    <s v="Delivered"/>
    <n v="35"/>
  </r>
  <r>
    <x v="1073"/>
    <x v="17"/>
    <x v="1"/>
    <x v="14"/>
    <s v="Cust_173"/>
    <x v="0"/>
    <x v="0"/>
    <x v="4"/>
    <n v="608670"/>
    <x v="0"/>
    <s v="SKU73"/>
    <s v="Product_73"/>
    <s v="Bakery"/>
    <n v="6"/>
    <n v="1"/>
    <n v="158.09"/>
    <n v="7.9"/>
    <n v="150.19"/>
    <n v="7.51"/>
    <n v="20"/>
    <n v="20"/>
    <n v="197.7"/>
    <s v="Failed"/>
    <n v="25"/>
  </r>
  <r>
    <x v="1074"/>
    <x v="56"/>
    <x v="1"/>
    <x v="15"/>
    <s v="Cust_174"/>
    <x v="0"/>
    <x v="3"/>
    <x v="4"/>
    <n v="839945"/>
    <x v="2"/>
    <s v="SKU74"/>
    <s v="Product_74"/>
    <s v="Essentials"/>
    <n v="10"/>
    <n v="1"/>
    <n v="50.69"/>
    <n v="5.07"/>
    <n v="45.62"/>
    <n v="2.2799999999999998"/>
    <n v="20"/>
    <n v="10"/>
    <n v="77.900000000000006"/>
    <s v="Delivered"/>
    <n v="20"/>
  </r>
  <r>
    <x v="1075"/>
    <x v="4"/>
    <x v="0"/>
    <x v="4"/>
    <s v="Cust_175"/>
    <x v="0"/>
    <x v="3"/>
    <x v="4"/>
    <n v="731121"/>
    <x v="0"/>
    <s v="SKU75"/>
    <s v="Product_75"/>
    <s v="Veg"/>
    <n v="3"/>
    <n v="4"/>
    <n v="41.05"/>
    <n v="2.0499999999999998"/>
    <n v="162.15"/>
    <n v="8.11"/>
    <n v="0"/>
    <n v="0"/>
    <n v="170.26"/>
    <s v="Delivered"/>
    <n v="9"/>
  </r>
  <r>
    <x v="1076"/>
    <x v="4"/>
    <x v="0"/>
    <x v="4"/>
    <s v="Cust_176"/>
    <x v="0"/>
    <x v="2"/>
    <x v="4"/>
    <n v="764467"/>
    <x v="0"/>
    <s v="SKU76"/>
    <s v="Product_76"/>
    <s v="Dairy"/>
    <n v="5"/>
    <n v="1"/>
    <n v="122.48"/>
    <n v="12.25"/>
    <n v="110.23"/>
    <n v="5.51"/>
    <n v="10"/>
    <n v="15"/>
    <n v="140.74"/>
    <s v="Delivered"/>
    <n v="20"/>
  </r>
  <r>
    <x v="1077"/>
    <x v="51"/>
    <x v="0"/>
    <x v="28"/>
    <s v="Cust_177"/>
    <x v="2"/>
    <x v="4"/>
    <x v="4"/>
    <n v="116138"/>
    <x v="0"/>
    <s v="SKU77"/>
    <s v="Product_77"/>
    <s v="Essentials"/>
    <n v="10"/>
    <n v="2"/>
    <n v="127.82"/>
    <n v="12.78"/>
    <n v="242.86"/>
    <n v="12.14"/>
    <n v="0"/>
    <n v="20"/>
    <n v="275"/>
    <s v="Cancelled"/>
    <n v="25"/>
  </r>
  <r>
    <x v="1078"/>
    <x v="10"/>
    <x v="1"/>
    <x v="8"/>
    <s v="Cust_178"/>
    <x v="0"/>
    <x v="1"/>
    <x v="4"/>
    <n v="178422"/>
    <x v="0"/>
    <s v="SKU78"/>
    <s v="Product_78"/>
    <s v="Essentials"/>
    <n v="10"/>
    <n v="3"/>
    <n v="234.1"/>
    <n v="11.71"/>
    <n v="690.58999999999992"/>
    <n v="34.53"/>
    <n v="10"/>
    <n v="10"/>
    <n v="745.11999999999989"/>
    <s v="Delivered"/>
    <n v="52"/>
  </r>
  <r>
    <x v="1079"/>
    <x v="32"/>
    <x v="0"/>
    <x v="23"/>
    <s v="Cust_179"/>
    <x v="0"/>
    <x v="3"/>
    <x v="4"/>
    <n v="840970"/>
    <x v="0"/>
    <s v="SKU79"/>
    <s v="Product_79"/>
    <s v="Fruits"/>
    <n v="6"/>
    <n v="1"/>
    <n v="167.66"/>
    <n v="8.3800000000000008"/>
    <n v="159.28"/>
    <n v="7.96"/>
    <n v="20"/>
    <n v="15"/>
    <n v="202.24"/>
    <s v="Delivered"/>
    <n v="39"/>
  </r>
  <r>
    <x v="1080"/>
    <x v="31"/>
    <x v="0"/>
    <x v="22"/>
    <s v="Cust_180"/>
    <x v="0"/>
    <x v="5"/>
    <x v="4"/>
    <n v="938821"/>
    <x v="0"/>
    <s v="SKU80"/>
    <s v="Product_80"/>
    <s v="DIARY"/>
    <n v="5"/>
    <n v="1"/>
    <n v="72.2"/>
    <n v="3.61"/>
    <n v="68.59"/>
    <n v="3.43"/>
    <n v="0"/>
    <n v="15"/>
    <n v="87.02000000000001"/>
    <s v="Delivered"/>
    <n v="14"/>
  </r>
  <r>
    <x v="1081"/>
    <x v="34"/>
    <x v="0"/>
    <x v="24"/>
    <s v="Cust_181"/>
    <x v="0"/>
    <x v="0"/>
    <x v="4"/>
    <n v="718119"/>
    <x v="1"/>
    <s v="SKU81"/>
    <s v="Product_81"/>
    <s v="Frozen"/>
    <n v="6"/>
    <n v="1"/>
    <n v="162.21"/>
    <n v="16.22"/>
    <n v="145.99"/>
    <n v="7.3"/>
    <n v="0"/>
    <n v="10"/>
    <n v="163.29"/>
    <s v="Delivered"/>
    <n v="46"/>
  </r>
  <r>
    <x v="1082"/>
    <x v="9"/>
    <x v="1"/>
    <x v="7"/>
    <s v="Cust_182"/>
    <x v="0"/>
    <x v="2"/>
    <x v="4"/>
    <n v="246429"/>
    <x v="1"/>
    <s v="SKU82"/>
    <s v="Product_82"/>
    <s v="Frozen"/>
    <n v="6"/>
    <n v="1"/>
    <n v="109.73"/>
    <n v="10.97"/>
    <n v="98.76"/>
    <n v="4.9400000000000004"/>
    <n v="10"/>
    <n v="15"/>
    <n v="128.69999999999999"/>
    <s v="Delivered"/>
    <n v="19"/>
  </r>
  <r>
    <x v="1083"/>
    <x v="33"/>
    <x v="0"/>
    <x v="9"/>
    <s v="Cust_183"/>
    <x v="2"/>
    <x v="4"/>
    <x v="4"/>
    <n v="341474"/>
    <x v="4"/>
    <s v="SKU83"/>
    <s v="Product_83"/>
    <s v="FRUITS "/>
    <n v="7"/>
    <n v="2"/>
    <n v="163.11000000000001"/>
    <n v="24.47"/>
    <n v="301.75"/>
    <n v="15.09"/>
    <n v="10"/>
    <n v="10"/>
    <n v="336.84"/>
    <s v="Failed"/>
    <n v="25"/>
  </r>
  <r>
    <x v="1084"/>
    <x v="30"/>
    <x v="1"/>
    <x v="22"/>
    <s v="Cust_184"/>
    <x v="0"/>
    <x v="5"/>
    <x v="4"/>
    <n v="628943"/>
    <x v="4"/>
    <s v="SKU84"/>
    <s v="Product_84"/>
    <s v="Bakery"/>
    <n v="6"/>
    <n v="2"/>
    <n v="100.59"/>
    <n v="0"/>
    <n v="201.18"/>
    <n v="10.06"/>
    <n v="10"/>
    <n v="15"/>
    <n v="236.24"/>
    <s v="Delivered"/>
    <n v="24"/>
  </r>
  <r>
    <x v="1085"/>
    <x v="50"/>
    <x v="1"/>
    <x v="30"/>
    <s v="Cust_185"/>
    <x v="0"/>
    <x v="3"/>
    <x v="4"/>
    <n v="207779"/>
    <x v="5"/>
    <s v="SKU85"/>
    <s v="Product_85"/>
    <s v="bevrage"/>
    <n v="7"/>
    <n v="5"/>
    <n v="34.130000000000003"/>
    <n v="5.12"/>
    <n v="165.53"/>
    <n v="8.2799999999999994"/>
    <n v="30"/>
    <n v="20"/>
    <n v="223.81"/>
    <s v="Failed"/>
    <n v="25"/>
  </r>
  <r>
    <x v="1086"/>
    <x v="10"/>
    <x v="1"/>
    <x v="8"/>
    <s v="Cust_186"/>
    <x v="0"/>
    <x v="3"/>
    <x v="4"/>
    <n v="773166"/>
    <x v="1"/>
    <s v="SKU86"/>
    <s v="Product_86"/>
    <s v="DIARY"/>
    <n v="5"/>
    <n v="1"/>
    <n v="81.48"/>
    <n v="0"/>
    <n v="81.48"/>
    <n v="4.07"/>
    <n v="10"/>
    <n v="5"/>
    <n v="100.55"/>
    <s v="Delivered"/>
    <n v="12"/>
  </r>
  <r>
    <x v="1087"/>
    <x v="47"/>
    <x v="0"/>
    <x v="7"/>
    <s v="Cust_187"/>
    <x v="0"/>
    <x v="5"/>
    <x v="4"/>
    <n v="249725"/>
    <x v="0"/>
    <s v="SKU87"/>
    <s v="Product_87"/>
    <s v="Veg"/>
    <n v="3"/>
    <n v="4"/>
    <n v="148.09"/>
    <n v="7.4"/>
    <n v="584.96"/>
    <n v="29.25"/>
    <n v="0"/>
    <n v="5"/>
    <n v="619.21"/>
    <s v="Cancelled"/>
    <n v="25"/>
  </r>
  <r>
    <x v="1088"/>
    <x v="30"/>
    <x v="1"/>
    <x v="22"/>
    <s v="Cust_188"/>
    <x v="0"/>
    <x v="0"/>
    <x v="4"/>
    <n v="812932"/>
    <x v="6"/>
    <s v="SKU88"/>
    <s v="Product_88"/>
    <s v="Baby"/>
    <n v="4"/>
    <n v="2"/>
    <n v="49.56"/>
    <n v="0"/>
    <n v="99.12"/>
    <n v="4.96"/>
    <n v="20"/>
    <n v="0"/>
    <n v="124.08"/>
    <s v="Delivered"/>
    <n v="17"/>
  </r>
  <r>
    <x v="1089"/>
    <x v="5"/>
    <x v="1"/>
    <x v="0"/>
    <s v="Cust_189"/>
    <x v="0"/>
    <x v="2"/>
    <x v="4"/>
    <n v="241002"/>
    <x v="0"/>
    <s v="SKU89"/>
    <s v="Product_89"/>
    <s v="Dairy"/>
    <n v="5"/>
    <n v="4"/>
    <n v="187.81"/>
    <n v="9.39"/>
    <n v="741.85"/>
    <n v="37.090000000000003"/>
    <n v="20"/>
    <n v="0"/>
    <n v="798.94"/>
    <s v="Delivered"/>
    <n v="28"/>
  </r>
  <r>
    <x v="1090"/>
    <x v="39"/>
    <x v="1"/>
    <x v="26"/>
    <s v="Cust_190"/>
    <x v="0"/>
    <x v="2"/>
    <x v="4"/>
    <n v="153915"/>
    <x v="6"/>
    <s v="SKU90"/>
    <s v="Product_90"/>
    <s v="DIARY"/>
    <n v="5"/>
    <n v="5"/>
    <n v="33.380000000000003"/>
    <n v="1.67"/>
    <n v="165.23"/>
    <n v="8.26"/>
    <n v="10"/>
    <n v="15"/>
    <n v="198.49"/>
    <s v="Delivered"/>
    <n v="20"/>
  </r>
  <r>
    <x v="1091"/>
    <x v="14"/>
    <x v="0"/>
    <x v="12"/>
    <s v="Cust_191"/>
    <x v="0"/>
    <x v="3"/>
    <x v="4"/>
    <n v="473410"/>
    <x v="0"/>
    <s v="SKU91"/>
    <s v="Product_91"/>
    <s v="Snacks"/>
    <n v="6"/>
    <n v="1"/>
    <n v="45.16"/>
    <n v="2.2599999999999998"/>
    <n v="42.9"/>
    <n v="2.15"/>
    <n v="0"/>
    <n v="5"/>
    <n v="50.05"/>
    <s v="Delivered"/>
    <n v="27"/>
  </r>
  <r>
    <x v="1092"/>
    <x v="39"/>
    <x v="1"/>
    <x v="26"/>
    <s v="Cust_192"/>
    <x v="0"/>
    <x v="0"/>
    <x v="4"/>
    <n v="217996"/>
    <x v="6"/>
    <s v="SKU92"/>
    <s v="Product_92"/>
    <s v="snaks"/>
    <n v="5"/>
    <n v="2"/>
    <n v="138.69"/>
    <n v="0"/>
    <n v="277.38"/>
    <n v="13.87"/>
    <n v="0"/>
    <n v="10"/>
    <n v="301.25"/>
    <s v="Cancelled"/>
    <n v="25"/>
  </r>
  <r>
    <x v="1093"/>
    <x v="58"/>
    <x v="0"/>
    <x v="19"/>
    <s v="Cust_193"/>
    <x v="1"/>
    <x v="4"/>
    <x v="4"/>
    <n v="679844"/>
    <x v="0"/>
    <s v="SKU93"/>
    <s v="Product_93"/>
    <s v="FRUITS "/>
    <n v="7"/>
    <n v="1"/>
    <n v="159.97999999999999"/>
    <n v="16"/>
    <n v="143.97999999999999"/>
    <n v="7.2"/>
    <n v="10"/>
    <n v="10"/>
    <n v="171.18"/>
    <s v="Delivered"/>
    <n v="30"/>
  </r>
  <r>
    <x v="1094"/>
    <x v="24"/>
    <x v="1"/>
    <x v="19"/>
    <s v="Cust_194"/>
    <x v="0"/>
    <x v="0"/>
    <x v="4"/>
    <n v="512774"/>
    <x v="5"/>
    <s v="SKU94"/>
    <s v="Product_94"/>
    <s v="Other"/>
    <n v="5"/>
    <n v="2"/>
    <n v="155.29"/>
    <n v="7.76"/>
    <n v="302.82"/>
    <n v="15.14"/>
    <n v="20"/>
    <n v="5"/>
    <n v="342.96"/>
    <s v="Delivered"/>
    <n v="34"/>
  </r>
  <r>
    <x v="1095"/>
    <x v="15"/>
    <x v="1"/>
    <x v="13"/>
    <s v="Cust_195"/>
    <x v="0"/>
    <x v="1"/>
    <x v="4"/>
    <n v="588161"/>
    <x v="0"/>
    <s v="SKU95"/>
    <s v="Product_95"/>
    <s v="Frozen"/>
    <n v="6"/>
    <n v="2"/>
    <n v="55.24"/>
    <n v="5.52"/>
    <n v="104.96"/>
    <n v="5.25"/>
    <n v="20"/>
    <n v="10"/>
    <n v="140.21"/>
    <s v="Delivered"/>
    <n v="37"/>
  </r>
  <r>
    <x v="1096"/>
    <x v="57"/>
    <x v="0"/>
    <x v="18"/>
    <s v="Cust_196"/>
    <x v="2"/>
    <x v="4"/>
    <x v="4"/>
    <n v="671238"/>
    <x v="0"/>
    <s v="SKU96"/>
    <s v="Product_96"/>
    <s v="Snacks"/>
    <n v="6"/>
    <n v="1"/>
    <n v="156.59"/>
    <n v="7.83"/>
    <n v="148.76"/>
    <n v="7.44"/>
    <n v="20"/>
    <n v="0"/>
    <n v="176.2"/>
    <s v="Delivered"/>
    <n v="29"/>
  </r>
  <r>
    <x v="1097"/>
    <x v="15"/>
    <x v="1"/>
    <x v="13"/>
    <s v="Cust_197"/>
    <x v="0"/>
    <x v="3"/>
    <x v="4"/>
    <n v="601477"/>
    <x v="4"/>
    <s v="SKU97"/>
    <s v="Product_97"/>
    <s v="Bakery"/>
    <n v="6"/>
    <n v="3"/>
    <n v="1.38"/>
    <n v="0.14000000000000001"/>
    <n v="4"/>
    <n v="0.2"/>
    <n v="20"/>
    <n v="5"/>
    <n v="29.2"/>
    <s v="Delivered"/>
    <n v="35"/>
  </r>
  <r>
    <x v="1098"/>
    <x v="26"/>
    <x v="1"/>
    <x v="5"/>
    <s v="Cust_198"/>
    <x v="0"/>
    <x v="2"/>
    <x v="4"/>
    <n v="277129"/>
    <x v="6"/>
    <s v="SKU98"/>
    <s v="Product_98"/>
    <s v="Veg"/>
    <n v="3"/>
    <n v="4"/>
    <n v="126.71"/>
    <n v="12.67"/>
    <n v="494.17"/>
    <n v="24.71"/>
    <n v="10"/>
    <n v="0"/>
    <n v="528.88"/>
    <s v="Delivered"/>
    <n v="8"/>
  </r>
  <r>
    <x v="1099"/>
    <x v="2"/>
    <x v="1"/>
    <x v="2"/>
    <s v="Cust_199"/>
    <x v="0"/>
    <x v="5"/>
    <x v="4"/>
    <n v="233177"/>
    <x v="6"/>
    <s v="SKU99"/>
    <s v="Product_99"/>
    <s v="Bakery"/>
    <n v="6"/>
    <n v="5"/>
    <n v="1.98"/>
    <n v="0.2"/>
    <n v="9.7000000000000011"/>
    <n v="0.49"/>
    <n v="0"/>
    <n v="0"/>
    <n v="10.19"/>
    <s v="Delivered"/>
    <n v="46"/>
  </r>
  <r>
    <x v="1100"/>
    <x v="57"/>
    <x v="0"/>
    <x v="18"/>
    <s v="Cust_200"/>
    <x v="0"/>
    <x v="5"/>
    <x v="4"/>
    <n v="268751"/>
    <x v="6"/>
    <s v="SKU100"/>
    <s v="Product_100"/>
    <s v="snaks"/>
    <n v="5"/>
    <n v="3"/>
    <n v="90.69"/>
    <n v="9.07"/>
    <n v="263"/>
    <n v="13.15"/>
    <n v="20"/>
    <n v="20"/>
    <n v="316.14999999999998"/>
    <s v="Delivered"/>
    <n v="17"/>
  </r>
  <r>
    <x v="1101"/>
    <x v="41"/>
    <x v="0"/>
    <x v="6"/>
    <s v="Cust_201"/>
    <x v="0"/>
    <x v="1"/>
    <x v="4"/>
    <n v="163079"/>
    <x v="0"/>
    <s v="SKU101"/>
    <s v="Product_101"/>
    <s v="Fruits"/>
    <n v="6"/>
    <n v="4"/>
    <n v="144.4"/>
    <n v="0"/>
    <n v="577.6"/>
    <n v="28.88"/>
    <n v="20"/>
    <n v="5"/>
    <n v="631.48"/>
    <s v="Delivered"/>
    <n v="15"/>
  </r>
  <r>
    <x v="1102"/>
    <x v="7"/>
    <x v="0"/>
    <x v="5"/>
    <s v="Cust_202"/>
    <x v="0"/>
    <x v="1"/>
    <x v="4"/>
    <n v="949662"/>
    <x v="2"/>
    <s v="SKU102"/>
    <s v="Product_102"/>
    <s v="Veg"/>
    <n v="3"/>
    <n v="3"/>
    <n v="177.47"/>
    <n v="0"/>
    <n v="532.41"/>
    <n v="26.62"/>
    <n v="0"/>
    <n v="5"/>
    <n v="564.03"/>
    <s v="Delivered"/>
    <n v="25"/>
  </r>
  <r>
    <x v="1103"/>
    <x v="32"/>
    <x v="0"/>
    <x v="23"/>
    <s v="Cust_203"/>
    <x v="0"/>
    <x v="3"/>
    <x v="4"/>
    <n v="760501"/>
    <x v="1"/>
    <s v="SKU103"/>
    <s v="Product_103"/>
    <s v="bevrage"/>
    <n v="7"/>
    <n v="4"/>
    <n v="25.75"/>
    <n v="0"/>
    <n v="103"/>
    <n v="5.15"/>
    <n v="30"/>
    <n v="10"/>
    <n v="148.15"/>
    <s v="Delivered"/>
    <n v="30"/>
  </r>
  <r>
    <x v="1104"/>
    <x v="8"/>
    <x v="1"/>
    <x v="6"/>
    <s v="Cust_204"/>
    <x v="0"/>
    <x v="2"/>
    <x v="4"/>
    <n v="234917"/>
    <x v="0"/>
    <s v="SKU104"/>
    <s v="Product_104"/>
    <s v="Veg"/>
    <n v="3"/>
    <n v="1"/>
    <n v="127.72"/>
    <n v="6.39"/>
    <n v="121.33"/>
    <n v="6.07"/>
    <n v="30"/>
    <n v="15"/>
    <n v="172.4"/>
    <s v="Failed"/>
    <n v="25"/>
  </r>
  <r>
    <x v="1105"/>
    <x v="6"/>
    <x v="1"/>
    <x v="1"/>
    <s v="Cust_205"/>
    <x v="0"/>
    <x v="5"/>
    <x v="4"/>
    <n v="603150"/>
    <x v="4"/>
    <s v="SKU105"/>
    <s v="Product_105"/>
    <s v="Other"/>
    <n v="5"/>
    <n v="7"/>
    <n v="135.24"/>
    <n v="13.52"/>
    <n v="933.16000000000008"/>
    <n v="46.66"/>
    <n v="10"/>
    <n v="20"/>
    <n v="1009.82"/>
    <s v="Delivered"/>
    <n v="23"/>
  </r>
  <r>
    <x v="1106"/>
    <x v="55"/>
    <x v="1"/>
    <x v="11"/>
    <s v="Cust_206"/>
    <x v="0"/>
    <x v="3"/>
    <x v="4"/>
    <n v="903051"/>
    <x v="3"/>
    <s v="SKU106"/>
    <s v="Product_106"/>
    <s v="Essentials"/>
    <n v="10"/>
    <n v="1"/>
    <n v="126.87"/>
    <n v="6.34"/>
    <n v="120.53"/>
    <n v="6.03"/>
    <n v="20"/>
    <n v="0"/>
    <n v="146.56"/>
    <s v="Delivered"/>
    <n v="26"/>
  </r>
  <r>
    <x v="1107"/>
    <x v="38"/>
    <x v="1"/>
    <x v="20"/>
    <s v="Cust_207"/>
    <x v="0"/>
    <x v="1"/>
    <x v="4"/>
    <n v="908062"/>
    <x v="4"/>
    <s v="SKU107"/>
    <s v="Product_107"/>
    <s v="FRUITS "/>
    <n v="7"/>
    <n v="1"/>
    <n v="112.65"/>
    <n v="16.899999999999999"/>
    <n v="95.75"/>
    <n v="4.79"/>
    <n v="0"/>
    <n v="15"/>
    <n v="115.54"/>
    <s v="Failed"/>
    <n v="25"/>
  </r>
  <r>
    <x v="1108"/>
    <x v="29"/>
    <x v="1"/>
    <x v="21"/>
    <s v="Cust_208"/>
    <x v="1"/>
    <x v="4"/>
    <x v="4"/>
    <n v="909216"/>
    <x v="1"/>
    <s v="SKU108"/>
    <s v="Product_108"/>
    <s v="Baby"/>
    <n v="4"/>
    <n v="3"/>
    <n v="126.61"/>
    <n v="18.989999999999998"/>
    <n v="360.84"/>
    <n v="18.04"/>
    <n v="20"/>
    <n v="20"/>
    <n v="418.88"/>
    <s v="Delivered"/>
    <n v="31"/>
  </r>
  <r>
    <x v="1109"/>
    <x v="28"/>
    <x v="0"/>
    <x v="8"/>
    <s v="Cust_209"/>
    <x v="0"/>
    <x v="1"/>
    <x v="4"/>
    <n v="167359"/>
    <x v="5"/>
    <s v="SKU109"/>
    <s v="Product_109"/>
    <s v="Bakery"/>
    <n v="6"/>
    <n v="1"/>
    <n v="166.87"/>
    <n v="0"/>
    <n v="166.87"/>
    <n v="8.34"/>
    <n v="10"/>
    <n v="15"/>
    <n v="200.21"/>
    <s v="Delivered"/>
    <n v="15"/>
  </r>
  <r>
    <x v="1110"/>
    <x v="16"/>
    <x v="1"/>
    <x v="10"/>
    <s v="Cust_210"/>
    <x v="0"/>
    <x v="1"/>
    <x v="4"/>
    <n v="884681"/>
    <x v="1"/>
    <s v="SKU110"/>
    <s v="Product_110"/>
    <s v="DIARY"/>
    <n v="5"/>
    <n v="1"/>
    <n v="134.97"/>
    <n v="20.25"/>
    <n v="114.72"/>
    <n v="5.74"/>
    <n v="30"/>
    <n v="0"/>
    <n v="150.46"/>
    <s v="Delivered"/>
    <n v="14"/>
  </r>
  <r>
    <x v="1111"/>
    <x v="6"/>
    <x v="1"/>
    <x v="1"/>
    <s v="Cust_211"/>
    <x v="0"/>
    <x v="3"/>
    <x v="4"/>
    <n v="135757"/>
    <x v="3"/>
    <s v="SKU111"/>
    <s v="Product_111"/>
    <s v="FRUITS "/>
    <n v="7"/>
    <n v="2"/>
    <n v="95.75"/>
    <n v="14.36"/>
    <n v="177.14"/>
    <n v="8.86"/>
    <n v="30"/>
    <n v="0"/>
    <n v="216"/>
    <s v="Delivered"/>
    <n v="27"/>
  </r>
  <r>
    <x v="1112"/>
    <x v="46"/>
    <x v="1"/>
    <x v="25"/>
    <s v="Cust_212"/>
    <x v="2"/>
    <x v="4"/>
    <x v="4"/>
    <n v="421199"/>
    <x v="2"/>
    <s v="SKU112"/>
    <s v="Product_112"/>
    <s v="Bakery"/>
    <n v="6"/>
    <n v="4"/>
    <n v="121.16"/>
    <n v="12.12"/>
    <n v="472.52"/>
    <n v="23.63"/>
    <n v="20"/>
    <n v="10"/>
    <n v="526.15"/>
    <s v="Delivered"/>
    <n v="49"/>
  </r>
  <r>
    <x v="1113"/>
    <x v="54"/>
    <x v="1"/>
    <x v="18"/>
    <s v="Cust_213"/>
    <x v="2"/>
    <x v="4"/>
    <x v="4"/>
    <n v="129092"/>
    <x v="3"/>
    <s v="SKU113"/>
    <s v="Product_113"/>
    <s v="Frozen"/>
    <n v="6"/>
    <n v="4"/>
    <n v="184.99"/>
    <n v="0"/>
    <n v="739.96"/>
    <n v="37"/>
    <n v="30"/>
    <n v="15"/>
    <n v="821.96"/>
    <s v="Delivered"/>
    <n v="19"/>
  </r>
  <r>
    <x v="1114"/>
    <x v="55"/>
    <x v="1"/>
    <x v="11"/>
    <s v="Cust_214"/>
    <x v="0"/>
    <x v="5"/>
    <x v="4"/>
    <n v="172782"/>
    <x v="1"/>
    <s v="SKU114"/>
    <s v="Product_114"/>
    <s v="Frozen"/>
    <n v="6"/>
    <n v="3"/>
    <n v="80.47"/>
    <n v="4.0199999999999996"/>
    <n v="237.39"/>
    <n v="11.87"/>
    <n v="30"/>
    <n v="5"/>
    <n v="284.26"/>
    <s v="Delivered"/>
    <n v="23"/>
  </r>
  <r>
    <x v="1115"/>
    <x v="53"/>
    <x v="0"/>
    <x v="29"/>
    <s v="Cust_215"/>
    <x v="0"/>
    <x v="0"/>
    <x v="4"/>
    <n v="990733"/>
    <x v="1"/>
    <s v="SKU115"/>
    <s v="Product_115"/>
    <s v="FRUITS "/>
    <n v="7"/>
    <n v="1"/>
    <n v="158.09"/>
    <n v="23.71"/>
    <n v="134.38"/>
    <n v="6.72"/>
    <n v="20"/>
    <n v="5"/>
    <n v="166.1"/>
    <s v="Delivered"/>
    <n v="48"/>
  </r>
  <r>
    <x v="1116"/>
    <x v="23"/>
    <x v="1"/>
    <x v="4"/>
    <s v="Cust_216"/>
    <x v="0"/>
    <x v="0"/>
    <x v="4"/>
    <n v="724416"/>
    <x v="2"/>
    <s v="SKU116"/>
    <s v="Product_116"/>
    <s v="Veg"/>
    <n v="3"/>
    <n v="1"/>
    <n v="88.76"/>
    <n v="4.4400000000000004"/>
    <n v="84.320000000000007"/>
    <n v="4.22"/>
    <n v="20"/>
    <n v="0"/>
    <n v="108.54"/>
    <s v="Delivered"/>
    <n v="10"/>
  </r>
  <r>
    <x v="1117"/>
    <x v="42"/>
    <x v="1"/>
    <x v="24"/>
    <s v="Cust_217"/>
    <x v="0"/>
    <x v="0"/>
    <x v="4"/>
    <n v="923045"/>
    <x v="6"/>
    <s v="SKU117"/>
    <s v="Product_117"/>
    <s v="FRUITS "/>
    <n v="7"/>
    <n v="2"/>
    <n v="149.16999999999999"/>
    <n v="22.38"/>
    <n v="275.95999999999998"/>
    <n v="13.8"/>
    <n v="0"/>
    <n v="10"/>
    <n v="299.76"/>
    <s v="Cancelled"/>
    <n v="25"/>
  </r>
  <r>
    <x v="1118"/>
    <x v="59"/>
    <x v="0"/>
    <x v="3"/>
    <s v="Cust_218"/>
    <x v="1"/>
    <x v="4"/>
    <x v="4"/>
    <n v="371635"/>
    <x v="1"/>
    <s v="SKU118"/>
    <s v="Product_118"/>
    <s v="Bakery"/>
    <n v="6"/>
    <n v="1"/>
    <n v="182.12"/>
    <n v="9.11"/>
    <n v="173.01"/>
    <n v="8.65"/>
    <n v="20"/>
    <n v="20"/>
    <n v="221.66"/>
    <s v="Delivered"/>
    <n v="12"/>
  </r>
  <r>
    <x v="1119"/>
    <x v="48"/>
    <x v="0"/>
    <x v="13"/>
    <s v="Cust_219"/>
    <x v="0"/>
    <x v="1"/>
    <x v="4"/>
    <n v="362512"/>
    <x v="0"/>
    <s v="SKU119"/>
    <s v="Product_119"/>
    <s v="Fruits"/>
    <n v="6"/>
    <n v="1"/>
    <n v="71.34"/>
    <n v="7.13"/>
    <n v="64.210000000000008"/>
    <n v="3.21"/>
    <n v="30"/>
    <n v="0"/>
    <n v="97.42"/>
    <s v="Delivered"/>
    <n v="17"/>
  </r>
  <r>
    <x v="1120"/>
    <x v="25"/>
    <x v="0"/>
    <x v="20"/>
    <s v="Cust_220"/>
    <x v="0"/>
    <x v="2"/>
    <x v="4"/>
    <n v="786296"/>
    <x v="4"/>
    <s v="SKU120"/>
    <s v="Product_120"/>
    <s v="Bakery"/>
    <n v="6"/>
    <n v="4"/>
    <n v="49.52"/>
    <n v="4.95"/>
    <n v="193.13"/>
    <n v="9.66"/>
    <n v="10"/>
    <n v="5"/>
    <n v="217.79"/>
    <s v="Delivered"/>
    <n v="32"/>
  </r>
  <r>
    <x v="1121"/>
    <x v="40"/>
    <x v="1"/>
    <x v="27"/>
    <s v="Cust_221"/>
    <x v="0"/>
    <x v="2"/>
    <x v="4"/>
    <n v="634580"/>
    <x v="3"/>
    <s v="SKU121"/>
    <s v="Product_121"/>
    <s v="FRUITS "/>
    <n v="7"/>
    <n v="3"/>
    <n v="123.47"/>
    <n v="0"/>
    <n v="370.41"/>
    <n v="18.52"/>
    <n v="0"/>
    <n v="0"/>
    <n v="388.92999999999989"/>
    <s v="Returned"/>
    <n v="25"/>
  </r>
  <r>
    <x v="1122"/>
    <x v="42"/>
    <x v="1"/>
    <x v="24"/>
    <s v="Cust_222"/>
    <x v="0"/>
    <x v="1"/>
    <x v="4"/>
    <n v="811932"/>
    <x v="6"/>
    <s v="SKU122"/>
    <s v="Product_122"/>
    <s v="Veg"/>
    <n v="3"/>
    <n v="1"/>
    <n v="262.74"/>
    <n v="26.27"/>
    <n v="236.47"/>
    <n v="11.82"/>
    <n v="20"/>
    <n v="15"/>
    <n v="283.29000000000002"/>
    <s v="Delivered"/>
    <n v="28"/>
  </r>
  <r>
    <x v="1123"/>
    <x v="52"/>
    <x v="0"/>
    <x v="27"/>
    <s v="Cust_223"/>
    <x v="0"/>
    <x v="1"/>
    <x v="4"/>
    <n v="721747"/>
    <x v="1"/>
    <s v="SKU123"/>
    <s v="Product_123"/>
    <s v="Snacks"/>
    <n v="6"/>
    <n v="2"/>
    <n v="63.62"/>
    <n v="3.18"/>
    <n v="124.06"/>
    <n v="6.2"/>
    <n v="10"/>
    <n v="5"/>
    <n v="145.26"/>
    <s v="Delivered"/>
    <n v="36"/>
  </r>
  <r>
    <x v="1124"/>
    <x v="26"/>
    <x v="1"/>
    <x v="5"/>
    <s v="Cust_224"/>
    <x v="0"/>
    <x v="3"/>
    <x v="4"/>
    <n v="329171"/>
    <x v="0"/>
    <s v="SKU124"/>
    <s v="Product_124"/>
    <s v="Beverages"/>
    <n v="9"/>
    <n v="3"/>
    <n v="15.57"/>
    <n v="0"/>
    <n v="46.71"/>
    <n v="2.34"/>
    <n v="20"/>
    <n v="20"/>
    <n v="89.05"/>
    <s v="Delivered"/>
    <n v="31"/>
  </r>
  <r>
    <x v="1125"/>
    <x v="37"/>
    <x v="1"/>
    <x v="12"/>
    <s v="Cust_225"/>
    <x v="1"/>
    <x v="4"/>
    <x v="4"/>
    <n v="574551"/>
    <x v="6"/>
    <s v="SKU125"/>
    <s v="Product_125"/>
    <s v="DIARY"/>
    <n v="5"/>
    <n v="2"/>
    <n v="62.87"/>
    <n v="9.43"/>
    <n v="116.31"/>
    <n v="5.82"/>
    <n v="20"/>
    <n v="20"/>
    <n v="162.13"/>
    <s v="Delivered"/>
    <n v="20"/>
  </r>
  <r>
    <x v="1126"/>
    <x v="42"/>
    <x v="1"/>
    <x v="24"/>
    <s v="Cust_226"/>
    <x v="0"/>
    <x v="5"/>
    <x v="4"/>
    <n v="698411"/>
    <x v="0"/>
    <s v="SKU126"/>
    <s v="Product_126"/>
    <s v="snaks"/>
    <n v="5"/>
    <n v="3"/>
    <n v="224.85"/>
    <n v="22.48"/>
    <n v="652.06999999999994"/>
    <n v="32.6"/>
    <n v="30"/>
    <n v="10"/>
    <n v="724.67"/>
    <s v="Delivered"/>
    <n v="22"/>
  </r>
  <r>
    <x v="1127"/>
    <x v="34"/>
    <x v="0"/>
    <x v="24"/>
    <s v="Cust_227"/>
    <x v="0"/>
    <x v="3"/>
    <x v="4"/>
    <n v="928396"/>
    <x v="3"/>
    <s v="SKU127"/>
    <s v="Product_127"/>
    <s v="Beverages"/>
    <n v="9"/>
    <n v="1"/>
    <n v="155.27000000000001"/>
    <n v="15.53"/>
    <n v="139.74"/>
    <n v="6.99"/>
    <n v="10"/>
    <n v="0"/>
    <n v="156.72999999999999"/>
    <s v="Delivered"/>
    <n v="31"/>
  </r>
  <r>
    <x v="1128"/>
    <x v="31"/>
    <x v="0"/>
    <x v="22"/>
    <s v="Cust_228"/>
    <x v="0"/>
    <x v="0"/>
    <x v="4"/>
    <n v="741687"/>
    <x v="6"/>
    <s v="SKU128"/>
    <s v="Product_128"/>
    <s v="Snacks"/>
    <n v="6"/>
    <n v="3"/>
    <n v="63.15"/>
    <n v="9.4700000000000006"/>
    <n v="179.98"/>
    <n v="9"/>
    <n v="10"/>
    <n v="15"/>
    <n v="213.98"/>
    <s v="Delivered"/>
    <n v="27"/>
  </r>
  <r>
    <x v="1129"/>
    <x v="34"/>
    <x v="0"/>
    <x v="24"/>
    <s v="Cust_229"/>
    <x v="0"/>
    <x v="0"/>
    <x v="4"/>
    <n v="448058"/>
    <x v="0"/>
    <s v="SKU129"/>
    <s v="Product_129"/>
    <s v="Snacks"/>
    <n v="6"/>
    <n v="2"/>
    <n v="108.09"/>
    <n v="0"/>
    <n v="216.18"/>
    <n v="10.81"/>
    <n v="30"/>
    <n v="0"/>
    <n v="256.99"/>
    <s v="Delivered"/>
    <n v="16"/>
  </r>
  <r>
    <x v="1130"/>
    <x v="16"/>
    <x v="1"/>
    <x v="10"/>
    <s v="Cust_230"/>
    <x v="0"/>
    <x v="3"/>
    <x v="4"/>
    <n v="635827"/>
    <x v="0"/>
    <s v="SKU130"/>
    <s v="Product_130"/>
    <s v="bevrage"/>
    <n v="7"/>
    <n v="5"/>
    <n v="151.86000000000001"/>
    <n v="0"/>
    <n v="759.30000000000007"/>
    <n v="37.97"/>
    <n v="10"/>
    <n v="0"/>
    <n v="807.2700000000001"/>
    <s v="Delivered"/>
    <n v="28"/>
  </r>
  <r>
    <x v="1131"/>
    <x v="31"/>
    <x v="0"/>
    <x v="22"/>
    <s v="Cust_231"/>
    <x v="0"/>
    <x v="0"/>
    <x v="4"/>
    <n v="491407"/>
    <x v="6"/>
    <s v="SKU131"/>
    <s v="Product_131"/>
    <s v="Frozen"/>
    <n v="6"/>
    <n v="2"/>
    <n v="137.76"/>
    <n v="20.66"/>
    <n v="254.86"/>
    <n v="12.74"/>
    <n v="10"/>
    <n v="10"/>
    <n v="287.60000000000002"/>
    <s v="Delivered"/>
    <n v="28"/>
  </r>
  <r>
    <x v="1132"/>
    <x v="58"/>
    <x v="0"/>
    <x v="19"/>
    <s v="Cust_232"/>
    <x v="2"/>
    <x v="4"/>
    <x v="4"/>
    <n v="419586"/>
    <x v="2"/>
    <s v="SKU132"/>
    <s v="Product_132"/>
    <s v="Baby"/>
    <n v="4"/>
    <n v="1"/>
    <n v="272.94"/>
    <n v="40.94"/>
    <n v="232"/>
    <n v="11.6"/>
    <n v="30"/>
    <n v="5"/>
    <n v="278.60000000000002"/>
    <s v="Delivered"/>
    <n v="30"/>
  </r>
  <r>
    <x v="1133"/>
    <x v="19"/>
    <x v="1"/>
    <x v="16"/>
    <s v="Cust_233"/>
    <x v="0"/>
    <x v="0"/>
    <x v="4"/>
    <n v="889622"/>
    <x v="4"/>
    <s v="SKU133"/>
    <s v="Product_133"/>
    <s v="Frozen"/>
    <n v="6"/>
    <n v="1"/>
    <n v="172.24"/>
    <n v="17.22"/>
    <n v="155.02000000000001"/>
    <n v="7.75"/>
    <n v="30"/>
    <n v="10"/>
    <n v="202.77"/>
    <s v="Delivered"/>
    <n v="34"/>
  </r>
  <r>
    <x v="1134"/>
    <x v="4"/>
    <x v="0"/>
    <x v="4"/>
    <s v="Cust_234"/>
    <x v="0"/>
    <x v="2"/>
    <x v="4"/>
    <n v="790778"/>
    <x v="2"/>
    <s v="SKU134"/>
    <s v="Product_134"/>
    <s v="DIARY"/>
    <n v="5"/>
    <n v="2"/>
    <n v="136.12"/>
    <n v="20.420000000000002"/>
    <n v="251.82"/>
    <n v="12.59"/>
    <n v="10"/>
    <n v="5"/>
    <n v="279.41000000000003"/>
    <s v="Delivered"/>
    <n v="18"/>
  </r>
  <r>
    <x v="1135"/>
    <x v="51"/>
    <x v="0"/>
    <x v="28"/>
    <s v="Cust_235"/>
    <x v="1"/>
    <x v="4"/>
    <x v="4"/>
    <n v="893327"/>
    <x v="3"/>
    <s v="SKU135"/>
    <s v="Product_135"/>
    <s v="Snacks"/>
    <n v="6"/>
    <n v="1"/>
    <n v="115.19"/>
    <n v="17.28"/>
    <n v="97.91"/>
    <n v="4.9000000000000004"/>
    <n v="10"/>
    <n v="15"/>
    <n v="127.81"/>
    <s v="Delivered"/>
    <n v="17"/>
  </r>
  <r>
    <x v="1136"/>
    <x v="45"/>
    <x v="1"/>
    <x v="28"/>
    <s v="Cust_236"/>
    <x v="0"/>
    <x v="2"/>
    <x v="4"/>
    <n v="645648"/>
    <x v="5"/>
    <s v="SKU136"/>
    <s v="Product_136"/>
    <s v="Fruits"/>
    <n v="6"/>
    <n v="1"/>
    <n v="129.05000000000001"/>
    <n v="6.45"/>
    <n v="122.6"/>
    <n v="6.13"/>
    <n v="0"/>
    <n v="15"/>
    <n v="143.72999999999999"/>
    <s v="Delivered"/>
    <n v="6"/>
  </r>
  <r>
    <x v="1137"/>
    <x v="42"/>
    <x v="1"/>
    <x v="24"/>
    <s v="Cust_237"/>
    <x v="0"/>
    <x v="1"/>
    <x v="4"/>
    <n v="401075"/>
    <x v="3"/>
    <s v="SKU137"/>
    <s v="Product_137"/>
    <s v="Veg"/>
    <n v="3"/>
    <n v="4"/>
    <n v="39.6"/>
    <n v="5.94"/>
    <n v="152.46"/>
    <n v="7.62"/>
    <n v="30"/>
    <n v="20"/>
    <n v="210.08"/>
    <s v="Delivered"/>
    <n v="29"/>
  </r>
  <r>
    <x v="1138"/>
    <x v="13"/>
    <x v="0"/>
    <x v="11"/>
    <s v="Cust_238"/>
    <x v="0"/>
    <x v="5"/>
    <x v="4"/>
    <n v="763431"/>
    <x v="5"/>
    <s v="SKU138"/>
    <s v="Product_138"/>
    <s v="Veg"/>
    <n v="3"/>
    <n v="4"/>
    <n v="156.83000000000001"/>
    <n v="15.68"/>
    <n v="611.6400000000001"/>
    <n v="30.58"/>
    <n v="30"/>
    <n v="15"/>
    <n v="687.22000000000014"/>
    <s v="Delivered"/>
    <n v="22"/>
  </r>
  <r>
    <x v="1139"/>
    <x v="54"/>
    <x v="1"/>
    <x v="18"/>
    <s v="Cust_239"/>
    <x v="0"/>
    <x v="2"/>
    <x v="4"/>
    <n v="709723"/>
    <x v="2"/>
    <s v="SKU139"/>
    <s v="Product_139"/>
    <s v="Baby"/>
    <n v="4"/>
    <n v="2"/>
    <n v="118.71"/>
    <n v="11.87"/>
    <n v="225.55"/>
    <n v="11.28"/>
    <n v="10"/>
    <n v="10"/>
    <n v="256.83"/>
    <s v="Delivered"/>
    <n v="24"/>
  </r>
  <r>
    <x v="1140"/>
    <x v="5"/>
    <x v="1"/>
    <x v="0"/>
    <s v="Cust_240"/>
    <x v="0"/>
    <x v="2"/>
    <x v="4"/>
    <n v="872783"/>
    <x v="6"/>
    <s v="SKU140"/>
    <s v="Product_140"/>
    <s v="Essentials"/>
    <n v="10"/>
    <n v="1"/>
    <n v="142.16"/>
    <n v="21.32"/>
    <n v="120.84"/>
    <n v="6.04"/>
    <n v="0"/>
    <n v="10"/>
    <n v="136.88"/>
    <s v="Delivered"/>
    <n v="20"/>
  </r>
  <r>
    <x v="1141"/>
    <x v="25"/>
    <x v="0"/>
    <x v="20"/>
    <s v="Cust_241"/>
    <x v="0"/>
    <x v="5"/>
    <x v="4"/>
    <n v="661669"/>
    <x v="5"/>
    <s v="SKU141"/>
    <s v="Product_141"/>
    <s v="Other"/>
    <n v="5"/>
    <n v="3"/>
    <n v="123.21"/>
    <n v="12.32"/>
    <n v="357.31"/>
    <n v="17.87"/>
    <n v="10"/>
    <n v="20"/>
    <n v="405.18"/>
    <s v="Delivered"/>
    <n v="34"/>
  </r>
  <r>
    <x v="1142"/>
    <x v="44"/>
    <x v="0"/>
    <x v="26"/>
    <s v="Cust_242"/>
    <x v="0"/>
    <x v="2"/>
    <x v="4"/>
    <n v="623512"/>
    <x v="0"/>
    <s v="SKU142"/>
    <s v="Product_142"/>
    <s v="snaks"/>
    <n v="5"/>
    <n v="1"/>
    <n v="109.47"/>
    <n v="16.420000000000002"/>
    <n v="93.05"/>
    <n v="4.6500000000000004"/>
    <n v="30"/>
    <n v="20"/>
    <n v="147.69999999999999"/>
    <s v="Delivered"/>
    <n v="24"/>
  </r>
  <r>
    <x v="1143"/>
    <x v="1"/>
    <x v="0"/>
    <x v="1"/>
    <s v="Cust_243"/>
    <x v="0"/>
    <x v="1"/>
    <x v="4"/>
    <n v="158453"/>
    <x v="1"/>
    <s v="SKU143"/>
    <s v="Product_143"/>
    <s v="snaks"/>
    <n v="5"/>
    <n v="1"/>
    <n v="56.04"/>
    <n v="0"/>
    <n v="56.04"/>
    <n v="2.8"/>
    <n v="30"/>
    <n v="15"/>
    <n v="103.84"/>
    <s v="Returned"/>
    <n v="25"/>
  </r>
  <r>
    <x v="1144"/>
    <x v="3"/>
    <x v="1"/>
    <x v="3"/>
    <s v="Cust_244"/>
    <x v="0"/>
    <x v="5"/>
    <x v="4"/>
    <n v="671386"/>
    <x v="6"/>
    <s v="SKU144"/>
    <s v="Product_144"/>
    <s v="Frozen"/>
    <n v="6"/>
    <n v="4"/>
    <n v="102.06"/>
    <n v="10.210000000000001"/>
    <n v="398.03"/>
    <n v="19.899999999999999"/>
    <n v="20"/>
    <n v="15"/>
    <n v="452.93"/>
    <s v="Delivered"/>
    <n v="19"/>
  </r>
  <r>
    <x v="1145"/>
    <x v="31"/>
    <x v="0"/>
    <x v="22"/>
    <s v="Cust_245"/>
    <x v="0"/>
    <x v="5"/>
    <x v="4"/>
    <n v="791898"/>
    <x v="5"/>
    <s v="SKU145"/>
    <s v="Product_145"/>
    <s v="bevrage"/>
    <n v="7"/>
    <n v="2"/>
    <n v="122.39"/>
    <n v="12.24"/>
    <n v="232.54"/>
    <n v="11.63"/>
    <n v="10"/>
    <n v="15"/>
    <n v="269.17"/>
    <s v="Cancelled"/>
    <n v="25"/>
  </r>
  <r>
    <x v="1146"/>
    <x v="58"/>
    <x v="0"/>
    <x v="19"/>
    <s v="Cust_246"/>
    <x v="0"/>
    <x v="2"/>
    <x v="4"/>
    <n v="663889"/>
    <x v="1"/>
    <s v="SKU146"/>
    <s v="Product_146"/>
    <s v="Dairy"/>
    <n v="5"/>
    <n v="1"/>
    <n v="15.92"/>
    <n v="2.39"/>
    <n v="13.53"/>
    <n v="0.68"/>
    <n v="0"/>
    <n v="10"/>
    <n v="24.21"/>
    <s v="Returned"/>
    <n v="25"/>
  </r>
  <r>
    <x v="1147"/>
    <x v="16"/>
    <x v="1"/>
    <x v="10"/>
    <s v="Cust_247"/>
    <x v="0"/>
    <x v="3"/>
    <x v="4"/>
    <n v="241553"/>
    <x v="3"/>
    <s v="SKU147"/>
    <s v="Product_147"/>
    <s v="Veg"/>
    <n v="3"/>
    <n v="3"/>
    <n v="70.59"/>
    <n v="0"/>
    <n v="211.77"/>
    <n v="10.59"/>
    <n v="20"/>
    <n v="10"/>
    <n v="252.36"/>
    <s v="Delivered"/>
    <n v="25"/>
  </r>
  <r>
    <x v="1148"/>
    <x v="40"/>
    <x v="1"/>
    <x v="27"/>
    <s v="Cust_248"/>
    <x v="0"/>
    <x v="5"/>
    <x v="4"/>
    <n v="832154"/>
    <x v="0"/>
    <s v="SKU148"/>
    <s v="Product_148"/>
    <s v="Beverages"/>
    <n v="9"/>
    <n v="1"/>
    <n v="126.76"/>
    <n v="19.010000000000002"/>
    <n v="107.75"/>
    <n v="5.39"/>
    <n v="30"/>
    <n v="0"/>
    <n v="143.13999999999999"/>
    <s v="Delivered"/>
    <n v="33"/>
  </r>
  <r>
    <x v="1149"/>
    <x v="42"/>
    <x v="1"/>
    <x v="24"/>
    <s v="Cust_249"/>
    <x v="0"/>
    <x v="5"/>
    <x v="4"/>
    <n v="907039"/>
    <x v="6"/>
    <s v="SKU149"/>
    <s v="Product_149"/>
    <s v="Other"/>
    <n v="5"/>
    <n v="1"/>
    <n v="9.8699999999999992"/>
    <n v="0.99"/>
    <n v="8.879999999999999"/>
    <n v="0.44"/>
    <n v="20"/>
    <n v="5"/>
    <n v="34.32"/>
    <s v="Delivered"/>
    <n v="25"/>
  </r>
  <r>
    <x v="1150"/>
    <x v="29"/>
    <x v="1"/>
    <x v="21"/>
    <s v="Cust_250"/>
    <x v="0"/>
    <x v="2"/>
    <x v="4"/>
    <n v="798412"/>
    <x v="3"/>
    <s v="SKU150"/>
    <s v="Product_150"/>
    <s v="FRUITS "/>
    <n v="7"/>
    <n v="1"/>
    <n v="39.82"/>
    <n v="5.97"/>
    <n v="33.85"/>
    <n v="1.69"/>
    <n v="10"/>
    <n v="5"/>
    <n v="50.54"/>
    <s v="Delivered"/>
    <n v="25"/>
  </r>
  <r>
    <x v="1151"/>
    <x v="9"/>
    <x v="1"/>
    <x v="7"/>
    <s v="Cust_251"/>
    <x v="0"/>
    <x v="0"/>
    <x v="4"/>
    <n v="380752"/>
    <x v="0"/>
    <s v="SKU151"/>
    <s v="Product_151"/>
    <s v="Veg"/>
    <n v="3"/>
    <n v="3"/>
    <n v="67.87"/>
    <n v="3.39"/>
    <n v="200.22"/>
    <n v="10.01"/>
    <n v="20"/>
    <n v="10"/>
    <n v="240.23"/>
    <s v="Delivered"/>
    <n v="19"/>
  </r>
  <r>
    <x v="1152"/>
    <x v="40"/>
    <x v="1"/>
    <x v="27"/>
    <s v="Cust_252"/>
    <x v="0"/>
    <x v="3"/>
    <x v="4"/>
    <n v="489821"/>
    <x v="1"/>
    <s v="SKU152"/>
    <s v="Product_152"/>
    <s v="Bakery"/>
    <n v="6"/>
    <n v="1"/>
    <n v="104.24"/>
    <n v="0"/>
    <n v="104.24"/>
    <n v="5.21"/>
    <n v="20"/>
    <n v="15"/>
    <n v="144.44999999999999"/>
    <s v="Delivered"/>
    <n v="15"/>
  </r>
  <r>
    <x v="1153"/>
    <x v="11"/>
    <x v="1"/>
    <x v="9"/>
    <s v="Cust_253"/>
    <x v="0"/>
    <x v="3"/>
    <x v="4"/>
    <n v="619911"/>
    <x v="4"/>
    <s v="SKU153"/>
    <s v="Product_153"/>
    <s v="Fruits"/>
    <n v="6"/>
    <n v="3"/>
    <n v="155.19"/>
    <n v="23.28"/>
    <n v="442.29"/>
    <n v="22.11"/>
    <n v="10"/>
    <n v="15"/>
    <n v="489.4"/>
    <s v="Delivered"/>
    <n v="21"/>
  </r>
  <r>
    <x v="1154"/>
    <x v="17"/>
    <x v="1"/>
    <x v="14"/>
    <s v="Cust_254"/>
    <x v="0"/>
    <x v="0"/>
    <x v="4"/>
    <n v="172178"/>
    <x v="2"/>
    <s v="SKU154"/>
    <s v="Product_154"/>
    <s v="Fruits"/>
    <n v="6"/>
    <n v="2"/>
    <n v="120.19"/>
    <n v="6.01"/>
    <n v="234.37"/>
    <n v="11.72"/>
    <n v="20"/>
    <n v="5"/>
    <n v="271.08999999999997"/>
    <s v="Delivered"/>
    <n v="37"/>
  </r>
  <r>
    <x v="1155"/>
    <x v="52"/>
    <x v="0"/>
    <x v="27"/>
    <s v="Cust_255"/>
    <x v="0"/>
    <x v="5"/>
    <x v="4"/>
    <n v="613223"/>
    <x v="5"/>
    <s v="SKU155"/>
    <s v="Product_155"/>
    <s v="Frozen"/>
    <n v="6"/>
    <n v="2"/>
    <n v="84.35"/>
    <n v="8.44"/>
    <n v="160.26"/>
    <n v="8.01"/>
    <n v="30"/>
    <n v="0"/>
    <n v="198.27"/>
    <s v="Delivered"/>
    <n v="26"/>
  </r>
  <r>
    <x v="1156"/>
    <x v="42"/>
    <x v="1"/>
    <x v="24"/>
    <s v="Cust_256"/>
    <x v="0"/>
    <x v="2"/>
    <x v="4"/>
    <n v="241707"/>
    <x v="2"/>
    <s v="SKU156"/>
    <s v="Product_156"/>
    <s v="Beverages"/>
    <n v="9"/>
    <n v="3"/>
    <n v="124.97"/>
    <n v="0"/>
    <n v="374.91"/>
    <n v="18.75"/>
    <n v="20"/>
    <n v="0"/>
    <n v="413.66"/>
    <s v="Delivered"/>
    <n v="17"/>
  </r>
  <r>
    <x v="1157"/>
    <x v="40"/>
    <x v="1"/>
    <x v="27"/>
    <s v="Cust_257"/>
    <x v="0"/>
    <x v="0"/>
    <x v="4"/>
    <n v="832288"/>
    <x v="1"/>
    <s v="SKU157"/>
    <s v="Product_157"/>
    <s v="Baby"/>
    <n v="4"/>
    <n v="1"/>
    <n v="167.22"/>
    <n v="25.08"/>
    <n v="142.13999999999999"/>
    <n v="7.11"/>
    <n v="30"/>
    <n v="10"/>
    <n v="189.25"/>
    <s v="Delivered"/>
    <n v="35"/>
  </r>
  <r>
    <x v="1158"/>
    <x v="27"/>
    <x v="0"/>
    <x v="21"/>
    <s v="Cust_258"/>
    <x v="0"/>
    <x v="2"/>
    <x v="4"/>
    <n v="145591"/>
    <x v="0"/>
    <s v="SKU158"/>
    <s v="Product_158"/>
    <s v="Dairy"/>
    <n v="5"/>
    <n v="3"/>
    <n v="134.41"/>
    <n v="0"/>
    <n v="403.23"/>
    <n v="20.16"/>
    <n v="20"/>
    <n v="15"/>
    <n v="458.39"/>
    <s v="Delivered"/>
    <n v="37"/>
  </r>
  <r>
    <x v="1159"/>
    <x v="58"/>
    <x v="0"/>
    <x v="19"/>
    <s v="Cust_259"/>
    <x v="1"/>
    <x v="4"/>
    <x v="4"/>
    <n v="477721"/>
    <x v="0"/>
    <s v="SKU159"/>
    <s v="Product_159"/>
    <s v="Other"/>
    <n v="5"/>
    <n v="1"/>
    <n v="160.19"/>
    <n v="24.03"/>
    <n v="136.16"/>
    <n v="6.81"/>
    <n v="30"/>
    <n v="15"/>
    <n v="187.97"/>
    <s v="Failed"/>
    <n v="25"/>
  </r>
  <r>
    <x v="1160"/>
    <x v="32"/>
    <x v="0"/>
    <x v="23"/>
    <s v="Cust_260"/>
    <x v="0"/>
    <x v="3"/>
    <x v="4"/>
    <n v="528472"/>
    <x v="4"/>
    <s v="SKU160"/>
    <s v="Product_160"/>
    <s v="Frozen"/>
    <n v="6"/>
    <n v="2"/>
    <n v="183.61"/>
    <n v="9.18"/>
    <n v="358.04"/>
    <n v="17.899999999999999"/>
    <n v="30"/>
    <n v="15"/>
    <n v="420.94"/>
    <s v="Failed"/>
    <n v="25"/>
  </r>
  <r>
    <x v="1161"/>
    <x v="36"/>
    <x v="1"/>
    <x v="17"/>
    <s v="Cust_261"/>
    <x v="0"/>
    <x v="3"/>
    <x v="4"/>
    <n v="865598"/>
    <x v="0"/>
    <s v="SKU161"/>
    <s v="Product_161"/>
    <s v="Frozen"/>
    <n v="6"/>
    <n v="1"/>
    <n v="110.9"/>
    <n v="5.55"/>
    <n v="105.35"/>
    <n v="5.27"/>
    <n v="10"/>
    <n v="0"/>
    <n v="120.62"/>
    <s v="Delivered"/>
    <n v="35"/>
  </r>
  <r>
    <x v="1162"/>
    <x v="15"/>
    <x v="1"/>
    <x v="13"/>
    <s v="Cust_262"/>
    <x v="0"/>
    <x v="0"/>
    <x v="4"/>
    <n v="581153"/>
    <x v="1"/>
    <s v="SKU162"/>
    <s v="Product_162"/>
    <s v="Baby"/>
    <n v="4"/>
    <n v="1"/>
    <n v="63.63"/>
    <n v="6.36"/>
    <n v="57.27"/>
    <n v="2.86"/>
    <n v="20"/>
    <n v="20"/>
    <n v="100.13"/>
    <s v="Delivered"/>
    <n v="36"/>
  </r>
  <r>
    <x v="1163"/>
    <x v="31"/>
    <x v="0"/>
    <x v="22"/>
    <s v="Cust_263"/>
    <x v="0"/>
    <x v="1"/>
    <x v="4"/>
    <n v="437766"/>
    <x v="4"/>
    <s v="SKU163"/>
    <s v="Product_163"/>
    <s v="Beverages"/>
    <n v="9"/>
    <n v="1"/>
    <n v="49.77"/>
    <n v="0"/>
    <n v="49.77"/>
    <n v="2.4900000000000002"/>
    <n v="10"/>
    <n v="15"/>
    <n v="77.260000000000005"/>
    <s v="Delivered"/>
    <n v="27"/>
  </r>
  <r>
    <x v="1164"/>
    <x v="9"/>
    <x v="1"/>
    <x v="7"/>
    <s v="Cust_264"/>
    <x v="0"/>
    <x v="5"/>
    <x v="4"/>
    <n v="246836"/>
    <x v="4"/>
    <s v="SKU164"/>
    <s v="Product_164"/>
    <s v="Frozen"/>
    <n v="6"/>
    <n v="1"/>
    <n v="31.68"/>
    <n v="0"/>
    <n v="31.68"/>
    <n v="1.58"/>
    <n v="0"/>
    <n v="15"/>
    <n v="48.26"/>
    <s v="Returned"/>
    <n v="25"/>
  </r>
  <r>
    <x v="1165"/>
    <x v="59"/>
    <x v="0"/>
    <x v="3"/>
    <s v="Cust_265"/>
    <x v="2"/>
    <x v="4"/>
    <x v="4"/>
    <n v="185501"/>
    <x v="6"/>
    <s v="SKU165"/>
    <s v="Product_165"/>
    <s v="Snacks"/>
    <n v="6"/>
    <n v="1"/>
    <n v="89.36"/>
    <n v="4.47"/>
    <n v="84.89"/>
    <n v="4.24"/>
    <n v="10"/>
    <n v="20"/>
    <n v="119.13"/>
    <s v="Delivered"/>
    <n v="36"/>
  </r>
  <r>
    <x v="1166"/>
    <x v="4"/>
    <x v="0"/>
    <x v="4"/>
    <s v="Cust_266"/>
    <x v="0"/>
    <x v="5"/>
    <x v="4"/>
    <n v="640997"/>
    <x v="4"/>
    <s v="SKU166"/>
    <s v="Product_166"/>
    <s v="snaks"/>
    <n v="5"/>
    <n v="1"/>
    <n v="173.22"/>
    <n v="0"/>
    <n v="173.22"/>
    <n v="8.66"/>
    <n v="30"/>
    <n v="5"/>
    <n v="216.88"/>
    <s v="Cancelled"/>
    <n v="25"/>
  </r>
  <r>
    <x v="1167"/>
    <x v="31"/>
    <x v="0"/>
    <x v="22"/>
    <s v="Cust_267"/>
    <x v="2"/>
    <x v="4"/>
    <x v="4"/>
    <n v="269746"/>
    <x v="5"/>
    <s v="SKU167"/>
    <s v="Product_167"/>
    <s v="Snacks"/>
    <n v="6"/>
    <n v="3"/>
    <n v="136.86000000000001"/>
    <n v="0"/>
    <n v="410.58"/>
    <n v="20.53"/>
    <n v="30"/>
    <n v="15"/>
    <n v="476.11"/>
    <s v="Delivered"/>
    <n v="19"/>
  </r>
  <r>
    <x v="1168"/>
    <x v="21"/>
    <x v="2"/>
    <x v="18"/>
    <s v="Cust_268"/>
    <x v="0"/>
    <x v="2"/>
    <x v="4"/>
    <n v="334622"/>
    <x v="6"/>
    <s v="SKU168"/>
    <s v="Product_168"/>
    <s v="Frozen"/>
    <n v="6"/>
    <n v="2"/>
    <n v="131.56"/>
    <n v="6.58"/>
    <n v="256.54000000000002"/>
    <n v="12.83"/>
    <n v="0"/>
    <n v="0"/>
    <n v="269.37"/>
    <s v="Returned"/>
    <n v="25"/>
  </r>
  <r>
    <x v="1169"/>
    <x v="52"/>
    <x v="0"/>
    <x v="27"/>
    <s v="Cust_269"/>
    <x v="1"/>
    <x v="4"/>
    <x v="4"/>
    <n v="837371"/>
    <x v="0"/>
    <s v="SKU169"/>
    <s v="Product_169"/>
    <s v="Frozen"/>
    <n v="6"/>
    <n v="7"/>
    <n v="79.87"/>
    <n v="7.99"/>
    <n v="551.1"/>
    <n v="27.56"/>
    <n v="0"/>
    <n v="15"/>
    <n v="593.66"/>
    <s v="Delivered"/>
    <n v="22"/>
  </r>
  <r>
    <x v="1170"/>
    <x v="38"/>
    <x v="1"/>
    <x v="20"/>
    <s v="Cust_270"/>
    <x v="0"/>
    <x v="5"/>
    <x v="4"/>
    <n v="184433"/>
    <x v="0"/>
    <s v="SKU170"/>
    <s v="Product_170"/>
    <s v="snaks"/>
    <n v="5"/>
    <n v="5"/>
    <n v="50.94"/>
    <n v="0"/>
    <n v="254.7"/>
    <n v="12.73"/>
    <n v="0"/>
    <n v="0"/>
    <n v="267.43"/>
    <s v="Cancelled"/>
    <n v="25"/>
  </r>
  <r>
    <x v="1171"/>
    <x v="7"/>
    <x v="0"/>
    <x v="5"/>
    <s v="Cust_271"/>
    <x v="1"/>
    <x v="4"/>
    <x v="4"/>
    <n v="264437"/>
    <x v="2"/>
    <s v="SKU171"/>
    <s v="Product_171"/>
    <s v="Dairy"/>
    <n v="5"/>
    <n v="3"/>
    <n v="226.95"/>
    <n v="0"/>
    <n v="680.84999999999991"/>
    <n v="34.04"/>
    <n v="30"/>
    <n v="5"/>
    <n v="749.88999999999987"/>
    <s v="Failed"/>
    <n v="25"/>
  </r>
  <r>
    <x v="1172"/>
    <x v="20"/>
    <x v="0"/>
    <x v="17"/>
    <s v="Cust_272"/>
    <x v="0"/>
    <x v="1"/>
    <x v="4"/>
    <n v="346476"/>
    <x v="1"/>
    <s v="SKU172"/>
    <s v="Product_172"/>
    <s v="Dairy"/>
    <n v="5"/>
    <n v="4"/>
    <n v="69.12"/>
    <n v="3.46"/>
    <n v="273.02"/>
    <n v="13.65"/>
    <n v="20"/>
    <n v="0"/>
    <n v="306.67"/>
    <s v="Delivered"/>
    <n v="39"/>
  </r>
  <r>
    <x v="1173"/>
    <x v="44"/>
    <x v="0"/>
    <x v="26"/>
    <s v="Cust_273"/>
    <x v="2"/>
    <x v="4"/>
    <x v="4"/>
    <n v="525910"/>
    <x v="6"/>
    <s v="SKU173"/>
    <s v="Product_173"/>
    <s v="Fruits"/>
    <n v="6"/>
    <n v="2"/>
    <n v="61.13"/>
    <n v="0"/>
    <n v="122.26"/>
    <n v="6.11"/>
    <n v="20"/>
    <n v="15"/>
    <n v="163.37"/>
    <s v="Delivered"/>
    <n v="16"/>
  </r>
  <r>
    <x v="1174"/>
    <x v="32"/>
    <x v="0"/>
    <x v="23"/>
    <s v="Cust_274"/>
    <x v="1"/>
    <x v="4"/>
    <x v="4"/>
    <n v="855027"/>
    <x v="0"/>
    <s v="SKU174"/>
    <s v="Product_174"/>
    <s v="FRUITS "/>
    <n v="7"/>
    <n v="5"/>
    <n v="149.27000000000001"/>
    <n v="22.39"/>
    <n v="723.96"/>
    <n v="36.200000000000003"/>
    <n v="0"/>
    <n v="10"/>
    <n v="770.16000000000008"/>
    <s v="Returned"/>
    <n v="25"/>
  </r>
  <r>
    <x v="1175"/>
    <x v="3"/>
    <x v="1"/>
    <x v="3"/>
    <s v="Cust_275"/>
    <x v="0"/>
    <x v="5"/>
    <x v="4"/>
    <n v="603256"/>
    <x v="0"/>
    <s v="SKU175"/>
    <s v="Product_175"/>
    <s v="Beverages"/>
    <n v="9"/>
    <n v="2"/>
    <n v="100.4"/>
    <n v="10.039999999999999"/>
    <n v="190.76"/>
    <n v="9.5399999999999991"/>
    <n v="20"/>
    <n v="5"/>
    <n v="225.3"/>
    <s v="Returned"/>
    <n v="25"/>
  </r>
  <r>
    <x v="1176"/>
    <x v="24"/>
    <x v="1"/>
    <x v="19"/>
    <s v="Cust_276"/>
    <x v="0"/>
    <x v="2"/>
    <x v="4"/>
    <n v="733389"/>
    <x v="0"/>
    <s v="SKU176"/>
    <s v="Product_176"/>
    <s v="Essentials"/>
    <n v="10"/>
    <n v="6"/>
    <n v="164.01"/>
    <n v="0"/>
    <n v="984.06"/>
    <n v="49.2"/>
    <n v="0"/>
    <n v="15"/>
    <n v="1048.26"/>
    <s v="Failed"/>
    <n v="25"/>
  </r>
  <r>
    <x v="1177"/>
    <x v="33"/>
    <x v="0"/>
    <x v="9"/>
    <s v="Cust_277"/>
    <x v="0"/>
    <x v="1"/>
    <x v="4"/>
    <n v="665836"/>
    <x v="6"/>
    <s v="SKU177"/>
    <s v="Product_177"/>
    <s v="Snacks"/>
    <n v="6"/>
    <n v="2"/>
    <n v="209.46"/>
    <n v="0"/>
    <n v="418.92"/>
    <n v="20.95"/>
    <n v="20"/>
    <n v="10"/>
    <n v="469.87"/>
    <s v="Delivered"/>
    <n v="3"/>
  </r>
  <r>
    <x v="1178"/>
    <x v="35"/>
    <x v="0"/>
    <x v="25"/>
    <s v="Cust_278"/>
    <x v="0"/>
    <x v="1"/>
    <x v="4"/>
    <n v="912002"/>
    <x v="3"/>
    <s v="SKU178"/>
    <s v="Product_178"/>
    <s v="Beverages"/>
    <n v="9"/>
    <n v="7"/>
    <n v="59.12"/>
    <n v="5.91"/>
    <n v="407.92999999999989"/>
    <n v="20.399999999999999"/>
    <n v="30"/>
    <n v="10"/>
    <n v="468.32999999999993"/>
    <s v="Delivered"/>
    <n v="18"/>
  </r>
  <r>
    <x v="1179"/>
    <x v="29"/>
    <x v="1"/>
    <x v="21"/>
    <s v="Cust_279"/>
    <x v="1"/>
    <x v="4"/>
    <x v="4"/>
    <n v="378187"/>
    <x v="3"/>
    <s v="SKU179"/>
    <s v="Product_179"/>
    <s v="Dairy"/>
    <n v="5"/>
    <n v="3"/>
    <n v="173.78"/>
    <n v="26.07"/>
    <n v="495.27"/>
    <n v="24.76"/>
    <n v="10"/>
    <n v="10"/>
    <n v="540.03000000000009"/>
    <s v="Delivered"/>
    <n v="47"/>
  </r>
  <r>
    <x v="1180"/>
    <x v="49"/>
    <x v="1"/>
    <x v="29"/>
    <s v="Cust_280"/>
    <x v="0"/>
    <x v="3"/>
    <x v="4"/>
    <n v="758772"/>
    <x v="4"/>
    <s v="SKU180"/>
    <s v="Product_180"/>
    <s v="Baby"/>
    <n v="4"/>
    <n v="1"/>
    <n v="123.68"/>
    <n v="12.37"/>
    <n v="111.31"/>
    <n v="5.57"/>
    <n v="0"/>
    <n v="15"/>
    <n v="131.88"/>
    <s v="Delivered"/>
    <n v="48"/>
  </r>
  <r>
    <x v="1181"/>
    <x v="0"/>
    <x v="0"/>
    <x v="0"/>
    <s v="Cust_281"/>
    <x v="0"/>
    <x v="0"/>
    <x v="4"/>
    <n v="300919"/>
    <x v="6"/>
    <s v="SKU181"/>
    <s v="Product_181"/>
    <s v="Essentials"/>
    <n v="10"/>
    <n v="3"/>
    <n v="164.33"/>
    <n v="0"/>
    <n v="492.99"/>
    <n v="24.65"/>
    <n v="10"/>
    <n v="5"/>
    <n v="532.64"/>
    <s v="Delivered"/>
    <n v="32"/>
  </r>
  <r>
    <x v="1182"/>
    <x v="34"/>
    <x v="0"/>
    <x v="24"/>
    <s v="Cust_282"/>
    <x v="0"/>
    <x v="1"/>
    <x v="4"/>
    <n v="871257"/>
    <x v="0"/>
    <s v="SKU182"/>
    <s v="Product_182"/>
    <s v="FRUITS "/>
    <n v="7"/>
    <n v="4"/>
    <n v="152"/>
    <n v="22.8"/>
    <n v="585.20000000000005"/>
    <n v="29.26"/>
    <n v="20"/>
    <n v="15"/>
    <n v="649.46"/>
    <s v="Delivered"/>
    <n v="15"/>
  </r>
  <r>
    <x v="1183"/>
    <x v="45"/>
    <x v="1"/>
    <x v="28"/>
    <s v="Cust_283"/>
    <x v="0"/>
    <x v="1"/>
    <x v="4"/>
    <n v="988407"/>
    <x v="4"/>
    <s v="SKU183"/>
    <s v="Product_183"/>
    <s v="Bakery"/>
    <n v="6"/>
    <n v="3"/>
    <n v="151.31"/>
    <n v="0"/>
    <n v="453.93"/>
    <n v="22.7"/>
    <n v="30"/>
    <n v="20"/>
    <n v="526.63"/>
    <s v="Delivered"/>
    <n v="41"/>
  </r>
  <r>
    <x v="1184"/>
    <x v="0"/>
    <x v="0"/>
    <x v="0"/>
    <s v="Cust_284"/>
    <x v="0"/>
    <x v="3"/>
    <x v="4"/>
    <n v="263543"/>
    <x v="0"/>
    <s v="SKU184"/>
    <s v="Product_184"/>
    <s v="Fruits"/>
    <n v="6"/>
    <n v="3"/>
    <n v="69.48"/>
    <n v="6.95"/>
    <n v="201.49"/>
    <n v="10.07"/>
    <n v="10"/>
    <n v="5"/>
    <n v="226.56"/>
    <s v="Delivered"/>
    <n v="26"/>
  </r>
  <r>
    <x v="1185"/>
    <x v="16"/>
    <x v="1"/>
    <x v="10"/>
    <s v="Cust_285"/>
    <x v="0"/>
    <x v="5"/>
    <x v="4"/>
    <n v="899458"/>
    <x v="4"/>
    <s v="SKU185"/>
    <s v="Product_185"/>
    <s v="snaks"/>
    <n v="5"/>
    <n v="1"/>
    <n v="141.54"/>
    <n v="7.08"/>
    <n v="134.46"/>
    <n v="6.72"/>
    <n v="0"/>
    <n v="20"/>
    <n v="161.18"/>
    <s v="Delivered"/>
    <n v="24"/>
  </r>
  <r>
    <x v="1186"/>
    <x v="42"/>
    <x v="1"/>
    <x v="24"/>
    <s v="Cust_286"/>
    <x v="0"/>
    <x v="2"/>
    <x v="4"/>
    <n v="945753"/>
    <x v="3"/>
    <s v="SKU186"/>
    <s v="Product_186"/>
    <s v="Dairy"/>
    <n v="5"/>
    <n v="1"/>
    <n v="168.8"/>
    <n v="0"/>
    <n v="168.8"/>
    <n v="8.44"/>
    <n v="10"/>
    <n v="20"/>
    <n v="207.24"/>
    <s v="Cancelled"/>
    <n v="25"/>
  </r>
  <r>
    <x v="1187"/>
    <x v="18"/>
    <x v="0"/>
    <x v="15"/>
    <s v="Cust_287"/>
    <x v="0"/>
    <x v="0"/>
    <x v="4"/>
    <n v="793539"/>
    <x v="6"/>
    <s v="SKU187"/>
    <s v="Product_187"/>
    <s v="Veg"/>
    <n v="3"/>
    <n v="2"/>
    <n v="204.55"/>
    <n v="30.68"/>
    <n v="378.42"/>
    <n v="18.920000000000002"/>
    <n v="20"/>
    <n v="0"/>
    <n v="417.34"/>
    <s v="Delivered"/>
    <n v="27"/>
  </r>
  <r>
    <x v="1188"/>
    <x v="24"/>
    <x v="1"/>
    <x v="19"/>
    <s v="Cust_288"/>
    <x v="2"/>
    <x v="4"/>
    <x v="4"/>
    <n v="136069"/>
    <x v="0"/>
    <s v="SKU188"/>
    <s v="Product_188"/>
    <s v="Veg"/>
    <n v="3"/>
    <n v="3"/>
    <n v="138.13999999999999"/>
    <n v="6.91"/>
    <n v="407.50999999999988"/>
    <n v="20.38"/>
    <n v="0"/>
    <n v="20"/>
    <n v="447.88999999999987"/>
    <s v="Cancelled"/>
    <n v="25"/>
  </r>
  <r>
    <x v="1189"/>
    <x v="45"/>
    <x v="1"/>
    <x v="28"/>
    <s v="Cust_289"/>
    <x v="0"/>
    <x v="3"/>
    <x v="4"/>
    <n v="805591"/>
    <x v="4"/>
    <s v="SKU189"/>
    <s v="Product_189"/>
    <s v="Beverages"/>
    <n v="9"/>
    <n v="3"/>
    <n v="0.86"/>
    <n v="0.09"/>
    <n v="2.4900000000000002"/>
    <n v="0.12"/>
    <n v="10"/>
    <n v="5"/>
    <n v="17.61"/>
    <s v="Delivered"/>
    <n v="17"/>
  </r>
  <r>
    <x v="1190"/>
    <x v="56"/>
    <x v="1"/>
    <x v="15"/>
    <s v="Cust_290"/>
    <x v="0"/>
    <x v="3"/>
    <x v="4"/>
    <n v="735960"/>
    <x v="1"/>
    <s v="SKU190"/>
    <s v="Product_190"/>
    <s v="Veg"/>
    <n v="3"/>
    <n v="4"/>
    <n v="101.69"/>
    <n v="0"/>
    <n v="406.76"/>
    <n v="20.34"/>
    <n v="30"/>
    <n v="5"/>
    <n v="462.1"/>
    <s v="Failed"/>
    <n v="25"/>
  </r>
  <r>
    <x v="1191"/>
    <x v="43"/>
    <x v="1"/>
    <x v="23"/>
    <s v="Cust_291"/>
    <x v="0"/>
    <x v="3"/>
    <x v="4"/>
    <n v="993441"/>
    <x v="0"/>
    <s v="SKU191"/>
    <s v="Product_191"/>
    <s v="DIARY"/>
    <n v="5"/>
    <n v="5"/>
    <n v="164.62"/>
    <n v="8.23"/>
    <n v="814.87"/>
    <n v="40.74"/>
    <n v="0"/>
    <n v="20"/>
    <n v="875.61"/>
    <s v="Delivered"/>
    <n v="22"/>
  </r>
  <r>
    <x v="1192"/>
    <x v="24"/>
    <x v="1"/>
    <x v="19"/>
    <s v="Cust_292"/>
    <x v="0"/>
    <x v="5"/>
    <x v="4"/>
    <n v="610790"/>
    <x v="3"/>
    <s v="SKU192"/>
    <s v="Product_192"/>
    <s v="Veg"/>
    <n v="3"/>
    <n v="2"/>
    <n v="137.35"/>
    <n v="0"/>
    <n v="274.7"/>
    <n v="13.73"/>
    <n v="30"/>
    <n v="20"/>
    <n v="338.43"/>
    <s v="Delivered"/>
    <n v="34"/>
  </r>
  <r>
    <x v="1193"/>
    <x v="39"/>
    <x v="1"/>
    <x v="26"/>
    <s v="Cust_293"/>
    <x v="0"/>
    <x v="3"/>
    <x v="4"/>
    <n v="135282"/>
    <x v="2"/>
    <s v="SKU193"/>
    <s v="Product_193"/>
    <s v="Beverages"/>
    <n v="9"/>
    <n v="1"/>
    <n v="73.66"/>
    <n v="3.68"/>
    <n v="69.97999999999999"/>
    <n v="3.5"/>
    <n v="10"/>
    <n v="5"/>
    <n v="88.47999999999999"/>
    <s v="Delivered"/>
    <n v="33"/>
  </r>
  <r>
    <x v="1194"/>
    <x v="49"/>
    <x v="1"/>
    <x v="29"/>
    <s v="Cust_294"/>
    <x v="0"/>
    <x v="0"/>
    <x v="4"/>
    <n v="495412"/>
    <x v="0"/>
    <s v="SKU194"/>
    <s v="Product_194"/>
    <s v="Baby"/>
    <n v="4"/>
    <n v="1"/>
    <n v="170.98"/>
    <n v="0"/>
    <n v="170.98"/>
    <n v="8.5500000000000007"/>
    <n v="30"/>
    <n v="0"/>
    <n v="209.53"/>
    <s v="Delivered"/>
    <n v="40"/>
  </r>
  <r>
    <x v="1195"/>
    <x v="15"/>
    <x v="1"/>
    <x v="13"/>
    <s v="Cust_295"/>
    <x v="0"/>
    <x v="5"/>
    <x v="4"/>
    <n v="144484"/>
    <x v="0"/>
    <s v="SKU195"/>
    <s v="Product_195"/>
    <s v="Frozen"/>
    <n v="6"/>
    <n v="3"/>
    <n v="53.19"/>
    <n v="0"/>
    <n v="159.57"/>
    <n v="7.98"/>
    <n v="10"/>
    <n v="10"/>
    <n v="187.55"/>
    <s v="Delivered"/>
    <n v="40"/>
  </r>
  <r>
    <x v="1196"/>
    <x v="53"/>
    <x v="0"/>
    <x v="29"/>
    <s v="Cust_296"/>
    <x v="0"/>
    <x v="2"/>
    <x v="4"/>
    <n v="217399"/>
    <x v="6"/>
    <s v="SKU196"/>
    <s v="Product_196"/>
    <s v="FRUITS "/>
    <n v="7"/>
    <n v="3"/>
    <n v="161.34"/>
    <n v="8.07"/>
    <n v="475.95"/>
    <n v="23.8"/>
    <n v="20"/>
    <n v="0"/>
    <n v="519.75"/>
    <s v="Delivered"/>
    <n v="25"/>
  </r>
  <r>
    <x v="1197"/>
    <x v="52"/>
    <x v="0"/>
    <x v="27"/>
    <s v="Cust_297"/>
    <x v="0"/>
    <x v="5"/>
    <x v="4"/>
    <n v="723538"/>
    <x v="6"/>
    <s v="SKU197"/>
    <s v="Product_197"/>
    <s v="Fruits"/>
    <n v="6"/>
    <n v="2"/>
    <n v="17.420000000000002"/>
    <n v="2.61"/>
    <n v="32.229999999999997"/>
    <n v="1.61"/>
    <n v="0"/>
    <n v="20"/>
    <n v="53.84"/>
    <s v="Delivered"/>
    <n v="19"/>
  </r>
  <r>
    <x v="1198"/>
    <x v="38"/>
    <x v="1"/>
    <x v="20"/>
    <s v="Cust_298"/>
    <x v="0"/>
    <x v="3"/>
    <x v="4"/>
    <n v="148825"/>
    <x v="3"/>
    <s v="SKU198"/>
    <s v="Product_198"/>
    <s v="Baby"/>
    <n v="4"/>
    <n v="4"/>
    <n v="103.38"/>
    <n v="10.34"/>
    <n v="403.18"/>
    <n v="20.16"/>
    <n v="20"/>
    <n v="15"/>
    <n v="458.34"/>
    <s v="Delivered"/>
    <n v="26"/>
  </r>
  <r>
    <x v="1199"/>
    <x v="31"/>
    <x v="0"/>
    <x v="22"/>
    <s v="Cust_299"/>
    <x v="2"/>
    <x v="4"/>
    <x v="4"/>
    <n v="496474"/>
    <x v="0"/>
    <s v="SKU199"/>
    <s v="Product_199"/>
    <s v="Bakery"/>
    <n v="6"/>
    <n v="2"/>
    <n v="113.09"/>
    <n v="11.31"/>
    <n v="214.87"/>
    <n v="10.74"/>
    <n v="20"/>
    <n v="15"/>
    <n v="260.61"/>
    <s v="Delivered"/>
    <n v="21"/>
  </r>
  <r>
    <x v="1200"/>
    <x v="13"/>
    <x v="0"/>
    <x v="11"/>
    <s v="Cust_0"/>
    <x v="1"/>
    <x v="4"/>
    <x v="4"/>
    <n v="902207"/>
    <x v="4"/>
    <s v="SKU0"/>
    <s v="Product_0"/>
    <s v="Frozen"/>
    <n v="6"/>
    <n v="3"/>
    <n v="127.79"/>
    <n v="6.39"/>
    <n v="376.98"/>
    <n v="18.850000000000001"/>
    <n v="0"/>
    <n v="20"/>
    <n v="415.83"/>
    <s v="Delivered"/>
    <n v="43"/>
  </r>
  <r>
    <x v="1201"/>
    <x v="31"/>
    <x v="0"/>
    <x v="22"/>
    <s v="Cust_1"/>
    <x v="0"/>
    <x v="3"/>
    <x v="4"/>
    <n v="788233"/>
    <x v="0"/>
    <s v="SKU1"/>
    <s v="Product_1"/>
    <s v="FRUITS "/>
    <n v="7"/>
    <n v="2"/>
    <n v="73.989999999999995"/>
    <n v="11.1"/>
    <n v="136.88"/>
    <n v="6.84"/>
    <n v="30"/>
    <n v="10"/>
    <n v="183.72"/>
    <s v="Delivered"/>
    <n v="25"/>
  </r>
  <r>
    <x v="1202"/>
    <x v="16"/>
    <x v="1"/>
    <x v="10"/>
    <s v="Cust_2"/>
    <x v="0"/>
    <x v="2"/>
    <x v="4"/>
    <n v="133734"/>
    <x v="0"/>
    <s v="SKU2"/>
    <s v="Product_2"/>
    <s v="Snacks"/>
    <n v="6"/>
    <n v="4"/>
    <n v="191.44"/>
    <n v="9.57"/>
    <n v="756.18999999999994"/>
    <n v="37.81"/>
    <n v="10"/>
    <n v="10"/>
    <n v="814"/>
    <s v="Delivered"/>
    <n v="27"/>
  </r>
  <r>
    <x v="1203"/>
    <x v="48"/>
    <x v="0"/>
    <x v="13"/>
    <s v="Cust_3"/>
    <x v="1"/>
    <x v="4"/>
    <x v="4"/>
    <n v="423923"/>
    <x v="6"/>
    <s v="SKU3"/>
    <s v="Product_3"/>
    <s v="Frozen"/>
    <n v="6"/>
    <n v="3"/>
    <n v="195.1"/>
    <n v="19.510000000000002"/>
    <n v="565.79"/>
    <n v="28.29"/>
    <n v="20"/>
    <n v="5"/>
    <n v="619.07999999999993"/>
    <s v="Delivered"/>
    <n v="32"/>
  </r>
  <r>
    <x v="1204"/>
    <x v="31"/>
    <x v="0"/>
    <x v="22"/>
    <s v="Cust_4"/>
    <x v="0"/>
    <x v="5"/>
    <x v="4"/>
    <n v="641228"/>
    <x v="6"/>
    <s v="SKU4"/>
    <s v="Product_4"/>
    <s v="DIARY"/>
    <n v="5"/>
    <n v="6"/>
    <n v="135.71"/>
    <n v="6.79"/>
    <n v="807.47"/>
    <n v="40.369999999999997"/>
    <n v="10"/>
    <n v="15"/>
    <n v="872.84"/>
    <s v="Delivered"/>
    <n v="20"/>
  </r>
  <r>
    <x v="1205"/>
    <x v="5"/>
    <x v="1"/>
    <x v="0"/>
    <s v="Cust_5"/>
    <x v="0"/>
    <x v="3"/>
    <x v="4"/>
    <n v="643910"/>
    <x v="4"/>
    <s v="SKU5"/>
    <s v="Product_5"/>
    <s v="Beverages"/>
    <n v="9"/>
    <n v="8"/>
    <n v="143.91"/>
    <n v="7.2"/>
    <n v="1144.08"/>
    <n v="57.2"/>
    <n v="20"/>
    <n v="15"/>
    <n v="1236.28"/>
    <s v="Delivered"/>
    <n v="24"/>
  </r>
  <r>
    <x v="1206"/>
    <x v="14"/>
    <x v="0"/>
    <x v="12"/>
    <s v="Cust_6"/>
    <x v="0"/>
    <x v="2"/>
    <x v="4"/>
    <n v="601072"/>
    <x v="6"/>
    <s v="SKU6"/>
    <s v="Product_6"/>
    <s v="Baby"/>
    <n v="4"/>
    <n v="2"/>
    <n v="14.79"/>
    <n v="2.2200000000000002"/>
    <n v="27.36"/>
    <n v="1.37"/>
    <n v="20"/>
    <n v="0"/>
    <n v="48.73"/>
    <s v="Delivered"/>
    <n v="41"/>
  </r>
  <r>
    <x v="1207"/>
    <x v="25"/>
    <x v="0"/>
    <x v="20"/>
    <s v="Cust_7"/>
    <x v="0"/>
    <x v="5"/>
    <x v="4"/>
    <n v="535132"/>
    <x v="6"/>
    <s v="SKU7"/>
    <s v="Product_7"/>
    <s v="Beverages"/>
    <n v="9"/>
    <n v="1"/>
    <n v="130.24"/>
    <n v="13.02"/>
    <n v="117.22"/>
    <n v="5.86"/>
    <n v="10"/>
    <n v="5"/>
    <n v="138.08000000000001"/>
    <s v="Failed"/>
    <n v="25"/>
  </r>
  <r>
    <x v="1208"/>
    <x v="18"/>
    <x v="0"/>
    <x v="15"/>
    <s v="Cust_8"/>
    <x v="0"/>
    <x v="5"/>
    <x v="4"/>
    <n v="553112"/>
    <x v="5"/>
    <s v="SKU8"/>
    <s v="Product_8"/>
    <s v="Veg"/>
    <n v="3"/>
    <n v="2"/>
    <n v="56.19"/>
    <n v="8.43"/>
    <n v="103.95"/>
    <n v="5.2"/>
    <n v="20"/>
    <n v="0"/>
    <n v="129.15"/>
    <s v="Delivered"/>
    <n v="3"/>
  </r>
  <r>
    <x v="1209"/>
    <x v="8"/>
    <x v="1"/>
    <x v="6"/>
    <s v="Cust_9"/>
    <x v="0"/>
    <x v="3"/>
    <x v="4"/>
    <n v="856355"/>
    <x v="1"/>
    <s v="SKU9"/>
    <s v="Product_9"/>
    <s v="Essentials"/>
    <n v="10"/>
    <n v="1"/>
    <n v="103.73"/>
    <n v="5.19"/>
    <n v="98.54"/>
    <n v="4.93"/>
    <n v="30"/>
    <n v="15"/>
    <n v="148.47"/>
    <s v="Delivered"/>
    <n v="18"/>
  </r>
  <r>
    <x v="1210"/>
    <x v="28"/>
    <x v="0"/>
    <x v="8"/>
    <s v="Cust_10"/>
    <x v="0"/>
    <x v="0"/>
    <x v="4"/>
    <n v="476826"/>
    <x v="0"/>
    <s v="SKU10"/>
    <s v="Product_10"/>
    <s v="bevrage"/>
    <n v="7"/>
    <n v="4"/>
    <n v="43.39"/>
    <n v="4.34"/>
    <n v="169.22"/>
    <n v="8.4600000000000009"/>
    <n v="10"/>
    <n v="10"/>
    <n v="197.68"/>
    <s v="Delivered"/>
    <n v="34"/>
  </r>
  <r>
    <x v="1211"/>
    <x v="53"/>
    <x v="0"/>
    <x v="29"/>
    <s v="Cust_11"/>
    <x v="0"/>
    <x v="1"/>
    <x v="4"/>
    <n v="217752"/>
    <x v="5"/>
    <s v="SKU11"/>
    <s v="Product_11"/>
    <s v="Dairy"/>
    <n v="5"/>
    <n v="1"/>
    <n v="41.69"/>
    <n v="0"/>
    <n v="41.69"/>
    <n v="2.08"/>
    <n v="30"/>
    <n v="0"/>
    <n v="73.77"/>
    <s v="Delivered"/>
    <n v="28"/>
  </r>
  <r>
    <x v="1212"/>
    <x v="35"/>
    <x v="0"/>
    <x v="25"/>
    <s v="Cust_12"/>
    <x v="0"/>
    <x v="5"/>
    <x v="4"/>
    <n v="315432"/>
    <x v="4"/>
    <s v="SKU12"/>
    <s v="Product_12"/>
    <s v="Fruits"/>
    <n v="6"/>
    <n v="3"/>
    <n v="141.93"/>
    <n v="21.29"/>
    <n v="404.5"/>
    <n v="20.23"/>
    <n v="20"/>
    <n v="0"/>
    <n v="444.73"/>
    <s v="Delivered"/>
    <n v="34"/>
  </r>
  <r>
    <x v="1213"/>
    <x v="46"/>
    <x v="1"/>
    <x v="25"/>
    <s v="Cust_13"/>
    <x v="0"/>
    <x v="0"/>
    <x v="4"/>
    <n v="565448"/>
    <x v="3"/>
    <s v="SKU13"/>
    <s v="Product_13"/>
    <s v="Beverages"/>
    <n v="9"/>
    <n v="3"/>
    <n v="32.96"/>
    <n v="3.3"/>
    <n v="95.58"/>
    <n v="4.78"/>
    <n v="30"/>
    <n v="20"/>
    <n v="150.36000000000001"/>
    <s v="Cancelled"/>
    <n v="25"/>
  </r>
  <r>
    <x v="1214"/>
    <x v="1"/>
    <x v="0"/>
    <x v="1"/>
    <s v="Cust_14"/>
    <x v="0"/>
    <x v="2"/>
    <x v="4"/>
    <n v="617400"/>
    <x v="0"/>
    <s v="SKU14"/>
    <s v="Product_14"/>
    <s v="FRUITS "/>
    <n v="7"/>
    <n v="1"/>
    <n v="255.79"/>
    <n v="38.369999999999997"/>
    <n v="217.42"/>
    <n v="10.87"/>
    <n v="30"/>
    <n v="0"/>
    <n v="258.29000000000002"/>
    <s v="Delivered"/>
    <n v="31"/>
  </r>
  <r>
    <x v="1215"/>
    <x v="42"/>
    <x v="1"/>
    <x v="24"/>
    <s v="Cust_15"/>
    <x v="0"/>
    <x v="3"/>
    <x v="4"/>
    <n v="104677"/>
    <x v="0"/>
    <s v="SKU15"/>
    <s v="Product_15"/>
    <s v="Veg"/>
    <n v="3"/>
    <n v="3"/>
    <n v="182.03"/>
    <n v="9.1"/>
    <n v="536.99"/>
    <n v="26.85"/>
    <n v="20"/>
    <n v="5"/>
    <n v="588.84"/>
    <s v="Delivered"/>
    <n v="20"/>
  </r>
  <r>
    <x v="1216"/>
    <x v="48"/>
    <x v="0"/>
    <x v="13"/>
    <s v="Cust_16"/>
    <x v="0"/>
    <x v="0"/>
    <x v="5"/>
    <n v="580675"/>
    <x v="1"/>
    <s v="SKU16"/>
    <s v="Product_16"/>
    <s v="Veg"/>
    <n v="3"/>
    <n v="2"/>
    <n v="74.97"/>
    <n v="11.25"/>
    <n v="138.69"/>
    <n v="6.93"/>
    <n v="0"/>
    <n v="15"/>
    <n v="160.62"/>
    <s v="Delivered"/>
    <n v="23"/>
  </r>
  <r>
    <x v="1217"/>
    <x v="27"/>
    <x v="0"/>
    <x v="21"/>
    <s v="Cust_17"/>
    <x v="0"/>
    <x v="3"/>
    <x v="5"/>
    <n v="717423"/>
    <x v="0"/>
    <s v="SKU17"/>
    <s v="Product_17"/>
    <s v="snaks"/>
    <n v="5"/>
    <n v="2"/>
    <n v="76.59"/>
    <n v="7.66"/>
    <n v="145.52000000000001"/>
    <n v="7.28"/>
    <n v="10"/>
    <n v="10"/>
    <n v="172.8"/>
    <s v="Delivered"/>
    <n v="24"/>
  </r>
  <r>
    <x v="1218"/>
    <x v="58"/>
    <x v="0"/>
    <x v="19"/>
    <s v="Cust_18"/>
    <x v="0"/>
    <x v="3"/>
    <x v="5"/>
    <n v="302268"/>
    <x v="0"/>
    <s v="SKU18"/>
    <s v="Product_18"/>
    <s v="Essentials"/>
    <n v="10"/>
    <n v="3"/>
    <n v="125.04"/>
    <n v="6.25"/>
    <n v="368.87"/>
    <n v="18.440000000000001"/>
    <n v="30"/>
    <n v="20"/>
    <n v="437.31"/>
    <s v="Delivered"/>
    <n v="16"/>
  </r>
  <r>
    <x v="1219"/>
    <x v="27"/>
    <x v="0"/>
    <x v="21"/>
    <s v="Cust_19"/>
    <x v="0"/>
    <x v="5"/>
    <x v="5"/>
    <n v="975584"/>
    <x v="2"/>
    <s v="SKU19"/>
    <s v="Product_19"/>
    <s v="Frozen"/>
    <n v="6"/>
    <n v="2"/>
    <n v="51.13"/>
    <n v="7.67"/>
    <n v="94.59"/>
    <n v="4.7300000000000004"/>
    <n v="0"/>
    <n v="10"/>
    <n v="109.32"/>
    <s v="Delivered"/>
    <n v="32"/>
  </r>
  <r>
    <x v="1220"/>
    <x v="52"/>
    <x v="0"/>
    <x v="27"/>
    <s v="Cust_20"/>
    <x v="0"/>
    <x v="1"/>
    <x v="5"/>
    <n v="181238"/>
    <x v="0"/>
    <s v="SKU20"/>
    <s v="Product_20"/>
    <s v="FRUITS "/>
    <n v="7"/>
    <n v="1"/>
    <n v="187.04"/>
    <n v="9.35"/>
    <n v="177.69"/>
    <n v="8.8800000000000008"/>
    <n v="10"/>
    <n v="5"/>
    <n v="201.57"/>
    <s v="Delivered"/>
    <n v="24"/>
  </r>
  <r>
    <x v="1221"/>
    <x v="46"/>
    <x v="1"/>
    <x v="25"/>
    <s v="Cust_21"/>
    <x v="0"/>
    <x v="0"/>
    <x v="5"/>
    <n v="928681"/>
    <x v="0"/>
    <s v="SKU21"/>
    <s v="Product_21"/>
    <s v="snaks"/>
    <n v="5"/>
    <n v="3"/>
    <n v="157.72999999999999"/>
    <n v="23.66"/>
    <n v="449.52999999999992"/>
    <n v="22.48"/>
    <n v="30"/>
    <n v="15"/>
    <n v="517.01"/>
    <s v="Delivered"/>
    <n v="21"/>
  </r>
  <r>
    <x v="1222"/>
    <x v="35"/>
    <x v="0"/>
    <x v="25"/>
    <s v="Cust_22"/>
    <x v="1"/>
    <x v="4"/>
    <x v="5"/>
    <n v="198843"/>
    <x v="3"/>
    <s v="SKU22"/>
    <s v="Product_22"/>
    <s v="Baby"/>
    <n v="4"/>
    <n v="1"/>
    <n v="219.49"/>
    <n v="32.92"/>
    <n v="186.57"/>
    <n v="9.33"/>
    <n v="20"/>
    <n v="10"/>
    <n v="225.9"/>
    <s v="Delivered"/>
    <n v="20"/>
  </r>
  <r>
    <x v="1223"/>
    <x v="34"/>
    <x v="0"/>
    <x v="24"/>
    <s v="Cust_23"/>
    <x v="0"/>
    <x v="5"/>
    <x v="5"/>
    <n v="574768"/>
    <x v="1"/>
    <s v="SKU23"/>
    <s v="Product_23"/>
    <s v="Veg"/>
    <n v="3"/>
    <n v="1"/>
    <n v="42.99"/>
    <n v="2.15"/>
    <n v="40.840000000000003"/>
    <n v="2.04"/>
    <n v="10"/>
    <n v="20"/>
    <n v="72.88"/>
    <s v="Delivered"/>
    <n v="37"/>
  </r>
  <r>
    <x v="1224"/>
    <x v="22"/>
    <x v="0"/>
    <x v="14"/>
    <s v="Cust_24"/>
    <x v="0"/>
    <x v="3"/>
    <x v="5"/>
    <n v="155612"/>
    <x v="0"/>
    <s v="SKU24"/>
    <s v="Product_24"/>
    <s v="Frozen"/>
    <n v="6"/>
    <n v="1"/>
    <n v="242.03"/>
    <n v="24.2"/>
    <n v="217.83"/>
    <n v="10.89"/>
    <n v="0"/>
    <n v="20"/>
    <n v="248.72"/>
    <s v="Delivered"/>
    <n v="29"/>
  </r>
  <r>
    <x v="1225"/>
    <x v="12"/>
    <x v="0"/>
    <x v="10"/>
    <s v="Cust_25"/>
    <x v="0"/>
    <x v="3"/>
    <x v="5"/>
    <n v="737384"/>
    <x v="3"/>
    <s v="SKU25"/>
    <s v="Product_25"/>
    <s v="Frozen"/>
    <n v="6"/>
    <n v="3"/>
    <n v="160.01"/>
    <n v="0"/>
    <n v="480.03"/>
    <n v="24"/>
    <n v="20"/>
    <n v="0"/>
    <n v="524.03"/>
    <s v="Delivered"/>
    <n v="23"/>
  </r>
  <r>
    <x v="1226"/>
    <x v="16"/>
    <x v="1"/>
    <x v="10"/>
    <s v="Cust_26"/>
    <x v="0"/>
    <x v="0"/>
    <x v="5"/>
    <n v="800975"/>
    <x v="0"/>
    <s v="SKU26"/>
    <s v="Product_26"/>
    <s v="Frozen"/>
    <n v="6"/>
    <n v="4"/>
    <n v="135.22"/>
    <n v="13.52"/>
    <n v="527.36"/>
    <n v="26.37"/>
    <n v="10"/>
    <n v="20"/>
    <n v="583.73"/>
    <s v="Delivered"/>
    <n v="27"/>
  </r>
  <r>
    <x v="1227"/>
    <x v="6"/>
    <x v="1"/>
    <x v="1"/>
    <s v="Cust_27"/>
    <x v="0"/>
    <x v="1"/>
    <x v="5"/>
    <n v="401411"/>
    <x v="3"/>
    <s v="SKU27"/>
    <s v="Product_27"/>
    <s v="Frozen"/>
    <n v="6"/>
    <n v="1"/>
    <n v="195.69"/>
    <n v="29.35"/>
    <n v="166.34"/>
    <n v="8.32"/>
    <n v="0"/>
    <n v="20"/>
    <n v="194.66"/>
    <s v="Delivered"/>
    <n v="15"/>
  </r>
  <r>
    <x v="1228"/>
    <x v="46"/>
    <x v="1"/>
    <x v="25"/>
    <s v="Cust_28"/>
    <x v="0"/>
    <x v="1"/>
    <x v="5"/>
    <n v="100801"/>
    <x v="0"/>
    <s v="SKU28"/>
    <s v="Product_28"/>
    <s v="Other"/>
    <n v="5"/>
    <n v="2"/>
    <n v="206.33"/>
    <n v="20.63"/>
    <n v="392.03"/>
    <n v="19.600000000000001"/>
    <n v="0"/>
    <n v="10"/>
    <n v="421.63000000000011"/>
    <s v="Delivered"/>
    <n v="34"/>
  </r>
  <r>
    <x v="1229"/>
    <x v="46"/>
    <x v="1"/>
    <x v="25"/>
    <s v="Cust_29"/>
    <x v="1"/>
    <x v="4"/>
    <x v="5"/>
    <n v="261792"/>
    <x v="2"/>
    <s v="SKU29"/>
    <s v="Product_29"/>
    <s v="Frozen"/>
    <n v="6"/>
    <n v="6"/>
    <n v="84.85"/>
    <n v="4.24"/>
    <n v="504.86"/>
    <n v="25.24"/>
    <n v="10"/>
    <n v="10"/>
    <n v="550.09999999999991"/>
    <s v="Cancelled"/>
    <n v="25"/>
  </r>
  <r>
    <x v="1230"/>
    <x v="33"/>
    <x v="0"/>
    <x v="9"/>
    <s v="Cust_30"/>
    <x v="0"/>
    <x v="1"/>
    <x v="5"/>
    <n v="277476"/>
    <x v="5"/>
    <s v="SKU30"/>
    <s v="Product_30"/>
    <s v="Essentials"/>
    <n v="10"/>
    <n v="2"/>
    <n v="128.97"/>
    <n v="6.45"/>
    <n v="251.49"/>
    <n v="12.57"/>
    <n v="0"/>
    <n v="20"/>
    <n v="284.06"/>
    <s v="Delivered"/>
    <n v="32"/>
  </r>
  <r>
    <x v="1231"/>
    <x v="51"/>
    <x v="0"/>
    <x v="28"/>
    <s v="Cust_31"/>
    <x v="1"/>
    <x v="4"/>
    <x v="5"/>
    <n v="765491"/>
    <x v="2"/>
    <s v="SKU31"/>
    <s v="Product_31"/>
    <s v="snaks"/>
    <n v="5"/>
    <n v="1"/>
    <n v="193.79"/>
    <n v="0"/>
    <n v="193.79"/>
    <n v="9.69"/>
    <n v="0"/>
    <n v="20"/>
    <n v="223.48"/>
    <s v="Cancelled"/>
    <n v="25"/>
  </r>
  <r>
    <x v="1232"/>
    <x v="39"/>
    <x v="1"/>
    <x v="26"/>
    <s v="Cust_32"/>
    <x v="0"/>
    <x v="0"/>
    <x v="5"/>
    <n v="656357"/>
    <x v="2"/>
    <s v="SKU32"/>
    <s v="Product_32"/>
    <s v="Snacks"/>
    <n v="6"/>
    <n v="1"/>
    <n v="243.73"/>
    <n v="12.19"/>
    <n v="231.54"/>
    <n v="11.58"/>
    <n v="0"/>
    <n v="15"/>
    <n v="258.12"/>
    <s v="Delivered"/>
    <n v="26"/>
  </r>
  <r>
    <x v="1233"/>
    <x v="19"/>
    <x v="1"/>
    <x v="16"/>
    <s v="Cust_33"/>
    <x v="0"/>
    <x v="5"/>
    <x v="5"/>
    <n v="218104"/>
    <x v="6"/>
    <s v="SKU33"/>
    <s v="Product_33"/>
    <s v="Frozen"/>
    <n v="6"/>
    <n v="1"/>
    <n v="82"/>
    <n v="12.3"/>
    <n v="69.7"/>
    <n v="3.49"/>
    <n v="0"/>
    <n v="0"/>
    <n v="73.19"/>
    <s v="Delivered"/>
    <n v="30"/>
  </r>
  <r>
    <x v="1234"/>
    <x v="10"/>
    <x v="1"/>
    <x v="8"/>
    <s v="Cust_34"/>
    <x v="0"/>
    <x v="3"/>
    <x v="5"/>
    <n v="145784"/>
    <x v="4"/>
    <s v="SKU34"/>
    <s v="Product_34"/>
    <s v="FRUITS "/>
    <n v="7"/>
    <n v="1"/>
    <n v="128.51"/>
    <n v="12.85"/>
    <n v="115.66"/>
    <n v="5.78"/>
    <n v="20"/>
    <n v="0"/>
    <n v="141.44"/>
    <s v="Delivered"/>
    <n v="27"/>
  </r>
  <r>
    <x v="1235"/>
    <x v="19"/>
    <x v="1"/>
    <x v="16"/>
    <s v="Cust_35"/>
    <x v="0"/>
    <x v="3"/>
    <x v="5"/>
    <n v="355564"/>
    <x v="6"/>
    <s v="SKU35"/>
    <s v="Product_35"/>
    <s v="Other"/>
    <n v="5"/>
    <n v="1"/>
    <n v="26.36"/>
    <n v="1.32"/>
    <n v="25.04"/>
    <n v="1.25"/>
    <n v="30"/>
    <n v="5"/>
    <n v="61.29"/>
    <s v="Cancelled"/>
    <n v="25"/>
  </r>
  <r>
    <x v="1236"/>
    <x v="50"/>
    <x v="1"/>
    <x v="30"/>
    <s v="Cust_36"/>
    <x v="0"/>
    <x v="3"/>
    <x v="5"/>
    <n v="104922"/>
    <x v="6"/>
    <s v="SKU36"/>
    <s v="Product_36"/>
    <s v="Fruits"/>
    <n v="6"/>
    <n v="6"/>
    <n v="106.51"/>
    <n v="15.98"/>
    <n v="623.08000000000004"/>
    <n v="31.15"/>
    <n v="10"/>
    <n v="15"/>
    <n v="679.23"/>
    <s v="Failed"/>
    <n v="25"/>
  </r>
  <r>
    <x v="1237"/>
    <x v="11"/>
    <x v="1"/>
    <x v="9"/>
    <s v="Cust_37"/>
    <x v="0"/>
    <x v="3"/>
    <x v="5"/>
    <n v="250453"/>
    <x v="3"/>
    <s v="SKU37"/>
    <s v="Product_37"/>
    <s v="Beverages"/>
    <n v="9"/>
    <n v="1"/>
    <n v="199.25"/>
    <n v="0"/>
    <n v="199.25"/>
    <n v="9.9600000000000009"/>
    <n v="0"/>
    <n v="20"/>
    <n v="229.21"/>
    <s v="Delivered"/>
    <n v="26"/>
  </r>
  <r>
    <x v="1238"/>
    <x v="33"/>
    <x v="0"/>
    <x v="9"/>
    <s v="Cust_38"/>
    <x v="0"/>
    <x v="0"/>
    <x v="5"/>
    <n v="107086"/>
    <x v="0"/>
    <s v="SKU38"/>
    <s v="Product_38"/>
    <s v="Frozen"/>
    <n v="6"/>
    <n v="4"/>
    <n v="177.48"/>
    <n v="0"/>
    <n v="709.92"/>
    <n v="35.5"/>
    <n v="20"/>
    <n v="5"/>
    <n v="770.42"/>
    <s v="Delivered"/>
    <n v="20"/>
  </r>
  <r>
    <x v="1239"/>
    <x v="37"/>
    <x v="1"/>
    <x v="12"/>
    <s v="Cust_39"/>
    <x v="0"/>
    <x v="0"/>
    <x v="5"/>
    <n v="863210"/>
    <x v="0"/>
    <s v="SKU39"/>
    <s v="Product_39"/>
    <s v="DIARY"/>
    <n v="5"/>
    <n v="6"/>
    <n v="143.91"/>
    <n v="0"/>
    <n v="863.46"/>
    <n v="43.17"/>
    <n v="30"/>
    <n v="0"/>
    <n v="936.63"/>
    <s v="Delivered"/>
    <n v="16"/>
  </r>
  <r>
    <x v="1240"/>
    <x v="33"/>
    <x v="0"/>
    <x v="9"/>
    <s v="Cust_40"/>
    <x v="0"/>
    <x v="5"/>
    <x v="5"/>
    <n v="884403"/>
    <x v="4"/>
    <s v="SKU40"/>
    <s v="Product_40"/>
    <s v="Snacks"/>
    <n v="6"/>
    <n v="7"/>
    <n v="66.760000000000005"/>
    <n v="3.34"/>
    <n v="463.98000000000008"/>
    <n v="23.2"/>
    <n v="10"/>
    <n v="0"/>
    <n v="497.18000000000012"/>
    <s v="Delivered"/>
    <n v="23"/>
  </r>
  <r>
    <x v="1241"/>
    <x v="15"/>
    <x v="1"/>
    <x v="13"/>
    <s v="Cust_41"/>
    <x v="2"/>
    <x v="4"/>
    <x v="5"/>
    <n v="717752"/>
    <x v="3"/>
    <s v="SKU41"/>
    <s v="Product_41"/>
    <s v="bevrage"/>
    <n v="7"/>
    <n v="1"/>
    <n v="150.80000000000001"/>
    <n v="7.54"/>
    <n v="143.26"/>
    <n v="7.16"/>
    <n v="10"/>
    <n v="15"/>
    <n v="175.42"/>
    <s v="Delivered"/>
    <n v="11"/>
  </r>
  <r>
    <x v="1242"/>
    <x v="32"/>
    <x v="0"/>
    <x v="23"/>
    <s v="Cust_42"/>
    <x v="0"/>
    <x v="2"/>
    <x v="5"/>
    <n v="354174"/>
    <x v="0"/>
    <s v="SKU42"/>
    <s v="Product_42"/>
    <s v="snaks"/>
    <n v="5"/>
    <n v="1"/>
    <n v="26.47"/>
    <n v="2.65"/>
    <n v="23.82"/>
    <n v="1.19"/>
    <n v="20"/>
    <n v="20"/>
    <n v="65.010000000000005"/>
    <s v="Delivered"/>
    <n v="16"/>
  </r>
  <r>
    <x v="1243"/>
    <x v="50"/>
    <x v="1"/>
    <x v="30"/>
    <s v="Cust_43"/>
    <x v="0"/>
    <x v="0"/>
    <x v="5"/>
    <n v="195696"/>
    <x v="0"/>
    <s v="SKU43"/>
    <s v="Product_43"/>
    <s v="Snacks"/>
    <n v="6"/>
    <n v="4"/>
    <n v="95.95"/>
    <n v="9.6"/>
    <n v="374.2"/>
    <n v="18.71"/>
    <n v="30"/>
    <n v="20"/>
    <n v="442.91"/>
    <s v="Cancelled"/>
    <n v="25"/>
  </r>
  <r>
    <x v="1244"/>
    <x v="14"/>
    <x v="0"/>
    <x v="12"/>
    <s v="Cust_44"/>
    <x v="2"/>
    <x v="4"/>
    <x v="5"/>
    <n v="770397"/>
    <x v="0"/>
    <s v="SKU44"/>
    <s v="Product_44"/>
    <s v="Frozen"/>
    <n v="6"/>
    <n v="4"/>
    <n v="91.99"/>
    <n v="4.5999999999999996"/>
    <n v="363.36"/>
    <n v="18.170000000000002"/>
    <n v="20"/>
    <n v="0"/>
    <n v="401.53"/>
    <s v="Delivered"/>
    <n v="10"/>
  </r>
  <r>
    <x v="1245"/>
    <x v="35"/>
    <x v="0"/>
    <x v="25"/>
    <s v="Cust_45"/>
    <x v="2"/>
    <x v="4"/>
    <x v="5"/>
    <n v="991907"/>
    <x v="6"/>
    <s v="SKU45"/>
    <s v="Product_45"/>
    <s v="Veg"/>
    <n v="3"/>
    <n v="1"/>
    <n v="95.95"/>
    <n v="9.6"/>
    <n v="86.350000000000009"/>
    <n v="4.32"/>
    <n v="0"/>
    <n v="0"/>
    <n v="90.670000000000016"/>
    <s v="Delivered"/>
    <n v="4"/>
  </r>
  <r>
    <x v="1246"/>
    <x v="13"/>
    <x v="0"/>
    <x v="11"/>
    <s v="Cust_46"/>
    <x v="0"/>
    <x v="2"/>
    <x v="5"/>
    <n v="312826"/>
    <x v="0"/>
    <s v="SKU46"/>
    <s v="Product_46"/>
    <s v="Dairy"/>
    <n v="5"/>
    <n v="4"/>
    <n v="195.15"/>
    <n v="19.52"/>
    <n v="761.08"/>
    <n v="38.049999999999997"/>
    <n v="10"/>
    <n v="0"/>
    <n v="809.13"/>
    <s v="Delivered"/>
    <n v="17"/>
  </r>
  <r>
    <x v="1247"/>
    <x v="11"/>
    <x v="1"/>
    <x v="9"/>
    <s v="Cust_47"/>
    <x v="0"/>
    <x v="0"/>
    <x v="5"/>
    <n v="581930"/>
    <x v="6"/>
    <s v="SKU47"/>
    <s v="Product_47"/>
    <s v="Bakery"/>
    <n v="6"/>
    <n v="1"/>
    <n v="190.16"/>
    <n v="9.51"/>
    <n v="180.65"/>
    <n v="9.0299999999999994"/>
    <n v="10"/>
    <n v="0"/>
    <n v="199.68"/>
    <s v="Returned"/>
    <n v="25"/>
  </r>
  <r>
    <x v="1248"/>
    <x v="50"/>
    <x v="1"/>
    <x v="30"/>
    <s v="Cust_48"/>
    <x v="0"/>
    <x v="0"/>
    <x v="5"/>
    <n v="329192"/>
    <x v="4"/>
    <s v="SKU48"/>
    <s v="Product_48"/>
    <s v="Bakery"/>
    <n v="6"/>
    <n v="5"/>
    <n v="91.98"/>
    <n v="0"/>
    <n v="459.9"/>
    <n v="23"/>
    <n v="0"/>
    <n v="10"/>
    <n v="492.9"/>
    <s v="Delivered"/>
    <n v="35"/>
  </r>
  <r>
    <x v="1249"/>
    <x v="46"/>
    <x v="1"/>
    <x v="25"/>
    <s v="Cust_49"/>
    <x v="0"/>
    <x v="5"/>
    <x v="5"/>
    <n v="919444"/>
    <x v="0"/>
    <s v="SKU49"/>
    <s v="Product_49"/>
    <s v="Essentials"/>
    <n v="10"/>
    <n v="1"/>
    <n v="236.38"/>
    <n v="23.64"/>
    <n v="212.74"/>
    <n v="10.64"/>
    <n v="30"/>
    <n v="5"/>
    <n v="258.38"/>
    <s v="Failed"/>
    <n v="25"/>
  </r>
  <r>
    <x v="1250"/>
    <x v="17"/>
    <x v="1"/>
    <x v="14"/>
    <s v="Cust_50"/>
    <x v="0"/>
    <x v="0"/>
    <x v="5"/>
    <n v="772636"/>
    <x v="1"/>
    <s v="SKU50"/>
    <s v="Product_50"/>
    <s v="Dairy"/>
    <n v="5"/>
    <n v="5"/>
    <n v="154.46"/>
    <n v="23.17"/>
    <n v="749.13000000000011"/>
    <n v="37.46"/>
    <n v="30"/>
    <n v="15"/>
    <n v="831.59000000000015"/>
    <s v="Cancelled"/>
    <n v="25"/>
  </r>
  <r>
    <x v="1251"/>
    <x v="43"/>
    <x v="1"/>
    <x v="23"/>
    <s v="Cust_51"/>
    <x v="2"/>
    <x v="4"/>
    <x v="5"/>
    <n v="766252"/>
    <x v="5"/>
    <s v="SKU51"/>
    <s v="Product_51"/>
    <s v="Frozen"/>
    <n v="6"/>
    <n v="2"/>
    <n v="120.79"/>
    <n v="6.04"/>
    <n v="235.54"/>
    <n v="11.78"/>
    <n v="20"/>
    <n v="5"/>
    <n v="272.32000000000011"/>
    <s v="Delivered"/>
    <n v="21"/>
  </r>
  <r>
    <x v="1252"/>
    <x v="29"/>
    <x v="1"/>
    <x v="21"/>
    <s v="Cust_52"/>
    <x v="0"/>
    <x v="0"/>
    <x v="5"/>
    <n v="367531"/>
    <x v="1"/>
    <s v="SKU52"/>
    <s v="Product_52"/>
    <s v="Snacks"/>
    <n v="6"/>
    <n v="1"/>
    <n v="72.95"/>
    <n v="10.94"/>
    <n v="62.010000000000012"/>
    <n v="3.1"/>
    <n v="0"/>
    <n v="0"/>
    <n v="65.11"/>
    <s v="Delivered"/>
    <n v="17"/>
  </r>
  <r>
    <x v="1253"/>
    <x v="10"/>
    <x v="1"/>
    <x v="8"/>
    <s v="Cust_53"/>
    <x v="2"/>
    <x v="4"/>
    <x v="5"/>
    <n v="334484"/>
    <x v="0"/>
    <s v="SKU53"/>
    <s v="Product_53"/>
    <s v="Bakery"/>
    <n v="6"/>
    <n v="3"/>
    <n v="98.01"/>
    <n v="9.8000000000000007"/>
    <n v="284.23"/>
    <n v="14.21"/>
    <n v="0"/>
    <n v="15"/>
    <n v="313.44"/>
    <s v="Delivered"/>
    <n v="38"/>
  </r>
  <r>
    <x v="1254"/>
    <x v="39"/>
    <x v="1"/>
    <x v="26"/>
    <s v="Cust_54"/>
    <x v="0"/>
    <x v="1"/>
    <x v="5"/>
    <n v="486354"/>
    <x v="0"/>
    <s v="SKU54"/>
    <s v="Product_54"/>
    <s v="Essentials"/>
    <n v="10"/>
    <n v="6"/>
    <n v="144.94999999999999"/>
    <n v="7.25"/>
    <n v="862.44999999999993"/>
    <n v="43.12"/>
    <n v="20"/>
    <n v="10"/>
    <n v="935.56999999999994"/>
    <s v="Delivered"/>
    <n v="37"/>
  </r>
  <r>
    <x v="1255"/>
    <x v="3"/>
    <x v="1"/>
    <x v="3"/>
    <s v="Cust_55"/>
    <x v="0"/>
    <x v="3"/>
    <x v="5"/>
    <n v="586598"/>
    <x v="3"/>
    <s v="SKU55"/>
    <s v="Product_55"/>
    <s v="Veg"/>
    <n v="3"/>
    <n v="1"/>
    <n v="155.9"/>
    <n v="23.39"/>
    <n v="132.51"/>
    <n v="6.63"/>
    <n v="30"/>
    <n v="0"/>
    <n v="169.14"/>
    <s v="Delivered"/>
    <n v="7"/>
  </r>
  <r>
    <x v="1256"/>
    <x v="46"/>
    <x v="1"/>
    <x v="25"/>
    <s v="Cust_56"/>
    <x v="1"/>
    <x v="4"/>
    <x v="5"/>
    <n v="248395"/>
    <x v="3"/>
    <s v="SKU56"/>
    <s v="Product_56"/>
    <s v="FRUITS "/>
    <n v="7"/>
    <n v="1"/>
    <n v="64.91"/>
    <n v="0"/>
    <n v="64.91"/>
    <n v="3.25"/>
    <n v="10"/>
    <n v="10"/>
    <n v="88.16"/>
    <s v="Delivered"/>
    <n v="28"/>
  </r>
  <r>
    <x v="1257"/>
    <x v="47"/>
    <x v="0"/>
    <x v="7"/>
    <s v="Cust_57"/>
    <x v="0"/>
    <x v="3"/>
    <x v="5"/>
    <n v="132583"/>
    <x v="3"/>
    <s v="SKU57"/>
    <s v="Product_57"/>
    <s v="Essentials"/>
    <n v="10"/>
    <n v="3"/>
    <n v="240.82"/>
    <n v="0"/>
    <n v="722.46"/>
    <n v="36.119999999999997"/>
    <n v="20"/>
    <n v="5"/>
    <n v="783.58"/>
    <s v="Delivered"/>
    <n v="30"/>
  </r>
  <r>
    <x v="1258"/>
    <x v="25"/>
    <x v="0"/>
    <x v="20"/>
    <s v="Cust_58"/>
    <x v="0"/>
    <x v="2"/>
    <x v="5"/>
    <n v="119510"/>
    <x v="2"/>
    <s v="SKU58"/>
    <s v="Product_58"/>
    <s v="Other"/>
    <n v="5"/>
    <n v="2"/>
    <n v="101.24"/>
    <n v="5.0599999999999996"/>
    <n v="197.42"/>
    <n v="9.8699999999999992"/>
    <n v="10"/>
    <n v="5"/>
    <n v="222.29"/>
    <s v="Delivered"/>
    <n v="20"/>
  </r>
  <r>
    <x v="1259"/>
    <x v="19"/>
    <x v="1"/>
    <x v="16"/>
    <s v="Cust_59"/>
    <x v="0"/>
    <x v="0"/>
    <x v="5"/>
    <n v="645893"/>
    <x v="4"/>
    <s v="SKU59"/>
    <s v="Product_59"/>
    <s v="Fruits"/>
    <n v="6"/>
    <n v="2"/>
    <n v="70.709999999999994"/>
    <n v="7.07"/>
    <n v="134.35"/>
    <n v="6.72"/>
    <n v="30"/>
    <n v="10"/>
    <n v="181.07"/>
    <s v="Delivered"/>
    <n v="23"/>
  </r>
  <r>
    <x v="1260"/>
    <x v="58"/>
    <x v="0"/>
    <x v="19"/>
    <s v="Cust_60"/>
    <x v="0"/>
    <x v="2"/>
    <x v="5"/>
    <n v="792272"/>
    <x v="0"/>
    <s v="SKU60"/>
    <s v="Product_60"/>
    <s v="Frozen"/>
    <n v="6"/>
    <n v="2"/>
    <n v="23.19"/>
    <n v="3.48"/>
    <n v="42.900000000000013"/>
    <n v="2.15"/>
    <n v="10"/>
    <n v="0"/>
    <n v="55.05"/>
    <s v="Delivered"/>
    <n v="22"/>
  </r>
  <r>
    <x v="1261"/>
    <x v="20"/>
    <x v="0"/>
    <x v="17"/>
    <s v="Cust_61"/>
    <x v="2"/>
    <x v="4"/>
    <x v="5"/>
    <n v="792494"/>
    <x v="0"/>
    <s v="SKU61"/>
    <s v="Product_61"/>
    <s v="Veg"/>
    <n v="3"/>
    <n v="5"/>
    <n v="203.98"/>
    <n v="20.399999999999999"/>
    <n v="999.5"/>
    <n v="49.98"/>
    <n v="30"/>
    <n v="20"/>
    <n v="1099.48"/>
    <s v="Delivered"/>
    <n v="28"/>
  </r>
  <r>
    <x v="1262"/>
    <x v="32"/>
    <x v="0"/>
    <x v="23"/>
    <s v="Cust_62"/>
    <x v="0"/>
    <x v="2"/>
    <x v="5"/>
    <n v="364954"/>
    <x v="2"/>
    <s v="SKU62"/>
    <s v="Product_62"/>
    <s v="Bakery"/>
    <n v="6"/>
    <n v="5"/>
    <n v="129.41"/>
    <n v="6.47"/>
    <n v="640.57999999999993"/>
    <n v="32.03"/>
    <n v="20"/>
    <n v="10"/>
    <n v="702.6099999999999"/>
    <s v="Delivered"/>
    <n v="9"/>
  </r>
  <r>
    <x v="1263"/>
    <x v="34"/>
    <x v="0"/>
    <x v="24"/>
    <s v="Cust_63"/>
    <x v="0"/>
    <x v="1"/>
    <x v="5"/>
    <n v="697823"/>
    <x v="2"/>
    <s v="SKU63"/>
    <s v="Product_63"/>
    <s v="DIARY"/>
    <n v="5"/>
    <n v="2"/>
    <n v="51.72"/>
    <n v="5.17"/>
    <n v="98.27"/>
    <n v="4.91"/>
    <n v="30"/>
    <n v="20"/>
    <n v="153.18"/>
    <s v="Returned"/>
    <n v="25"/>
  </r>
  <r>
    <x v="1264"/>
    <x v="17"/>
    <x v="1"/>
    <x v="14"/>
    <s v="Cust_64"/>
    <x v="0"/>
    <x v="2"/>
    <x v="5"/>
    <n v="799793"/>
    <x v="1"/>
    <s v="SKU64"/>
    <s v="Product_64"/>
    <s v="Essentials"/>
    <n v="10"/>
    <n v="2"/>
    <n v="68.23"/>
    <n v="10.23"/>
    <n v="126.23"/>
    <n v="6.31"/>
    <n v="20"/>
    <n v="5"/>
    <n v="157.54"/>
    <s v="Delivered"/>
    <n v="30"/>
  </r>
  <r>
    <x v="1265"/>
    <x v="3"/>
    <x v="1"/>
    <x v="3"/>
    <s v="Cust_65"/>
    <x v="0"/>
    <x v="5"/>
    <x v="5"/>
    <n v="652355"/>
    <x v="6"/>
    <s v="SKU65"/>
    <s v="Product_65"/>
    <s v="Beverages"/>
    <n v="9"/>
    <n v="1"/>
    <n v="109.04"/>
    <n v="0"/>
    <n v="109.04"/>
    <n v="5.45"/>
    <n v="10"/>
    <n v="10"/>
    <n v="134.49"/>
    <s v="Delivered"/>
    <n v="26"/>
  </r>
  <r>
    <x v="1266"/>
    <x v="10"/>
    <x v="1"/>
    <x v="8"/>
    <s v="Cust_66"/>
    <x v="0"/>
    <x v="0"/>
    <x v="5"/>
    <n v="843787"/>
    <x v="5"/>
    <s v="SKU66"/>
    <s v="Product_66"/>
    <s v="Essentials"/>
    <n v="10"/>
    <n v="1"/>
    <n v="146.82"/>
    <n v="0"/>
    <n v="146.82"/>
    <n v="7.34"/>
    <n v="30"/>
    <n v="5"/>
    <n v="189.16"/>
    <s v="Delivered"/>
    <n v="31"/>
  </r>
  <r>
    <x v="1267"/>
    <x v="5"/>
    <x v="1"/>
    <x v="0"/>
    <s v="Cust_67"/>
    <x v="2"/>
    <x v="4"/>
    <x v="5"/>
    <n v="236984"/>
    <x v="5"/>
    <s v="SKU67"/>
    <s v="Product_67"/>
    <s v="DIARY"/>
    <n v="5"/>
    <n v="1"/>
    <n v="78.16"/>
    <n v="0"/>
    <n v="78.16"/>
    <n v="3.91"/>
    <n v="0"/>
    <n v="0"/>
    <n v="82.07"/>
    <s v="Cancelled"/>
    <n v="25"/>
  </r>
  <r>
    <x v="1268"/>
    <x v="42"/>
    <x v="1"/>
    <x v="24"/>
    <s v="Cust_68"/>
    <x v="0"/>
    <x v="1"/>
    <x v="5"/>
    <n v="225555"/>
    <x v="0"/>
    <s v="SKU68"/>
    <s v="Product_68"/>
    <s v="Beverages"/>
    <n v="9"/>
    <n v="1"/>
    <n v="139.5"/>
    <n v="0"/>
    <n v="139.5"/>
    <n v="6.98"/>
    <n v="20"/>
    <n v="5"/>
    <n v="171.48"/>
    <s v="Cancelled"/>
    <n v="25"/>
  </r>
  <r>
    <x v="1269"/>
    <x v="32"/>
    <x v="0"/>
    <x v="23"/>
    <s v="Cust_69"/>
    <x v="1"/>
    <x v="4"/>
    <x v="5"/>
    <n v="911624"/>
    <x v="6"/>
    <s v="SKU69"/>
    <s v="Product_69"/>
    <s v="DIARY"/>
    <n v="5"/>
    <n v="2"/>
    <n v="94.6"/>
    <n v="14.19"/>
    <n v="175.01"/>
    <n v="8.75"/>
    <n v="30"/>
    <n v="20"/>
    <n v="233.76"/>
    <s v="Delivered"/>
    <n v="17"/>
  </r>
  <r>
    <x v="1270"/>
    <x v="52"/>
    <x v="0"/>
    <x v="27"/>
    <s v="Cust_70"/>
    <x v="0"/>
    <x v="0"/>
    <x v="5"/>
    <n v="298017"/>
    <x v="0"/>
    <s v="SKU70"/>
    <s v="Product_70"/>
    <s v="Dairy"/>
    <n v="5"/>
    <n v="2"/>
    <n v="253.44"/>
    <n v="25.34"/>
    <n v="481.54"/>
    <n v="24.08"/>
    <n v="20"/>
    <n v="10"/>
    <n v="535.62"/>
    <s v="Delivered"/>
    <n v="41"/>
  </r>
  <r>
    <x v="1271"/>
    <x v="18"/>
    <x v="0"/>
    <x v="15"/>
    <s v="Cust_71"/>
    <x v="0"/>
    <x v="2"/>
    <x v="5"/>
    <n v="771064"/>
    <x v="2"/>
    <s v="SKU71"/>
    <s v="Product_71"/>
    <s v="DIARY"/>
    <n v="5"/>
    <n v="1"/>
    <n v="161.21"/>
    <n v="16.12"/>
    <n v="145.09"/>
    <n v="7.25"/>
    <n v="30"/>
    <n v="15"/>
    <n v="197.34"/>
    <s v="Delivered"/>
    <n v="14"/>
  </r>
  <r>
    <x v="1272"/>
    <x v="55"/>
    <x v="1"/>
    <x v="11"/>
    <s v="Cust_72"/>
    <x v="0"/>
    <x v="0"/>
    <x v="5"/>
    <n v="350319"/>
    <x v="0"/>
    <s v="SKU72"/>
    <s v="Product_72"/>
    <s v="Essentials"/>
    <n v="10"/>
    <n v="3"/>
    <n v="94.25"/>
    <n v="4.71"/>
    <n v="278.04000000000002"/>
    <n v="13.9"/>
    <n v="30"/>
    <n v="0"/>
    <n v="321.94"/>
    <s v="Delivered"/>
    <n v="28"/>
  </r>
  <r>
    <x v="1273"/>
    <x v="46"/>
    <x v="1"/>
    <x v="25"/>
    <s v="Cust_73"/>
    <x v="0"/>
    <x v="5"/>
    <x v="5"/>
    <n v="554529"/>
    <x v="0"/>
    <s v="SKU73"/>
    <s v="Product_73"/>
    <s v="Dairy"/>
    <n v="5"/>
    <n v="4"/>
    <n v="18.03"/>
    <n v="1.8"/>
    <n v="70.320000000000007"/>
    <n v="3.52"/>
    <n v="20"/>
    <n v="15"/>
    <n v="108.84"/>
    <s v="Delivered"/>
    <n v="22"/>
  </r>
  <r>
    <x v="1274"/>
    <x v="42"/>
    <x v="1"/>
    <x v="24"/>
    <s v="Cust_74"/>
    <x v="0"/>
    <x v="5"/>
    <x v="5"/>
    <n v="375419"/>
    <x v="2"/>
    <s v="SKU74"/>
    <s v="Product_74"/>
    <s v="Veg"/>
    <n v="3"/>
    <n v="1"/>
    <n v="27.52"/>
    <n v="2.75"/>
    <n v="24.77"/>
    <n v="1.24"/>
    <n v="10"/>
    <n v="20"/>
    <n v="56.01"/>
    <s v="Delivered"/>
    <n v="31"/>
  </r>
  <r>
    <x v="1275"/>
    <x v="47"/>
    <x v="0"/>
    <x v="7"/>
    <s v="Cust_75"/>
    <x v="0"/>
    <x v="3"/>
    <x v="5"/>
    <n v="394768"/>
    <x v="6"/>
    <s v="SKU75"/>
    <s v="Product_75"/>
    <s v="Fruits"/>
    <n v="6"/>
    <n v="3"/>
    <n v="189.74"/>
    <n v="18.97"/>
    <n v="550.25"/>
    <n v="27.51"/>
    <n v="0"/>
    <n v="10"/>
    <n v="587.76"/>
    <s v="Cancelled"/>
    <n v="25"/>
  </r>
  <r>
    <x v="1276"/>
    <x v="39"/>
    <x v="1"/>
    <x v="26"/>
    <s v="Cust_76"/>
    <x v="0"/>
    <x v="1"/>
    <x v="5"/>
    <n v="462355"/>
    <x v="5"/>
    <s v="SKU76"/>
    <s v="Product_76"/>
    <s v="DIARY"/>
    <n v="5"/>
    <n v="1"/>
    <n v="23.71"/>
    <n v="3.56"/>
    <n v="20.149999999999999"/>
    <n v="1.01"/>
    <n v="10"/>
    <n v="10"/>
    <n v="41.16"/>
    <s v="Delivered"/>
    <n v="13"/>
  </r>
  <r>
    <x v="1277"/>
    <x v="8"/>
    <x v="1"/>
    <x v="6"/>
    <s v="Cust_77"/>
    <x v="0"/>
    <x v="0"/>
    <x v="5"/>
    <n v="305463"/>
    <x v="3"/>
    <s v="SKU77"/>
    <s v="Product_77"/>
    <s v="Frozen"/>
    <n v="6"/>
    <n v="4"/>
    <n v="117.22"/>
    <n v="17.579999999999998"/>
    <n v="451.3"/>
    <n v="22.57"/>
    <n v="0"/>
    <n v="15"/>
    <n v="488.87"/>
    <s v="Delivered"/>
    <n v="26"/>
  </r>
  <r>
    <x v="1278"/>
    <x v="43"/>
    <x v="1"/>
    <x v="23"/>
    <s v="Cust_78"/>
    <x v="0"/>
    <x v="3"/>
    <x v="5"/>
    <n v="240302"/>
    <x v="6"/>
    <s v="SKU78"/>
    <s v="Product_78"/>
    <s v="DIARY"/>
    <n v="5"/>
    <n v="1"/>
    <n v="122.51"/>
    <n v="12.25"/>
    <n v="110.26"/>
    <n v="5.51"/>
    <n v="0"/>
    <n v="5"/>
    <n v="120.77"/>
    <s v="Delivered"/>
    <n v="10"/>
  </r>
  <r>
    <x v="1279"/>
    <x v="22"/>
    <x v="0"/>
    <x v="14"/>
    <s v="Cust_79"/>
    <x v="0"/>
    <x v="5"/>
    <x v="5"/>
    <n v="742064"/>
    <x v="0"/>
    <s v="SKU79"/>
    <s v="Product_79"/>
    <s v="Bakery"/>
    <n v="6"/>
    <n v="5"/>
    <n v="201.79"/>
    <n v="0"/>
    <n v="1008.95"/>
    <n v="50.45"/>
    <n v="0"/>
    <n v="5"/>
    <n v="1064.4000000000001"/>
    <s v="Delivered"/>
    <n v="21"/>
  </r>
  <r>
    <x v="1280"/>
    <x v="43"/>
    <x v="1"/>
    <x v="23"/>
    <s v="Cust_80"/>
    <x v="2"/>
    <x v="4"/>
    <x v="5"/>
    <n v="626077"/>
    <x v="5"/>
    <s v="SKU80"/>
    <s v="Product_80"/>
    <s v="Bakery"/>
    <n v="6"/>
    <n v="1"/>
    <n v="71.12"/>
    <n v="3.56"/>
    <n v="67.56"/>
    <n v="3.38"/>
    <n v="30"/>
    <n v="0"/>
    <n v="100.94"/>
    <s v="Delivered"/>
    <n v="26"/>
  </r>
  <r>
    <x v="1281"/>
    <x v="25"/>
    <x v="0"/>
    <x v="20"/>
    <s v="Cust_81"/>
    <x v="0"/>
    <x v="5"/>
    <x v="5"/>
    <n v="514750"/>
    <x v="3"/>
    <s v="SKU81"/>
    <s v="Product_81"/>
    <s v="Dairy"/>
    <n v="5"/>
    <n v="2"/>
    <n v="54.23"/>
    <n v="8.1300000000000008"/>
    <n v="100.33"/>
    <n v="5.0199999999999996"/>
    <n v="30"/>
    <n v="15"/>
    <n v="150.35"/>
    <s v="Delivered"/>
    <n v="24"/>
  </r>
  <r>
    <x v="1282"/>
    <x v="23"/>
    <x v="1"/>
    <x v="4"/>
    <s v="Cust_82"/>
    <x v="0"/>
    <x v="5"/>
    <x v="5"/>
    <n v="693391"/>
    <x v="3"/>
    <s v="SKU82"/>
    <s v="Product_82"/>
    <s v="Veg"/>
    <n v="3"/>
    <n v="2"/>
    <n v="231.2"/>
    <n v="0"/>
    <n v="462.4"/>
    <n v="23.12"/>
    <n v="20"/>
    <n v="5"/>
    <n v="510.52"/>
    <s v="Failed"/>
    <n v="25"/>
  </r>
  <r>
    <x v="1283"/>
    <x v="31"/>
    <x v="0"/>
    <x v="22"/>
    <s v="Cust_83"/>
    <x v="0"/>
    <x v="3"/>
    <x v="5"/>
    <n v="595054"/>
    <x v="3"/>
    <s v="SKU83"/>
    <s v="Product_83"/>
    <s v="Veg"/>
    <n v="3"/>
    <n v="4"/>
    <n v="86.57"/>
    <n v="8.66"/>
    <n v="337.61999999999989"/>
    <n v="16.88"/>
    <n v="20"/>
    <n v="5"/>
    <n v="379.49999999999989"/>
    <s v="Delivered"/>
    <n v="14"/>
  </r>
  <r>
    <x v="1284"/>
    <x v="54"/>
    <x v="1"/>
    <x v="18"/>
    <s v="Cust_84"/>
    <x v="0"/>
    <x v="5"/>
    <x v="5"/>
    <n v="853772"/>
    <x v="0"/>
    <s v="SKU84"/>
    <s v="Product_84"/>
    <s v="Frozen"/>
    <n v="6"/>
    <n v="3"/>
    <n v="161.19999999999999"/>
    <n v="8.06"/>
    <n v="475.54"/>
    <n v="23.78"/>
    <n v="10"/>
    <n v="5"/>
    <n v="514.31999999999994"/>
    <s v="Delivered"/>
    <n v="23"/>
  </r>
  <r>
    <x v="1285"/>
    <x v="42"/>
    <x v="1"/>
    <x v="24"/>
    <s v="Cust_85"/>
    <x v="0"/>
    <x v="5"/>
    <x v="5"/>
    <n v="579673"/>
    <x v="0"/>
    <s v="SKU85"/>
    <s v="Product_85"/>
    <s v="DIARY"/>
    <n v="5"/>
    <n v="4"/>
    <n v="121.39"/>
    <n v="0"/>
    <n v="485.56"/>
    <n v="24.28"/>
    <n v="30"/>
    <n v="0"/>
    <n v="539.84"/>
    <s v="Failed"/>
    <n v="25"/>
  </r>
  <r>
    <x v="1286"/>
    <x v="40"/>
    <x v="1"/>
    <x v="27"/>
    <s v="Cust_86"/>
    <x v="0"/>
    <x v="2"/>
    <x v="5"/>
    <n v="332298"/>
    <x v="5"/>
    <s v="SKU86"/>
    <s v="Product_86"/>
    <s v="bevrage"/>
    <n v="7"/>
    <n v="2"/>
    <n v="58.19"/>
    <n v="2.91"/>
    <n v="113.47"/>
    <n v="5.67"/>
    <n v="30"/>
    <n v="0"/>
    <n v="149.13999999999999"/>
    <s v="Delivered"/>
    <n v="12"/>
  </r>
  <r>
    <x v="1287"/>
    <x v="20"/>
    <x v="0"/>
    <x v="17"/>
    <s v="Cust_87"/>
    <x v="2"/>
    <x v="4"/>
    <x v="5"/>
    <n v="795109"/>
    <x v="5"/>
    <s v="SKU87"/>
    <s v="Product_87"/>
    <s v="Veg"/>
    <n v="3"/>
    <n v="4"/>
    <n v="40.159999999999997"/>
    <n v="2.0099999999999998"/>
    <n v="158.63"/>
    <n v="7.93"/>
    <n v="20"/>
    <n v="20"/>
    <n v="206.56"/>
    <s v="Delivered"/>
    <n v="3"/>
  </r>
  <r>
    <x v="1288"/>
    <x v="35"/>
    <x v="0"/>
    <x v="25"/>
    <s v="Cust_88"/>
    <x v="0"/>
    <x v="3"/>
    <x v="5"/>
    <n v="265640"/>
    <x v="3"/>
    <s v="SKU88"/>
    <s v="Product_88"/>
    <s v="Essentials"/>
    <n v="10"/>
    <n v="5"/>
    <n v="31.41"/>
    <n v="4.71"/>
    <n v="152.34"/>
    <n v="7.62"/>
    <n v="0"/>
    <n v="5"/>
    <n v="164.96"/>
    <s v="Delivered"/>
    <n v="12"/>
  </r>
  <r>
    <x v="1289"/>
    <x v="10"/>
    <x v="1"/>
    <x v="8"/>
    <s v="Cust_89"/>
    <x v="0"/>
    <x v="1"/>
    <x v="5"/>
    <n v="475903"/>
    <x v="3"/>
    <s v="SKU89"/>
    <s v="Product_89"/>
    <s v="Essentials"/>
    <n v="10"/>
    <n v="1"/>
    <n v="6.43"/>
    <n v="0.64"/>
    <n v="5.79"/>
    <n v="0.28999999999999998"/>
    <n v="0"/>
    <n v="20"/>
    <n v="26.08"/>
    <s v="Cancelled"/>
    <n v="25"/>
  </r>
  <r>
    <x v="1290"/>
    <x v="13"/>
    <x v="0"/>
    <x v="11"/>
    <s v="Cust_90"/>
    <x v="0"/>
    <x v="5"/>
    <x v="5"/>
    <n v="287167"/>
    <x v="0"/>
    <s v="SKU90"/>
    <s v="Product_90"/>
    <s v="Essentials"/>
    <n v="10"/>
    <n v="3"/>
    <n v="138.33000000000001"/>
    <n v="0"/>
    <n v="414.99"/>
    <n v="20.75"/>
    <n v="20"/>
    <n v="15"/>
    <n v="470.74"/>
    <s v="Delivered"/>
    <n v="12"/>
  </r>
  <r>
    <x v="1291"/>
    <x v="56"/>
    <x v="1"/>
    <x v="15"/>
    <s v="Cust_91"/>
    <x v="0"/>
    <x v="3"/>
    <x v="5"/>
    <n v="143988"/>
    <x v="1"/>
    <s v="SKU91"/>
    <s v="Product_91"/>
    <s v="FRUITS "/>
    <n v="7"/>
    <n v="1"/>
    <n v="120.38"/>
    <n v="6.02"/>
    <n v="114.36"/>
    <n v="5.72"/>
    <n v="30"/>
    <n v="0"/>
    <n v="150.08000000000001"/>
    <s v="Delivered"/>
    <n v="12"/>
  </r>
  <r>
    <x v="1292"/>
    <x v="4"/>
    <x v="0"/>
    <x v="4"/>
    <s v="Cust_92"/>
    <x v="0"/>
    <x v="5"/>
    <x v="5"/>
    <n v="618728"/>
    <x v="0"/>
    <s v="SKU92"/>
    <s v="Product_92"/>
    <s v="Frozen"/>
    <n v="6"/>
    <n v="1"/>
    <n v="39.950000000000003"/>
    <n v="5.99"/>
    <n v="33.96"/>
    <n v="1.7"/>
    <n v="0"/>
    <n v="15"/>
    <n v="50.66"/>
    <s v="Delivered"/>
    <n v="22"/>
  </r>
  <r>
    <x v="1293"/>
    <x v="15"/>
    <x v="1"/>
    <x v="13"/>
    <s v="Cust_93"/>
    <x v="0"/>
    <x v="3"/>
    <x v="5"/>
    <n v="269169"/>
    <x v="6"/>
    <s v="SKU93"/>
    <s v="Product_93"/>
    <s v="Veg"/>
    <n v="3"/>
    <n v="1"/>
    <n v="172.57"/>
    <n v="8.6300000000000008"/>
    <n v="163.94"/>
    <n v="8.1999999999999993"/>
    <n v="20"/>
    <n v="20"/>
    <n v="212.14"/>
    <s v="Delivered"/>
    <n v="36"/>
  </r>
  <r>
    <x v="1294"/>
    <x v="22"/>
    <x v="0"/>
    <x v="14"/>
    <s v="Cust_94"/>
    <x v="0"/>
    <x v="3"/>
    <x v="5"/>
    <n v="955738"/>
    <x v="6"/>
    <s v="SKU94"/>
    <s v="Product_94"/>
    <s v="bevrage"/>
    <n v="7"/>
    <n v="3"/>
    <n v="61.21"/>
    <n v="6.12"/>
    <n v="177.51"/>
    <n v="8.8800000000000008"/>
    <n v="30"/>
    <n v="5"/>
    <n v="221.39"/>
    <s v="Delivered"/>
    <n v="21"/>
  </r>
  <r>
    <x v="1295"/>
    <x v="46"/>
    <x v="1"/>
    <x v="25"/>
    <s v="Cust_95"/>
    <x v="1"/>
    <x v="4"/>
    <x v="5"/>
    <n v="859036"/>
    <x v="4"/>
    <s v="SKU95"/>
    <s v="Product_95"/>
    <s v="Other"/>
    <n v="5"/>
    <n v="4"/>
    <n v="114.54"/>
    <n v="11.45"/>
    <n v="446.71"/>
    <n v="22.34"/>
    <n v="10"/>
    <n v="0"/>
    <n v="479.05"/>
    <s v="Returned"/>
    <n v="25"/>
  </r>
  <r>
    <x v="1296"/>
    <x v="41"/>
    <x v="0"/>
    <x v="6"/>
    <s v="Cust_96"/>
    <x v="0"/>
    <x v="3"/>
    <x v="5"/>
    <n v="624436"/>
    <x v="0"/>
    <s v="SKU96"/>
    <s v="Product_96"/>
    <s v="Bakery"/>
    <n v="6"/>
    <n v="2"/>
    <n v="24.37"/>
    <n v="0"/>
    <n v="48.74"/>
    <n v="2.44"/>
    <n v="20"/>
    <n v="5"/>
    <n v="76.180000000000007"/>
    <s v="Delivered"/>
    <n v="26"/>
  </r>
  <r>
    <x v="1297"/>
    <x v="58"/>
    <x v="0"/>
    <x v="19"/>
    <s v="Cust_97"/>
    <x v="0"/>
    <x v="1"/>
    <x v="5"/>
    <n v="292593"/>
    <x v="5"/>
    <s v="SKU97"/>
    <s v="Product_97"/>
    <s v="Frozen"/>
    <n v="6"/>
    <n v="5"/>
    <n v="78.84"/>
    <n v="11.83"/>
    <n v="382.37000000000012"/>
    <n v="19.12"/>
    <n v="10"/>
    <n v="5"/>
    <n v="416.49000000000012"/>
    <s v="Delivered"/>
    <n v="18"/>
  </r>
  <r>
    <x v="1298"/>
    <x v="49"/>
    <x v="1"/>
    <x v="29"/>
    <s v="Cust_98"/>
    <x v="2"/>
    <x v="4"/>
    <x v="5"/>
    <n v="109795"/>
    <x v="2"/>
    <s v="SKU98"/>
    <s v="Product_98"/>
    <s v="Baby"/>
    <n v="4"/>
    <n v="4"/>
    <n v="165.63"/>
    <n v="8.2799999999999994"/>
    <n v="654.24"/>
    <n v="32.71"/>
    <n v="0"/>
    <n v="0"/>
    <n v="686.95"/>
    <s v="Cancelled"/>
    <n v="25"/>
  </r>
  <r>
    <x v="1299"/>
    <x v="55"/>
    <x v="1"/>
    <x v="11"/>
    <s v="Cust_99"/>
    <x v="2"/>
    <x v="4"/>
    <x v="5"/>
    <n v="653669"/>
    <x v="3"/>
    <s v="SKU99"/>
    <s v="Product_99"/>
    <s v="Frozen"/>
    <n v="6"/>
    <n v="4"/>
    <n v="81.64"/>
    <n v="8.16"/>
    <n v="318.39999999999998"/>
    <n v="15.92"/>
    <n v="20"/>
    <n v="20"/>
    <n v="374.32"/>
    <s v="Returned"/>
    <n v="25"/>
  </r>
  <r>
    <x v="1300"/>
    <x v="9"/>
    <x v="1"/>
    <x v="7"/>
    <s v="Cust_100"/>
    <x v="1"/>
    <x v="4"/>
    <x v="5"/>
    <n v="959375"/>
    <x v="0"/>
    <s v="SKU100"/>
    <s v="Product_100"/>
    <s v="Frozen"/>
    <n v="6"/>
    <n v="1"/>
    <n v="211.39"/>
    <n v="0"/>
    <n v="211.39"/>
    <n v="10.57"/>
    <n v="0"/>
    <n v="20"/>
    <n v="241.96"/>
    <s v="Cancelled"/>
    <n v="25"/>
  </r>
  <r>
    <x v="1301"/>
    <x v="49"/>
    <x v="1"/>
    <x v="29"/>
    <s v="Cust_101"/>
    <x v="0"/>
    <x v="0"/>
    <x v="5"/>
    <n v="934212"/>
    <x v="0"/>
    <s v="SKU101"/>
    <s v="Product_101"/>
    <s v="snaks"/>
    <n v="5"/>
    <n v="3"/>
    <n v="165.99"/>
    <n v="0"/>
    <n v="497.97"/>
    <n v="24.9"/>
    <n v="10"/>
    <n v="20"/>
    <n v="552.87"/>
    <s v="Delivered"/>
    <n v="27"/>
  </r>
  <r>
    <x v="1302"/>
    <x v="18"/>
    <x v="0"/>
    <x v="15"/>
    <s v="Cust_102"/>
    <x v="0"/>
    <x v="2"/>
    <x v="5"/>
    <n v="742216"/>
    <x v="6"/>
    <s v="SKU102"/>
    <s v="Product_102"/>
    <s v="Frozen"/>
    <n v="6"/>
    <n v="3"/>
    <n v="139.19999999999999"/>
    <n v="6.96"/>
    <n v="410.64"/>
    <n v="20.53"/>
    <n v="20"/>
    <n v="10"/>
    <n v="461.17"/>
    <s v="Failed"/>
    <n v="25"/>
  </r>
  <r>
    <x v="1303"/>
    <x v="17"/>
    <x v="1"/>
    <x v="14"/>
    <s v="Cust_103"/>
    <x v="0"/>
    <x v="3"/>
    <x v="5"/>
    <n v="711526"/>
    <x v="6"/>
    <s v="SKU103"/>
    <s v="Product_103"/>
    <s v="Snacks"/>
    <n v="6"/>
    <n v="1"/>
    <n v="113.91"/>
    <n v="5.7"/>
    <n v="108.21"/>
    <n v="5.41"/>
    <n v="0"/>
    <n v="0"/>
    <n v="113.62"/>
    <s v="Delivered"/>
    <n v="20"/>
  </r>
  <r>
    <x v="1304"/>
    <x v="56"/>
    <x v="1"/>
    <x v="15"/>
    <s v="Cust_104"/>
    <x v="0"/>
    <x v="5"/>
    <x v="5"/>
    <n v="615631"/>
    <x v="4"/>
    <s v="SKU104"/>
    <s v="Product_104"/>
    <s v="Veg"/>
    <n v="3"/>
    <n v="4"/>
    <n v="203.97"/>
    <n v="10.199999999999999"/>
    <n v="805.68"/>
    <n v="40.28"/>
    <n v="0"/>
    <n v="10"/>
    <n v="855.95999999999992"/>
    <s v="Delivered"/>
    <n v="26"/>
  </r>
  <r>
    <x v="1305"/>
    <x v="14"/>
    <x v="0"/>
    <x v="12"/>
    <s v="Cust_105"/>
    <x v="0"/>
    <x v="1"/>
    <x v="5"/>
    <n v="541144"/>
    <x v="4"/>
    <s v="SKU105"/>
    <s v="Product_105"/>
    <s v="FRUITS "/>
    <n v="7"/>
    <n v="7"/>
    <n v="82.95"/>
    <n v="0"/>
    <n v="580.65"/>
    <n v="29.03"/>
    <n v="20"/>
    <n v="5"/>
    <n v="634.67999999999995"/>
    <s v="Delivered"/>
    <n v="24"/>
  </r>
  <r>
    <x v="1306"/>
    <x v="17"/>
    <x v="1"/>
    <x v="14"/>
    <s v="Cust_106"/>
    <x v="0"/>
    <x v="2"/>
    <x v="5"/>
    <n v="381941"/>
    <x v="0"/>
    <s v="SKU106"/>
    <s v="Product_106"/>
    <s v="Veg"/>
    <n v="3"/>
    <n v="5"/>
    <n v="82.4"/>
    <n v="0"/>
    <n v="412"/>
    <n v="20.6"/>
    <n v="0"/>
    <n v="0"/>
    <n v="432.6"/>
    <s v="Delivered"/>
    <n v="27"/>
  </r>
  <r>
    <x v="1307"/>
    <x v="43"/>
    <x v="1"/>
    <x v="23"/>
    <s v="Cust_107"/>
    <x v="0"/>
    <x v="5"/>
    <x v="5"/>
    <n v="763299"/>
    <x v="0"/>
    <s v="SKU107"/>
    <s v="Product_107"/>
    <s v="Baby"/>
    <n v="4"/>
    <n v="3"/>
    <n v="158.96"/>
    <n v="15.9"/>
    <n v="460.98"/>
    <n v="23.05"/>
    <n v="10"/>
    <n v="15"/>
    <n v="509.03"/>
    <s v="Delivered"/>
    <n v="21"/>
  </r>
  <r>
    <x v="1308"/>
    <x v="54"/>
    <x v="1"/>
    <x v="18"/>
    <s v="Cust_108"/>
    <x v="0"/>
    <x v="5"/>
    <x v="5"/>
    <n v="241519"/>
    <x v="2"/>
    <s v="SKU108"/>
    <s v="Product_108"/>
    <s v="Frozen"/>
    <n v="6"/>
    <n v="1"/>
    <n v="165.27"/>
    <n v="0"/>
    <n v="165.27"/>
    <n v="8.26"/>
    <n v="20"/>
    <n v="20"/>
    <n v="213.53"/>
    <s v="Delivered"/>
    <n v="23"/>
  </r>
  <r>
    <x v="1309"/>
    <x v="35"/>
    <x v="0"/>
    <x v="25"/>
    <s v="Cust_109"/>
    <x v="1"/>
    <x v="4"/>
    <x v="5"/>
    <n v="738902"/>
    <x v="2"/>
    <s v="SKU109"/>
    <s v="Product_109"/>
    <s v="DIARY"/>
    <n v="5"/>
    <n v="2"/>
    <n v="138.03"/>
    <n v="0"/>
    <n v="276.06"/>
    <n v="13.8"/>
    <n v="20"/>
    <n v="5"/>
    <n v="314.86"/>
    <s v="Failed"/>
    <n v="25"/>
  </r>
  <r>
    <x v="1310"/>
    <x v="37"/>
    <x v="1"/>
    <x v="12"/>
    <s v="Cust_110"/>
    <x v="0"/>
    <x v="0"/>
    <x v="5"/>
    <n v="494775"/>
    <x v="0"/>
    <s v="SKU110"/>
    <s v="Product_110"/>
    <s v="snaks"/>
    <n v="5"/>
    <n v="4"/>
    <n v="67.209999999999994"/>
    <n v="3.36"/>
    <n v="265.48"/>
    <n v="13.27"/>
    <n v="10"/>
    <n v="10"/>
    <n v="298.74999999999989"/>
    <s v="Delivered"/>
    <n v="10"/>
  </r>
  <r>
    <x v="1311"/>
    <x v="45"/>
    <x v="1"/>
    <x v="28"/>
    <s v="Cust_111"/>
    <x v="0"/>
    <x v="5"/>
    <x v="5"/>
    <n v="891043"/>
    <x v="0"/>
    <s v="SKU111"/>
    <s v="Product_111"/>
    <s v="Baby"/>
    <n v="4"/>
    <n v="6"/>
    <n v="77.33"/>
    <n v="11.6"/>
    <n v="452.38"/>
    <n v="22.62"/>
    <n v="0"/>
    <n v="0"/>
    <n v="475"/>
    <s v="Delivered"/>
    <n v="39"/>
  </r>
  <r>
    <x v="1312"/>
    <x v="37"/>
    <x v="1"/>
    <x v="12"/>
    <s v="Cust_112"/>
    <x v="0"/>
    <x v="2"/>
    <x v="5"/>
    <n v="965847"/>
    <x v="3"/>
    <s v="SKU112"/>
    <s v="Product_112"/>
    <s v="Essentials"/>
    <n v="10"/>
    <n v="1"/>
    <n v="232.04"/>
    <n v="0"/>
    <n v="232.04"/>
    <n v="11.6"/>
    <n v="0"/>
    <n v="0"/>
    <n v="243.64"/>
    <s v="Delivered"/>
    <n v="35"/>
  </r>
  <r>
    <x v="1313"/>
    <x v="10"/>
    <x v="1"/>
    <x v="8"/>
    <s v="Cust_113"/>
    <x v="0"/>
    <x v="1"/>
    <x v="5"/>
    <n v="452895"/>
    <x v="0"/>
    <s v="SKU113"/>
    <s v="Product_113"/>
    <s v="Other"/>
    <n v="5"/>
    <n v="6"/>
    <n v="95.6"/>
    <n v="9.56"/>
    <n v="564.04"/>
    <n v="28.2"/>
    <n v="10"/>
    <n v="15"/>
    <n v="617.24"/>
    <s v="Delivered"/>
    <n v="26"/>
  </r>
  <r>
    <x v="1314"/>
    <x v="3"/>
    <x v="1"/>
    <x v="3"/>
    <s v="Cust_114"/>
    <x v="0"/>
    <x v="0"/>
    <x v="5"/>
    <n v="938569"/>
    <x v="5"/>
    <s v="SKU114"/>
    <s v="Product_114"/>
    <s v="Veg"/>
    <n v="3"/>
    <n v="1"/>
    <n v="38.83"/>
    <n v="5.82"/>
    <n v="33.01"/>
    <n v="1.65"/>
    <n v="20"/>
    <n v="15"/>
    <n v="69.66"/>
    <s v="Delivered"/>
    <n v="13"/>
  </r>
  <r>
    <x v="1315"/>
    <x v="11"/>
    <x v="1"/>
    <x v="9"/>
    <s v="Cust_115"/>
    <x v="0"/>
    <x v="5"/>
    <x v="5"/>
    <n v="403564"/>
    <x v="0"/>
    <s v="SKU115"/>
    <s v="Product_115"/>
    <s v="Fruits"/>
    <n v="6"/>
    <n v="4"/>
    <n v="98.01"/>
    <n v="0"/>
    <n v="392.04"/>
    <n v="19.600000000000001"/>
    <n v="30"/>
    <n v="5"/>
    <n v="446.64"/>
    <s v="Delivered"/>
    <n v="17"/>
  </r>
  <r>
    <x v="1316"/>
    <x v="20"/>
    <x v="0"/>
    <x v="17"/>
    <s v="Cust_116"/>
    <x v="0"/>
    <x v="0"/>
    <x v="5"/>
    <n v="658888"/>
    <x v="5"/>
    <s v="SKU116"/>
    <s v="Product_116"/>
    <s v="Frozen"/>
    <n v="6"/>
    <n v="1"/>
    <n v="56.89"/>
    <n v="8.5299999999999994"/>
    <n v="48.36"/>
    <n v="2.42"/>
    <n v="0"/>
    <n v="15"/>
    <n v="65.78"/>
    <s v="Delivered"/>
    <n v="2"/>
  </r>
  <r>
    <x v="1317"/>
    <x v="33"/>
    <x v="0"/>
    <x v="9"/>
    <s v="Cust_117"/>
    <x v="0"/>
    <x v="5"/>
    <x v="5"/>
    <n v="958379"/>
    <x v="5"/>
    <s v="SKU117"/>
    <s v="Product_117"/>
    <s v="Veg"/>
    <n v="3"/>
    <n v="1"/>
    <n v="159.94999999999999"/>
    <n v="23.99"/>
    <n v="135.96"/>
    <n v="6.8"/>
    <n v="0"/>
    <n v="15"/>
    <n v="157.76"/>
    <s v="Delivered"/>
    <n v="29"/>
  </r>
  <r>
    <x v="1318"/>
    <x v="44"/>
    <x v="0"/>
    <x v="26"/>
    <s v="Cust_118"/>
    <x v="0"/>
    <x v="0"/>
    <x v="5"/>
    <n v="287840"/>
    <x v="3"/>
    <s v="SKU118"/>
    <s v="Product_118"/>
    <s v="Other"/>
    <n v="5"/>
    <n v="2"/>
    <n v="78.88"/>
    <n v="7.89"/>
    <n v="149.87"/>
    <n v="7.49"/>
    <n v="10"/>
    <n v="0"/>
    <n v="167.36"/>
    <s v="Delivered"/>
    <n v="37"/>
  </r>
  <r>
    <x v="1319"/>
    <x v="19"/>
    <x v="1"/>
    <x v="16"/>
    <s v="Cust_119"/>
    <x v="0"/>
    <x v="0"/>
    <x v="5"/>
    <n v="853642"/>
    <x v="0"/>
    <s v="SKU119"/>
    <s v="Product_119"/>
    <s v="bevrage"/>
    <n v="7"/>
    <n v="1"/>
    <n v="80.31"/>
    <n v="12.05"/>
    <n v="68.260000000000005"/>
    <n v="3.41"/>
    <n v="30"/>
    <n v="15"/>
    <n v="116.67"/>
    <s v="Delivered"/>
    <n v="40"/>
  </r>
  <r>
    <x v="1320"/>
    <x v="50"/>
    <x v="1"/>
    <x v="30"/>
    <s v="Cust_120"/>
    <x v="0"/>
    <x v="0"/>
    <x v="5"/>
    <n v="704091"/>
    <x v="2"/>
    <s v="SKU120"/>
    <s v="Product_120"/>
    <s v="bevrage"/>
    <n v="7"/>
    <n v="4"/>
    <n v="97.01"/>
    <n v="4.8499999999999996"/>
    <n v="383.19"/>
    <n v="19.16"/>
    <n v="20"/>
    <n v="0"/>
    <n v="422.35"/>
    <s v="Failed"/>
    <n v="25"/>
  </r>
  <r>
    <x v="1321"/>
    <x v="25"/>
    <x v="0"/>
    <x v="20"/>
    <s v="Cust_121"/>
    <x v="0"/>
    <x v="5"/>
    <x v="5"/>
    <n v="313968"/>
    <x v="0"/>
    <s v="SKU121"/>
    <s v="Product_121"/>
    <s v="bevrage"/>
    <n v="7"/>
    <n v="4"/>
    <n v="139.87"/>
    <n v="13.99"/>
    <n v="545.49"/>
    <n v="27.27"/>
    <n v="20"/>
    <n v="10"/>
    <n v="602.76"/>
    <s v="Delivered"/>
    <n v="41"/>
  </r>
  <r>
    <x v="1322"/>
    <x v="55"/>
    <x v="1"/>
    <x v="11"/>
    <s v="Cust_122"/>
    <x v="0"/>
    <x v="1"/>
    <x v="5"/>
    <n v="217907"/>
    <x v="2"/>
    <s v="SKU122"/>
    <s v="Product_122"/>
    <s v="Dairy"/>
    <n v="5"/>
    <n v="2"/>
    <n v="270.05"/>
    <n v="0"/>
    <n v="540.1"/>
    <n v="27.01"/>
    <n v="30"/>
    <n v="20"/>
    <n v="617.11"/>
    <s v="Delivered"/>
    <n v="24"/>
  </r>
  <r>
    <x v="1323"/>
    <x v="21"/>
    <x v="2"/>
    <x v="18"/>
    <s v="Cust_123"/>
    <x v="0"/>
    <x v="5"/>
    <x v="5"/>
    <n v="727915"/>
    <x v="4"/>
    <s v="SKU123"/>
    <s v="Product_123"/>
    <s v="Snacks"/>
    <n v="6"/>
    <n v="3"/>
    <n v="165.49"/>
    <n v="24.82"/>
    <n v="471.65"/>
    <n v="23.58"/>
    <n v="0"/>
    <n v="5"/>
    <n v="500.23"/>
    <s v="Failed"/>
    <n v="25"/>
  </r>
  <r>
    <x v="1324"/>
    <x v="18"/>
    <x v="0"/>
    <x v="15"/>
    <s v="Cust_124"/>
    <x v="0"/>
    <x v="3"/>
    <x v="5"/>
    <n v="846714"/>
    <x v="0"/>
    <s v="SKU124"/>
    <s v="Product_124"/>
    <s v="Beverages"/>
    <n v="9"/>
    <n v="1"/>
    <n v="95.11"/>
    <n v="4.76"/>
    <n v="90.35"/>
    <n v="4.5199999999999996"/>
    <n v="10"/>
    <n v="20"/>
    <n v="124.87"/>
    <s v="Delivered"/>
    <n v="31"/>
  </r>
  <r>
    <x v="1325"/>
    <x v="41"/>
    <x v="0"/>
    <x v="6"/>
    <s v="Cust_125"/>
    <x v="1"/>
    <x v="4"/>
    <x v="5"/>
    <n v="326280"/>
    <x v="1"/>
    <s v="SKU125"/>
    <s v="Product_125"/>
    <s v="Fruits"/>
    <n v="6"/>
    <n v="2"/>
    <n v="120.27"/>
    <n v="0"/>
    <n v="240.54"/>
    <n v="12.03"/>
    <n v="10"/>
    <n v="15"/>
    <n v="277.57"/>
    <s v="Delivered"/>
    <n v="23"/>
  </r>
  <r>
    <x v="1326"/>
    <x v="40"/>
    <x v="1"/>
    <x v="27"/>
    <s v="Cust_126"/>
    <x v="0"/>
    <x v="3"/>
    <x v="5"/>
    <n v="148458"/>
    <x v="2"/>
    <s v="SKU126"/>
    <s v="Product_126"/>
    <s v="DIARY"/>
    <n v="5"/>
    <n v="4"/>
    <n v="158.37"/>
    <n v="0"/>
    <n v="633.48"/>
    <n v="31.67"/>
    <n v="30"/>
    <n v="10"/>
    <n v="705.15"/>
    <s v="Delivered"/>
    <n v="31"/>
  </r>
  <r>
    <x v="1327"/>
    <x v="12"/>
    <x v="0"/>
    <x v="10"/>
    <s v="Cust_127"/>
    <x v="0"/>
    <x v="0"/>
    <x v="5"/>
    <n v="527562"/>
    <x v="5"/>
    <s v="SKU127"/>
    <s v="Product_127"/>
    <s v="Dairy"/>
    <n v="5"/>
    <n v="5"/>
    <n v="117.84"/>
    <n v="11.78"/>
    <n v="577.42000000000007"/>
    <n v="28.87"/>
    <n v="0"/>
    <n v="10"/>
    <n v="616.29000000000008"/>
    <s v="Cancelled"/>
    <n v="25"/>
  </r>
  <r>
    <x v="1328"/>
    <x v="58"/>
    <x v="0"/>
    <x v="19"/>
    <s v="Cust_128"/>
    <x v="0"/>
    <x v="3"/>
    <x v="5"/>
    <n v="219119"/>
    <x v="6"/>
    <s v="SKU128"/>
    <s v="Product_128"/>
    <s v="Baby"/>
    <n v="4"/>
    <n v="2"/>
    <n v="166.51"/>
    <n v="8.33"/>
    <n v="324.69"/>
    <n v="16.23"/>
    <n v="20"/>
    <n v="10"/>
    <n v="370.92"/>
    <s v="Delivered"/>
    <n v="34"/>
  </r>
  <r>
    <x v="1329"/>
    <x v="10"/>
    <x v="1"/>
    <x v="8"/>
    <s v="Cust_129"/>
    <x v="0"/>
    <x v="2"/>
    <x v="5"/>
    <n v="463157"/>
    <x v="0"/>
    <s v="SKU129"/>
    <s v="Product_129"/>
    <s v="Dairy"/>
    <n v="5"/>
    <n v="2"/>
    <n v="143.88999999999999"/>
    <n v="21.58"/>
    <n v="266.2"/>
    <n v="13.31"/>
    <n v="30"/>
    <n v="10"/>
    <n v="319.51"/>
    <s v="Failed"/>
    <n v="25"/>
  </r>
  <r>
    <x v="1330"/>
    <x v="37"/>
    <x v="1"/>
    <x v="12"/>
    <s v="Cust_130"/>
    <x v="0"/>
    <x v="0"/>
    <x v="5"/>
    <n v="459267"/>
    <x v="6"/>
    <s v="SKU130"/>
    <s v="Product_130"/>
    <s v="Frozen"/>
    <n v="6"/>
    <n v="2"/>
    <n v="121.89"/>
    <n v="6.09"/>
    <n v="237.69"/>
    <n v="11.88"/>
    <n v="30"/>
    <n v="10"/>
    <n v="289.57"/>
    <s v="Delivered"/>
    <n v="31"/>
  </r>
  <r>
    <x v="1331"/>
    <x v="48"/>
    <x v="0"/>
    <x v="13"/>
    <s v="Cust_131"/>
    <x v="0"/>
    <x v="2"/>
    <x v="5"/>
    <n v="221292"/>
    <x v="0"/>
    <s v="SKU131"/>
    <s v="Product_131"/>
    <s v="Dairy"/>
    <n v="5"/>
    <n v="2"/>
    <n v="140.24"/>
    <n v="7.01"/>
    <n v="273.47000000000003"/>
    <n v="13.67"/>
    <n v="20"/>
    <n v="20"/>
    <n v="327.14"/>
    <s v="Delivered"/>
    <n v="14"/>
  </r>
  <r>
    <x v="1332"/>
    <x v="23"/>
    <x v="1"/>
    <x v="4"/>
    <s v="Cust_132"/>
    <x v="1"/>
    <x v="4"/>
    <x v="5"/>
    <n v="592545"/>
    <x v="6"/>
    <s v="SKU132"/>
    <s v="Product_132"/>
    <s v="Baby"/>
    <n v="4"/>
    <n v="1"/>
    <n v="99.36"/>
    <n v="14.9"/>
    <n v="84.46"/>
    <n v="4.22"/>
    <n v="10"/>
    <n v="15"/>
    <n v="113.68"/>
    <s v="Delivered"/>
    <n v="21"/>
  </r>
  <r>
    <x v="1333"/>
    <x v="44"/>
    <x v="0"/>
    <x v="26"/>
    <s v="Cust_133"/>
    <x v="0"/>
    <x v="3"/>
    <x v="5"/>
    <n v="462470"/>
    <x v="2"/>
    <s v="SKU133"/>
    <s v="Product_133"/>
    <s v="FRUITS "/>
    <n v="7"/>
    <n v="4"/>
    <n v="84.77"/>
    <n v="12.72"/>
    <n v="326.36"/>
    <n v="16.32"/>
    <n v="0"/>
    <n v="10"/>
    <n v="352.67999999999989"/>
    <s v="Delivered"/>
    <n v="44"/>
  </r>
  <r>
    <x v="1334"/>
    <x v="44"/>
    <x v="0"/>
    <x v="26"/>
    <s v="Cust_134"/>
    <x v="0"/>
    <x v="0"/>
    <x v="5"/>
    <n v="904114"/>
    <x v="6"/>
    <s v="SKU134"/>
    <s v="Product_134"/>
    <s v="Frozen"/>
    <n v="6"/>
    <n v="5"/>
    <n v="109.52"/>
    <n v="5.48"/>
    <n v="542.12"/>
    <n v="27.11"/>
    <n v="0"/>
    <n v="5"/>
    <n v="574.23"/>
    <s v="Delivered"/>
    <n v="25"/>
  </r>
  <r>
    <x v="1335"/>
    <x v="54"/>
    <x v="1"/>
    <x v="18"/>
    <s v="Cust_135"/>
    <x v="0"/>
    <x v="1"/>
    <x v="5"/>
    <n v="834750"/>
    <x v="0"/>
    <s v="SKU135"/>
    <s v="Product_135"/>
    <s v="Dairy"/>
    <n v="5"/>
    <n v="1"/>
    <n v="44.35"/>
    <n v="0"/>
    <n v="44.35"/>
    <n v="2.2200000000000002"/>
    <n v="20"/>
    <n v="20"/>
    <n v="86.57"/>
    <s v="Failed"/>
    <n v="25"/>
  </r>
  <r>
    <x v="1336"/>
    <x v="14"/>
    <x v="0"/>
    <x v="12"/>
    <s v="Cust_136"/>
    <x v="0"/>
    <x v="3"/>
    <x v="5"/>
    <n v="148926"/>
    <x v="4"/>
    <s v="SKU136"/>
    <s v="Product_136"/>
    <s v="Baby"/>
    <n v="4"/>
    <n v="4"/>
    <n v="270.18"/>
    <n v="0"/>
    <n v="1080.72"/>
    <n v="54.04"/>
    <n v="0"/>
    <n v="10"/>
    <n v="1144.76"/>
    <s v="Failed"/>
    <n v="25"/>
  </r>
  <r>
    <x v="1337"/>
    <x v="16"/>
    <x v="1"/>
    <x v="10"/>
    <s v="Cust_137"/>
    <x v="0"/>
    <x v="1"/>
    <x v="5"/>
    <n v="402553"/>
    <x v="0"/>
    <s v="SKU137"/>
    <s v="Product_137"/>
    <s v="Veg"/>
    <n v="3"/>
    <n v="6"/>
    <n v="113.12"/>
    <n v="0"/>
    <n v="678.72"/>
    <n v="33.94"/>
    <n v="30"/>
    <n v="5"/>
    <n v="747.66000000000008"/>
    <s v="Failed"/>
    <n v="25"/>
  </r>
  <r>
    <x v="1338"/>
    <x v="21"/>
    <x v="2"/>
    <x v="18"/>
    <s v="Cust_138"/>
    <x v="0"/>
    <x v="2"/>
    <x v="5"/>
    <n v="174723"/>
    <x v="3"/>
    <s v="SKU138"/>
    <s v="Product_138"/>
    <s v="Frozen"/>
    <n v="6"/>
    <n v="2"/>
    <n v="108.81"/>
    <n v="5.44"/>
    <n v="212.18"/>
    <n v="10.61"/>
    <n v="10"/>
    <n v="15"/>
    <n v="247.79"/>
    <s v="Cancelled"/>
    <n v="25"/>
  </r>
  <r>
    <x v="1339"/>
    <x v="2"/>
    <x v="1"/>
    <x v="2"/>
    <s v="Cust_139"/>
    <x v="0"/>
    <x v="2"/>
    <x v="5"/>
    <n v="865110"/>
    <x v="3"/>
    <s v="SKU139"/>
    <s v="Product_139"/>
    <s v="Veg"/>
    <n v="3"/>
    <n v="3"/>
    <n v="179.42"/>
    <n v="8.9700000000000006"/>
    <n v="529.29"/>
    <n v="26.46"/>
    <n v="10"/>
    <n v="10"/>
    <n v="575.75"/>
    <s v="Delivered"/>
    <n v="10"/>
  </r>
  <r>
    <x v="1340"/>
    <x v="5"/>
    <x v="1"/>
    <x v="0"/>
    <s v="Cust_140"/>
    <x v="0"/>
    <x v="2"/>
    <x v="5"/>
    <n v="928753"/>
    <x v="4"/>
    <s v="SKU140"/>
    <s v="Product_140"/>
    <s v="Bakery"/>
    <n v="6"/>
    <n v="4"/>
    <n v="246"/>
    <n v="36.9"/>
    <n v="947.1"/>
    <n v="47.36"/>
    <n v="0"/>
    <n v="20"/>
    <n v="1014.46"/>
    <s v="Delivered"/>
    <n v="23"/>
  </r>
  <r>
    <x v="1341"/>
    <x v="10"/>
    <x v="1"/>
    <x v="8"/>
    <s v="Cust_141"/>
    <x v="0"/>
    <x v="5"/>
    <x v="5"/>
    <n v="133545"/>
    <x v="6"/>
    <s v="SKU141"/>
    <s v="Product_141"/>
    <s v="Bakery"/>
    <n v="6"/>
    <n v="2"/>
    <n v="109.33"/>
    <n v="5.47"/>
    <n v="213.19"/>
    <n v="10.66"/>
    <n v="20"/>
    <n v="5"/>
    <n v="248.85"/>
    <s v="Cancelled"/>
    <n v="25"/>
  </r>
  <r>
    <x v="1342"/>
    <x v="53"/>
    <x v="0"/>
    <x v="29"/>
    <s v="Cust_142"/>
    <x v="0"/>
    <x v="5"/>
    <x v="5"/>
    <n v="887506"/>
    <x v="6"/>
    <s v="SKU142"/>
    <s v="Product_142"/>
    <s v="Frozen"/>
    <n v="6"/>
    <n v="3"/>
    <n v="89.14"/>
    <n v="0"/>
    <n v="267.42"/>
    <n v="13.37"/>
    <n v="30"/>
    <n v="5"/>
    <n v="315.79000000000002"/>
    <s v="Delivered"/>
    <n v="31"/>
  </r>
  <r>
    <x v="1343"/>
    <x v="35"/>
    <x v="0"/>
    <x v="25"/>
    <s v="Cust_143"/>
    <x v="0"/>
    <x v="5"/>
    <x v="5"/>
    <n v="364130"/>
    <x v="1"/>
    <s v="SKU143"/>
    <s v="Product_143"/>
    <s v="Other"/>
    <n v="5"/>
    <n v="6"/>
    <n v="125.67"/>
    <n v="12.57"/>
    <n v="741.44999999999993"/>
    <n v="37.07"/>
    <n v="30"/>
    <n v="5"/>
    <n v="813.52"/>
    <s v="Delivered"/>
    <n v="14"/>
  </r>
  <r>
    <x v="1344"/>
    <x v="40"/>
    <x v="1"/>
    <x v="27"/>
    <s v="Cust_144"/>
    <x v="0"/>
    <x v="1"/>
    <x v="5"/>
    <n v="477332"/>
    <x v="3"/>
    <s v="SKU144"/>
    <s v="Product_144"/>
    <s v="Frozen"/>
    <n v="6"/>
    <n v="3"/>
    <n v="109.76"/>
    <n v="0"/>
    <n v="329.28"/>
    <n v="16.46"/>
    <n v="20"/>
    <n v="0"/>
    <n v="365.74"/>
    <s v="Delivered"/>
    <n v="15"/>
  </r>
  <r>
    <x v="1345"/>
    <x v="21"/>
    <x v="2"/>
    <x v="18"/>
    <s v="Cust_145"/>
    <x v="0"/>
    <x v="2"/>
    <x v="5"/>
    <n v="411896"/>
    <x v="3"/>
    <s v="SKU145"/>
    <s v="Product_145"/>
    <s v="Frozen"/>
    <n v="6"/>
    <n v="1"/>
    <n v="139.15"/>
    <n v="0"/>
    <n v="139.15"/>
    <n v="6.96"/>
    <n v="0"/>
    <n v="15"/>
    <n v="161.11000000000001"/>
    <s v="Delivered"/>
    <n v="26"/>
  </r>
  <r>
    <x v="1346"/>
    <x v="19"/>
    <x v="1"/>
    <x v="16"/>
    <s v="Cust_146"/>
    <x v="0"/>
    <x v="3"/>
    <x v="5"/>
    <n v="896505"/>
    <x v="3"/>
    <s v="SKU146"/>
    <s v="Product_146"/>
    <s v="Frozen"/>
    <n v="6"/>
    <n v="6"/>
    <n v="129.77000000000001"/>
    <n v="0"/>
    <n v="778.62000000000012"/>
    <n v="38.93"/>
    <n v="10"/>
    <n v="0"/>
    <n v="827.55000000000007"/>
    <s v="Delivered"/>
    <n v="31"/>
  </r>
  <r>
    <x v="1347"/>
    <x v="44"/>
    <x v="0"/>
    <x v="26"/>
    <s v="Cust_147"/>
    <x v="1"/>
    <x v="4"/>
    <x v="5"/>
    <n v="929716"/>
    <x v="1"/>
    <s v="SKU147"/>
    <s v="Product_147"/>
    <s v="Veg"/>
    <n v="3"/>
    <n v="3"/>
    <n v="160.28"/>
    <n v="24.04"/>
    <n v="456.8"/>
    <n v="22.84"/>
    <n v="20"/>
    <n v="10"/>
    <n v="509.64"/>
    <s v="Delivered"/>
    <n v="36"/>
  </r>
  <r>
    <x v="1348"/>
    <x v="6"/>
    <x v="1"/>
    <x v="1"/>
    <s v="Cust_148"/>
    <x v="0"/>
    <x v="3"/>
    <x v="5"/>
    <n v="685768"/>
    <x v="3"/>
    <s v="SKU148"/>
    <s v="Product_148"/>
    <s v="Beverages"/>
    <n v="9"/>
    <n v="1"/>
    <n v="171.89"/>
    <n v="8.59"/>
    <n v="163.30000000000001"/>
    <n v="8.16"/>
    <n v="10"/>
    <n v="20"/>
    <n v="201.46"/>
    <s v="Delivered"/>
    <n v="39"/>
  </r>
  <r>
    <x v="1349"/>
    <x v="35"/>
    <x v="0"/>
    <x v="25"/>
    <s v="Cust_149"/>
    <x v="0"/>
    <x v="5"/>
    <x v="5"/>
    <n v="570076"/>
    <x v="4"/>
    <s v="SKU149"/>
    <s v="Product_149"/>
    <s v="Essentials"/>
    <n v="10"/>
    <n v="5"/>
    <n v="102.22"/>
    <n v="5.1100000000000003"/>
    <n v="505.99"/>
    <n v="25.3"/>
    <n v="20"/>
    <n v="15"/>
    <n v="566.29"/>
    <s v="Failed"/>
    <n v="25"/>
  </r>
  <r>
    <x v="1350"/>
    <x v="55"/>
    <x v="1"/>
    <x v="11"/>
    <s v="Cust_150"/>
    <x v="0"/>
    <x v="2"/>
    <x v="5"/>
    <n v="664365"/>
    <x v="0"/>
    <s v="SKU150"/>
    <s v="Product_150"/>
    <s v="Other"/>
    <n v="5"/>
    <n v="1"/>
    <n v="99.61"/>
    <n v="14.94"/>
    <n v="84.67"/>
    <n v="4.2300000000000004"/>
    <n v="20"/>
    <n v="0"/>
    <n v="108.9"/>
    <s v="Delivered"/>
    <n v="27"/>
  </r>
  <r>
    <x v="1351"/>
    <x v="8"/>
    <x v="1"/>
    <x v="6"/>
    <s v="Cust_151"/>
    <x v="0"/>
    <x v="2"/>
    <x v="5"/>
    <n v="961579"/>
    <x v="2"/>
    <s v="SKU151"/>
    <s v="Product_151"/>
    <s v="Veg"/>
    <n v="3"/>
    <n v="2"/>
    <n v="152.57"/>
    <n v="22.89"/>
    <n v="282.25"/>
    <n v="14.11"/>
    <n v="30"/>
    <n v="5"/>
    <n v="331.36"/>
    <s v="Delivered"/>
    <n v="4"/>
  </r>
  <r>
    <x v="1352"/>
    <x v="27"/>
    <x v="0"/>
    <x v="21"/>
    <s v="Cust_152"/>
    <x v="0"/>
    <x v="0"/>
    <x v="5"/>
    <n v="613694"/>
    <x v="4"/>
    <s v="SKU152"/>
    <s v="Product_152"/>
    <s v="Beverages"/>
    <n v="9"/>
    <n v="3"/>
    <n v="215.94"/>
    <n v="32.39"/>
    <n v="615.42999999999995"/>
    <n v="30.77"/>
    <n v="30"/>
    <n v="20"/>
    <n v="696.19999999999993"/>
    <s v="Delivered"/>
    <n v="30"/>
  </r>
  <r>
    <x v="1353"/>
    <x v="40"/>
    <x v="1"/>
    <x v="27"/>
    <s v="Cust_153"/>
    <x v="0"/>
    <x v="5"/>
    <x v="5"/>
    <n v="543232"/>
    <x v="0"/>
    <s v="SKU153"/>
    <s v="Product_153"/>
    <s v="Snacks"/>
    <n v="6"/>
    <n v="5"/>
    <n v="176.32"/>
    <n v="17.63"/>
    <n v="863.96999999999991"/>
    <n v="43.2"/>
    <n v="10"/>
    <n v="10"/>
    <n v="927.17"/>
    <s v="Delivered"/>
    <n v="40"/>
  </r>
  <r>
    <x v="1354"/>
    <x v="42"/>
    <x v="1"/>
    <x v="24"/>
    <s v="Cust_154"/>
    <x v="0"/>
    <x v="5"/>
    <x v="5"/>
    <n v="628058"/>
    <x v="3"/>
    <s v="SKU154"/>
    <s v="Product_154"/>
    <s v="Essentials"/>
    <n v="10"/>
    <n v="5"/>
    <n v="19.100000000000001"/>
    <n v="2.87"/>
    <n v="92.63"/>
    <n v="4.63"/>
    <n v="0"/>
    <n v="5"/>
    <n v="102.26"/>
    <s v="Delivered"/>
    <n v="22"/>
  </r>
  <r>
    <x v="1355"/>
    <x v="39"/>
    <x v="1"/>
    <x v="26"/>
    <s v="Cust_155"/>
    <x v="0"/>
    <x v="1"/>
    <x v="5"/>
    <n v="120946"/>
    <x v="0"/>
    <s v="SKU155"/>
    <s v="Product_155"/>
    <s v="DIARY"/>
    <n v="5"/>
    <n v="5"/>
    <n v="117.34"/>
    <n v="11.73"/>
    <n v="574.97"/>
    <n v="28.75"/>
    <n v="20"/>
    <n v="15"/>
    <n v="638.72"/>
    <s v="Returned"/>
    <n v="25"/>
  </r>
  <r>
    <x v="1356"/>
    <x v="24"/>
    <x v="1"/>
    <x v="19"/>
    <s v="Cust_156"/>
    <x v="0"/>
    <x v="1"/>
    <x v="5"/>
    <n v="385815"/>
    <x v="1"/>
    <s v="SKU156"/>
    <s v="Product_156"/>
    <s v="Bakery"/>
    <n v="6"/>
    <n v="2"/>
    <n v="134.53"/>
    <n v="6.73"/>
    <n v="262.33"/>
    <n v="13.12"/>
    <n v="10"/>
    <n v="5"/>
    <n v="290.45"/>
    <s v="Delivered"/>
    <n v="26"/>
  </r>
  <r>
    <x v="1357"/>
    <x v="52"/>
    <x v="0"/>
    <x v="27"/>
    <s v="Cust_157"/>
    <x v="0"/>
    <x v="1"/>
    <x v="5"/>
    <n v="419957"/>
    <x v="3"/>
    <s v="SKU157"/>
    <s v="Product_157"/>
    <s v="Bakery"/>
    <n v="6"/>
    <n v="3"/>
    <n v="120.44"/>
    <n v="18.07"/>
    <n v="343.25"/>
    <n v="17.16"/>
    <n v="0"/>
    <n v="20"/>
    <n v="380.41"/>
    <s v="Delivered"/>
    <n v="10"/>
  </r>
  <r>
    <x v="1358"/>
    <x v="28"/>
    <x v="0"/>
    <x v="8"/>
    <s v="Cust_158"/>
    <x v="0"/>
    <x v="0"/>
    <x v="5"/>
    <n v="323687"/>
    <x v="1"/>
    <s v="SKU158"/>
    <s v="Product_158"/>
    <s v="snaks"/>
    <n v="5"/>
    <n v="5"/>
    <n v="93.16"/>
    <n v="13.97"/>
    <n v="451.82999999999993"/>
    <n v="22.59"/>
    <n v="20"/>
    <n v="15"/>
    <n v="509.4199999999999"/>
    <s v="Delivered"/>
    <n v="3"/>
  </r>
  <r>
    <x v="1359"/>
    <x v="24"/>
    <x v="1"/>
    <x v="19"/>
    <s v="Cust_159"/>
    <x v="2"/>
    <x v="4"/>
    <x v="5"/>
    <n v="719716"/>
    <x v="0"/>
    <s v="SKU159"/>
    <s v="Product_159"/>
    <s v="Bakery"/>
    <n v="6"/>
    <n v="1"/>
    <n v="41.68"/>
    <n v="2.08"/>
    <n v="39.6"/>
    <n v="1.98"/>
    <n v="20"/>
    <n v="10"/>
    <n v="71.58"/>
    <s v="Delivered"/>
    <n v="23"/>
  </r>
  <r>
    <x v="1360"/>
    <x v="38"/>
    <x v="1"/>
    <x v="20"/>
    <s v="Cust_160"/>
    <x v="0"/>
    <x v="2"/>
    <x v="5"/>
    <n v="971171"/>
    <x v="6"/>
    <s v="SKU160"/>
    <s v="Product_160"/>
    <s v="Beverages"/>
    <n v="9"/>
    <n v="5"/>
    <n v="244.2"/>
    <n v="12.21"/>
    <n v="1208.79"/>
    <n v="60.44"/>
    <n v="30"/>
    <n v="15"/>
    <n v="1314.23"/>
    <s v="Delivered"/>
    <n v="32"/>
  </r>
  <r>
    <x v="1361"/>
    <x v="14"/>
    <x v="0"/>
    <x v="12"/>
    <s v="Cust_161"/>
    <x v="2"/>
    <x v="4"/>
    <x v="5"/>
    <n v="223168"/>
    <x v="0"/>
    <s v="SKU161"/>
    <s v="Product_161"/>
    <s v="Essentials"/>
    <n v="10"/>
    <n v="4"/>
    <n v="130.78"/>
    <n v="19.62"/>
    <n v="503.5"/>
    <n v="25.18"/>
    <n v="10"/>
    <n v="10"/>
    <n v="548.67999999999995"/>
    <s v="Delivered"/>
    <n v="38"/>
  </r>
  <r>
    <x v="1362"/>
    <x v="5"/>
    <x v="1"/>
    <x v="0"/>
    <s v="Cust_162"/>
    <x v="0"/>
    <x v="5"/>
    <x v="5"/>
    <n v="478355"/>
    <x v="0"/>
    <s v="SKU162"/>
    <s v="Product_162"/>
    <s v="Essentials"/>
    <n v="10"/>
    <n v="2"/>
    <n v="150.52000000000001"/>
    <n v="22.58"/>
    <n v="278.45999999999998"/>
    <n v="13.92"/>
    <n v="30"/>
    <n v="5"/>
    <n v="327.38000000000011"/>
    <s v="Delivered"/>
    <n v="14"/>
  </r>
  <r>
    <x v="1363"/>
    <x v="0"/>
    <x v="0"/>
    <x v="0"/>
    <s v="Cust_163"/>
    <x v="0"/>
    <x v="1"/>
    <x v="5"/>
    <n v="726683"/>
    <x v="2"/>
    <s v="SKU163"/>
    <s v="Product_163"/>
    <s v="FRUITS "/>
    <n v="7"/>
    <n v="3"/>
    <n v="114.93"/>
    <n v="11.49"/>
    <n v="333.3"/>
    <n v="16.670000000000002"/>
    <n v="30"/>
    <n v="15"/>
    <n v="394.97"/>
    <s v="Delivered"/>
    <n v="6"/>
  </r>
  <r>
    <x v="1364"/>
    <x v="14"/>
    <x v="0"/>
    <x v="12"/>
    <s v="Cust_164"/>
    <x v="0"/>
    <x v="5"/>
    <x v="5"/>
    <n v="649391"/>
    <x v="6"/>
    <s v="SKU164"/>
    <s v="Product_164"/>
    <s v="snaks"/>
    <n v="5"/>
    <n v="2"/>
    <n v="209.47"/>
    <n v="0"/>
    <n v="418.94"/>
    <n v="20.95"/>
    <n v="20"/>
    <n v="20"/>
    <n v="479.89"/>
    <s v="Delivered"/>
    <n v="12"/>
  </r>
  <r>
    <x v="1365"/>
    <x v="40"/>
    <x v="1"/>
    <x v="27"/>
    <s v="Cust_165"/>
    <x v="0"/>
    <x v="1"/>
    <x v="5"/>
    <n v="125825"/>
    <x v="0"/>
    <s v="SKU165"/>
    <s v="Product_165"/>
    <s v="Baby"/>
    <n v="4"/>
    <n v="2"/>
    <n v="103.71"/>
    <n v="0"/>
    <n v="207.42"/>
    <n v="10.37"/>
    <n v="20"/>
    <n v="10"/>
    <n v="247.79"/>
    <s v="Delivered"/>
    <n v="26"/>
  </r>
  <r>
    <x v="1366"/>
    <x v="57"/>
    <x v="0"/>
    <x v="18"/>
    <s v="Cust_166"/>
    <x v="2"/>
    <x v="4"/>
    <x v="5"/>
    <n v="166433"/>
    <x v="5"/>
    <s v="SKU166"/>
    <s v="Product_166"/>
    <s v="Snacks"/>
    <n v="6"/>
    <n v="3"/>
    <n v="122.73"/>
    <n v="6.14"/>
    <n v="362.05"/>
    <n v="18.100000000000001"/>
    <n v="30"/>
    <n v="5"/>
    <n v="415.15"/>
    <s v="Delivered"/>
    <n v="21"/>
  </r>
  <r>
    <x v="1367"/>
    <x v="32"/>
    <x v="0"/>
    <x v="23"/>
    <s v="Cust_167"/>
    <x v="0"/>
    <x v="0"/>
    <x v="5"/>
    <n v="546880"/>
    <x v="1"/>
    <s v="SKU167"/>
    <s v="Product_167"/>
    <s v="DIARY"/>
    <n v="5"/>
    <n v="1"/>
    <n v="157.26"/>
    <n v="0"/>
    <n v="157.26"/>
    <n v="7.86"/>
    <n v="10"/>
    <n v="15"/>
    <n v="190.12"/>
    <s v="Cancelled"/>
    <n v="25"/>
  </r>
  <r>
    <x v="1368"/>
    <x v="20"/>
    <x v="0"/>
    <x v="17"/>
    <s v="Cust_168"/>
    <x v="0"/>
    <x v="2"/>
    <x v="5"/>
    <n v="913439"/>
    <x v="0"/>
    <s v="SKU168"/>
    <s v="Product_168"/>
    <s v="snaks"/>
    <n v="5"/>
    <n v="2"/>
    <n v="6.52"/>
    <n v="0"/>
    <n v="13.04"/>
    <n v="0.65"/>
    <n v="30"/>
    <n v="5"/>
    <n v="48.69"/>
    <s v="Delivered"/>
    <n v="33"/>
  </r>
  <r>
    <x v="1369"/>
    <x v="22"/>
    <x v="0"/>
    <x v="14"/>
    <s v="Cust_169"/>
    <x v="0"/>
    <x v="0"/>
    <x v="5"/>
    <n v="333746"/>
    <x v="0"/>
    <s v="SKU169"/>
    <s v="Product_169"/>
    <s v="bevrage"/>
    <n v="7"/>
    <n v="4"/>
    <n v="99.8"/>
    <n v="0"/>
    <n v="399.2"/>
    <n v="19.96"/>
    <n v="0"/>
    <n v="15"/>
    <n v="434.16"/>
    <s v="Delivered"/>
    <n v="48"/>
  </r>
  <r>
    <x v="1370"/>
    <x v="9"/>
    <x v="1"/>
    <x v="7"/>
    <s v="Cust_170"/>
    <x v="0"/>
    <x v="0"/>
    <x v="5"/>
    <n v="757116"/>
    <x v="4"/>
    <s v="SKU170"/>
    <s v="Product_170"/>
    <s v="snaks"/>
    <n v="5"/>
    <n v="1"/>
    <n v="150.11000000000001"/>
    <n v="7.51"/>
    <n v="142.6"/>
    <n v="7.13"/>
    <n v="30"/>
    <n v="15"/>
    <n v="194.73"/>
    <s v="Delivered"/>
    <n v="18"/>
  </r>
  <r>
    <x v="1371"/>
    <x v="3"/>
    <x v="1"/>
    <x v="3"/>
    <s v="Cust_171"/>
    <x v="0"/>
    <x v="1"/>
    <x v="5"/>
    <n v="497751"/>
    <x v="6"/>
    <s v="SKU171"/>
    <s v="Product_171"/>
    <s v="bevrage"/>
    <n v="7"/>
    <n v="6"/>
    <n v="169.56"/>
    <n v="16.96"/>
    <n v="1000.4"/>
    <n v="50.02"/>
    <n v="0"/>
    <n v="20"/>
    <n v="1070.42"/>
    <s v="Delivered"/>
    <n v="26"/>
  </r>
  <r>
    <x v="1372"/>
    <x v="22"/>
    <x v="0"/>
    <x v="14"/>
    <s v="Cust_172"/>
    <x v="0"/>
    <x v="2"/>
    <x v="5"/>
    <n v="553028"/>
    <x v="0"/>
    <s v="SKU172"/>
    <s v="Product_172"/>
    <s v="Frozen"/>
    <n v="6"/>
    <n v="2"/>
    <n v="111.99"/>
    <n v="16.8"/>
    <n v="207.18"/>
    <n v="10.36"/>
    <n v="0"/>
    <n v="20"/>
    <n v="237.54"/>
    <s v="Delivered"/>
    <n v="26"/>
  </r>
  <r>
    <x v="1373"/>
    <x v="24"/>
    <x v="1"/>
    <x v="19"/>
    <s v="Cust_173"/>
    <x v="0"/>
    <x v="5"/>
    <x v="5"/>
    <n v="110207"/>
    <x v="0"/>
    <s v="SKU173"/>
    <s v="Product_173"/>
    <s v="Other"/>
    <n v="5"/>
    <n v="3"/>
    <n v="104.29"/>
    <n v="5.21"/>
    <n v="307.66000000000003"/>
    <n v="15.38"/>
    <n v="0"/>
    <n v="10"/>
    <n v="333.04"/>
    <s v="Delivered"/>
    <n v="10"/>
  </r>
  <r>
    <x v="1374"/>
    <x v="45"/>
    <x v="1"/>
    <x v="28"/>
    <s v="Cust_174"/>
    <x v="0"/>
    <x v="3"/>
    <x v="5"/>
    <n v="775616"/>
    <x v="0"/>
    <s v="SKU174"/>
    <s v="Product_174"/>
    <s v="Fruits"/>
    <n v="6"/>
    <n v="1"/>
    <n v="22.58"/>
    <n v="3.39"/>
    <n v="19.190000000000001"/>
    <n v="0.96"/>
    <n v="30"/>
    <n v="0"/>
    <n v="50.15"/>
    <s v="Delivered"/>
    <n v="21"/>
  </r>
  <r>
    <x v="1375"/>
    <x v="22"/>
    <x v="0"/>
    <x v="14"/>
    <s v="Cust_175"/>
    <x v="0"/>
    <x v="3"/>
    <x v="5"/>
    <n v="929783"/>
    <x v="5"/>
    <s v="SKU175"/>
    <s v="Product_175"/>
    <s v="Other"/>
    <n v="5"/>
    <n v="2"/>
    <n v="194.37"/>
    <n v="9.7200000000000006"/>
    <n v="379.02"/>
    <n v="18.95"/>
    <n v="20"/>
    <n v="20"/>
    <n v="437.97"/>
    <s v="Delivered"/>
    <n v="20"/>
  </r>
  <r>
    <x v="1376"/>
    <x v="31"/>
    <x v="0"/>
    <x v="22"/>
    <s v="Cust_176"/>
    <x v="1"/>
    <x v="4"/>
    <x v="5"/>
    <n v="373363"/>
    <x v="0"/>
    <s v="SKU176"/>
    <s v="Product_176"/>
    <s v="Dairy"/>
    <n v="5"/>
    <n v="1"/>
    <n v="37.92"/>
    <n v="5.69"/>
    <n v="32.229999999999997"/>
    <n v="1.61"/>
    <n v="0"/>
    <n v="15"/>
    <n v="48.84"/>
    <s v="Delivered"/>
    <n v="13"/>
  </r>
  <r>
    <x v="1377"/>
    <x v="33"/>
    <x v="0"/>
    <x v="9"/>
    <s v="Cust_177"/>
    <x v="0"/>
    <x v="0"/>
    <x v="5"/>
    <n v="331615"/>
    <x v="0"/>
    <s v="SKU177"/>
    <s v="Product_177"/>
    <s v="Dairy"/>
    <n v="5"/>
    <n v="5"/>
    <n v="108.57"/>
    <n v="5.43"/>
    <n v="537.41999999999996"/>
    <n v="26.87"/>
    <n v="10"/>
    <n v="5"/>
    <n v="579.29"/>
    <s v="Delivered"/>
    <n v="20"/>
  </r>
  <r>
    <x v="1378"/>
    <x v="17"/>
    <x v="1"/>
    <x v="14"/>
    <s v="Cust_178"/>
    <x v="0"/>
    <x v="1"/>
    <x v="5"/>
    <n v="848979"/>
    <x v="5"/>
    <s v="SKU178"/>
    <s v="Product_178"/>
    <s v="Veg"/>
    <n v="3"/>
    <n v="3"/>
    <n v="140.30000000000001"/>
    <n v="0"/>
    <n v="420.9"/>
    <n v="21.05"/>
    <n v="20"/>
    <n v="20"/>
    <n v="481.95"/>
    <s v="Delivered"/>
    <n v="15"/>
  </r>
  <r>
    <x v="1379"/>
    <x v="40"/>
    <x v="1"/>
    <x v="27"/>
    <s v="Cust_179"/>
    <x v="0"/>
    <x v="0"/>
    <x v="5"/>
    <n v="373672"/>
    <x v="0"/>
    <s v="SKU179"/>
    <s v="Product_179"/>
    <s v="Frozen"/>
    <n v="6"/>
    <n v="9"/>
    <n v="136.81"/>
    <n v="0"/>
    <n v="1231.29"/>
    <n v="61.56"/>
    <n v="30"/>
    <n v="15"/>
    <n v="1337.85"/>
    <s v="Delivered"/>
    <n v="25"/>
  </r>
  <r>
    <x v="1380"/>
    <x v="12"/>
    <x v="0"/>
    <x v="10"/>
    <s v="Cust_180"/>
    <x v="0"/>
    <x v="3"/>
    <x v="5"/>
    <n v="674586"/>
    <x v="4"/>
    <s v="SKU180"/>
    <s v="Product_180"/>
    <s v="FRUITS "/>
    <n v="7"/>
    <n v="4"/>
    <n v="96.97"/>
    <n v="4.8499999999999996"/>
    <n v="383.03"/>
    <n v="19.149999999999999"/>
    <n v="0"/>
    <n v="15"/>
    <n v="417.17999999999989"/>
    <s v="Delivered"/>
    <n v="27"/>
  </r>
  <r>
    <x v="1381"/>
    <x v="14"/>
    <x v="0"/>
    <x v="12"/>
    <s v="Cust_181"/>
    <x v="0"/>
    <x v="5"/>
    <x v="5"/>
    <n v="763478"/>
    <x v="1"/>
    <s v="SKU181"/>
    <s v="Product_181"/>
    <s v="Baby"/>
    <n v="4"/>
    <n v="1"/>
    <n v="118.41"/>
    <n v="5.92"/>
    <n v="112.49"/>
    <n v="5.62"/>
    <n v="0"/>
    <n v="5"/>
    <n v="123.11"/>
    <s v="Delivered"/>
    <n v="27"/>
  </r>
  <r>
    <x v="1382"/>
    <x v="14"/>
    <x v="0"/>
    <x v="12"/>
    <s v="Cust_182"/>
    <x v="0"/>
    <x v="2"/>
    <x v="5"/>
    <n v="161394"/>
    <x v="5"/>
    <s v="SKU182"/>
    <s v="Product_182"/>
    <s v="bevrage"/>
    <n v="7"/>
    <n v="4"/>
    <n v="203.46"/>
    <n v="20.350000000000001"/>
    <n v="793.49"/>
    <n v="39.67"/>
    <n v="30"/>
    <n v="10"/>
    <n v="873.16"/>
    <s v="Delivered"/>
    <n v="11"/>
  </r>
  <r>
    <x v="1383"/>
    <x v="32"/>
    <x v="0"/>
    <x v="23"/>
    <s v="Cust_183"/>
    <x v="0"/>
    <x v="3"/>
    <x v="5"/>
    <n v="680206"/>
    <x v="1"/>
    <s v="SKU183"/>
    <s v="Product_183"/>
    <s v="DIARY"/>
    <n v="5"/>
    <n v="1"/>
    <n v="32.92"/>
    <n v="0"/>
    <n v="32.92"/>
    <n v="1.65"/>
    <n v="20"/>
    <n v="10"/>
    <n v="64.569999999999993"/>
    <s v="Delivered"/>
    <n v="19"/>
  </r>
  <r>
    <x v="1384"/>
    <x v="0"/>
    <x v="0"/>
    <x v="0"/>
    <s v="Cust_184"/>
    <x v="0"/>
    <x v="1"/>
    <x v="5"/>
    <n v="214310"/>
    <x v="0"/>
    <s v="SKU184"/>
    <s v="Product_184"/>
    <s v="Essentials"/>
    <n v="10"/>
    <n v="4"/>
    <n v="5.7"/>
    <n v="0.56999999999999995"/>
    <n v="22.23"/>
    <n v="1.1100000000000001"/>
    <n v="30"/>
    <n v="5"/>
    <n v="58.34"/>
    <s v="Delivered"/>
    <n v="27"/>
  </r>
  <r>
    <x v="1385"/>
    <x v="32"/>
    <x v="0"/>
    <x v="23"/>
    <s v="Cust_185"/>
    <x v="0"/>
    <x v="2"/>
    <x v="5"/>
    <n v="796314"/>
    <x v="2"/>
    <s v="SKU185"/>
    <s v="Product_185"/>
    <s v="Other"/>
    <n v="5"/>
    <n v="3"/>
    <n v="100.87"/>
    <n v="0"/>
    <n v="302.61"/>
    <n v="15.13"/>
    <n v="20"/>
    <n v="0"/>
    <n v="337.74"/>
    <s v="Delivered"/>
    <n v="33"/>
  </r>
  <r>
    <x v="1386"/>
    <x v="46"/>
    <x v="1"/>
    <x v="25"/>
    <s v="Cust_186"/>
    <x v="0"/>
    <x v="1"/>
    <x v="5"/>
    <n v="248112"/>
    <x v="6"/>
    <s v="SKU186"/>
    <s v="Product_186"/>
    <s v="Beverages"/>
    <n v="9"/>
    <n v="2"/>
    <n v="26.52"/>
    <n v="1.33"/>
    <n v="51.71"/>
    <n v="2.59"/>
    <n v="20"/>
    <n v="15"/>
    <n v="89.3"/>
    <s v="Delivered"/>
    <n v="53"/>
  </r>
  <r>
    <x v="1387"/>
    <x v="46"/>
    <x v="1"/>
    <x v="25"/>
    <s v="Cust_187"/>
    <x v="0"/>
    <x v="0"/>
    <x v="5"/>
    <n v="129048"/>
    <x v="0"/>
    <s v="SKU187"/>
    <s v="Product_187"/>
    <s v="Snacks"/>
    <n v="6"/>
    <n v="4"/>
    <n v="87.85"/>
    <n v="13.18"/>
    <n v="338.22"/>
    <n v="16.91"/>
    <n v="30"/>
    <n v="0"/>
    <n v="385.13"/>
    <s v="Delivered"/>
    <n v="31"/>
  </r>
  <r>
    <x v="1388"/>
    <x v="15"/>
    <x v="1"/>
    <x v="13"/>
    <s v="Cust_188"/>
    <x v="0"/>
    <x v="3"/>
    <x v="5"/>
    <n v="120968"/>
    <x v="1"/>
    <s v="SKU188"/>
    <s v="Product_188"/>
    <s v="Beverages"/>
    <n v="9"/>
    <n v="1"/>
    <n v="129.99"/>
    <n v="19.5"/>
    <n v="110.49"/>
    <n v="5.52"/>
    <n v="30"/>
    <n v="20"/>
    <n v="166.01"/>
    <s v="Delivered"/>
    <n v="16"/>
  </r>
  <r>
    <x v="1389"/>
    <x v="36"/>
    <x v="1"/>
    <x v="17"/>
    <s v="Cust_189"/>
    <x v="0"/>
    <x v="0"/>
    <x v="5"/>
    <n v="441603"/>
    <x v="6"/>
    <s v="SKU189"/>
    <s v="Product_189"/>
    <s v="DIARY"/>
    <n v="5"/>
    <n v="3"/>
    <n v="50.51"/>
    <n v="7.58"/>
    <n v="143.94999999999999"/>
    <n v="7.2"/>
    <n v="10"/>
    <n v="20"/>
    <n v="181.15"/>
    <s v="Delivered"/>
    <n v="15"/>
  </r>
  <r>
    <x v="1390"/>
    <x v="32"/>
    <x v="0"/>
    <x v="23"/>
    <s v="Cust_190"/>
    <x v="0"/>
    <x v="2"/>
    <x v="5"/>
    <n v="200588"/>
    <x v="2"/>
    <s v="SKU190"/>
    <s v="Product_190"/>
    <s v="Frozen"/>
    <n v="6"/>
    <n v="1"/>
    <n v="100.23"/>
    <n v="10.02"/>
    <n v="90.210000000000008"/>
    <n v="4.51"/>
    <n v="20"/>
    <n v="0"/>
    <n v="114.72"/>
    <s v="Delivered"/>
    <n v="8"/>
  </r>
  <r>
    <x v="1391"/>
    <x v="5"/>
    <x v="1"/>
    <x v="0"/>
    <s v="Cust_191"/>
    <x v="0"/>
    <x v="3"/>
    <x v="5"/>
    <n v="557301"/>
    <x v="5"/>
    <s v="SKU191"/>
    <s v="Product_191"/>
    <s v="Veg"/>
    <n v="3"/>
    <n v="3"/>
    <n v="208.68"/>
    <n v="10.43"/>
    <n v="615.61"/>
    <n v="30.78"/>
    <n v="0"/>
    <n v="5"/>
    <n v="651.39"/>
    <s v="Delivered"/>
    <n v="24"/>
  </r>
  <r>
    <x v="1392"/>
    <x v="28"/>
    <x v="0"/>
    <x v="8"/>
    <s v="Cust_192"/>
    <x v="0"/>
    <x v="1"/>
    <x v="5"/>
    <n v="630992"/>
    <x v="0"/>
    <s v="SKU192"/>
    <s v="Product_192"/>
    <s v="bevrage"/>
    <n v="7"/>
    <n v="1"/>
    <n v="62.35"/>
    <n v="0"/>
    <n v="62.35"/>
    <n v="3.12"/>
    <n v="30"/>
    <n v="15"/>
    <n v="110.47"/>
    <s v="Cancelled"/>
    <n v="25"/>
  </r>
  <r>
    <x v="1393"/>
    <x v="1"/>
    <x v="0"/>
    <x v="1"/>
    <s v="Cust_193"/>
    <x v="0"/>
    <x v="3"/>
    <x v="5"/>
    <n v="429408"/>
    <x v="2"/>
    <s v="SKU193"/>
    <s v="Product_193"/>
    <s v="Snacks"/>
    <n v="6"/>
    <n v="4"/>
    <n v="60.26"/>
    <n v="6.03"/>
    <n v="235.01"/>
    <n v="11.75"/>
    <n v="20"/>
    <n v="10"/>
    <n v="276.76"/>
    <s v="Delivered"/>
    <n v="32"/>
  </r>
  <r>
    <x v="1394"/>
    <x v="3"/>
    <x v="1"/>
    <x v="3"/>
    <s v="Cust_194"/>
    <x v="0"/>
    <x v="3"/>
    <x v="5"/>
    <n v="895772"/>
    <x v="5"/>
    <s v="SKU194"/>
    <s v="Product_194"/>
    <s v="DIARY"/>
    <n v="5"/>
    <n v="1"/>
    <n v="93.3"/>
    <n v="4.67"/>
    <n v="88.63"/>
    <n v="4.43"/>
    <n v="20"/>
    <n v="20"/>
    <n v="133.06"/>
    <s v="Delivered"/>
    <n v="23"/>
  </r>
  <r>
    <x v="1395"/>
    <x v="31"/>
    <x v="0"/>
    <x v="22"/>
    <s v="Cust_195"/>
    <x v="0"/>
    <x v="1"/>
    <x v="5"/>
    <n v="643447"/>
    <x v="1"/>
    <s v="SKU195"/>
    <s v="Product_195"/>
    <s v="snaks"/>
    <n v="5"/>
    <n v="1"/>
    <n v="61.65"/>
    <n v="0"/>
    <n v="61.65"/>
    <n v="3.08"/>
    <n v="0"/>
    <n v="20"/>
    <n v="84.73"/>
    <s v="Delivered"/>
    <n v="25"/>
  </r>
  <r>
    <x v="1396"/>
    <x v="2"/>
    <x v="1"/>
    <x v="2"/>
    <s v="Cust_196"/>
    <x v="0"/>
    <x v="3"/>
    <x v="5"/>
    <n v="866164"/>
    <x v="5"/>
    <s v="SKU196"/>
    <s v="Product_196"/>
    <s v="snaks"/>
    <n v="5"/>
    <n v="1"/>
    <n v="130.77000000000001"/>
    <n v="0"/>
    <n v="130.77000000000001"/>
    <n v="6.54"/>
    <n v="0"/>
    <n v="20"/>
    <n v="157.31"/>
    <s v="Delivered"/>
    <n v="15"/>
  </r>
  <r>
    <x v="1397"/>
    <x v="22"/>
    <x v="0"/>
    <x v="14"/>
    <s v="Cust_197"/>
    <x v="0"/>
    <x v="2"/>
    <x v="5"/>
    <n v="316351"/>
    <x v="4"/>
    <s v="SKU197"/>
    <s v="Product_197"/>
    <s v="Frozen"/>
    <n v="6"/>
    <n v="3"/>
    <n v="94.38"/>
    <n v="4.72"/>
    <n v="278.42"/>
    <n v="13.92"/>
    <n v="10"/>
    <n v="5"/>
    <n v="307.33999999999997"/>
    <s v="Delivered"/>
    <n v="14"/>
  </r>
  <r>
    <x v="1398"/>
    <x v="1"/>
    <x v="0"/>
    <x v="1"/>
    <s v="Cust_198"/>
    <x v="2"/>
    <x v="4"/>
    <x v="5"/>
    <n v="100209"/>
    <x v="1"/>
    <s v="SKU198"/>
    <s v="Product_198"/>
    <s v="Veg"/>
    <n v="3"/>
    <n v="5"/>
    <n v="188.59"/>
    <n v="9.43"/>
    <n v="933.5200000000001"/>
    <n v="46.68"/>
    <n v="20"/>
    <n v="15"/>
    <n v="1015.2"/>
    <s v="Delivered"/>
    <n v="43"/>
  </r>
  <r>
    <x v="1399"/>
    <x v="19"/>
    <x v="1"/>
    <x v="16"/>
    <s v="Cust_199"/>
    <x v="0"/>
    <x v="3"/>
    <x v="5"/>
    <n v="330144"/>
    <x v="3"/>
    <s v="SKU199"/>
    <s v="Product_199"/>
    <s v="Frozen"/>
    <n v="6"/>
    <n v="4"/>
    <n v="84.19"/>
    <n v="12.63"/>
    <n v="324.13"/>
    <n v="16.21"/>
    <n v="20"/>
    <n v="5"/>
    <n v="365.34"/>
    <s v="Delivered"/>
    <n v="8"/>
  </r>
  <r>
    <x v="1400"/>
    <x v="0"/>
    <x v="0"/>
    <x v="0"/>
    <s v="Cust_200"/>
    <x v="0"/>
    <x v="5"/>
    <x v="5"/>
    <n v="614242"/>
    <x v="0"/>
    <s v="SKU0"/>
    <s v="Product_0"/>
    <s v="Veg"/>
    <n v="3"/>
    <n v="1"/>
    <n v="137.46"/>
    <n v="13.75"/>
    <n v="123.71"/>
    <n v="6.19"/>
    <n v="10"/>
    <n v="5"/>
    <n v="144.9"/>
    <s v="Delivered"/>
    <n v="22"/>
  </r>
  <r>
    <x v="1401"/>
    <x v="26"/>
    <x v="1"/>
    <x v="5"/>
    <s v="Cust_201"/>
    <x v="0"/>
    <x v="2"/>
    <x v="5"/>
    <n v="937056"/>
    <x v="1"/>
    <s v="SKU1"/>
    <s v="Product_1"/>
    <s v="Snacks"/>
    <n v="6"/>
    <n v="3"/>
    <n v="53.81"/>
    <n v="2.69"/>
    <n v="158.74"/>
    <n v="7.94"/>
    <n v="0"/>
    <n v="5"/>
    <n v="171.68"/>
    <s v="Delivered"/>
    <n v="33"/>
  </r>
  <r>
    <x v="1402"/>
    <x v="13"/>
    <x v="0"/>
    <x v="11"/>
    <s v="Cust_202"/>
    <x v="0"/>
    <x v="5"/>
    <x v="5"/>
    <n v="726946"/>
    <x v="0"/>
    <s v="SKU2"/>
    <s v="Product_2"/>
    <s v="Other"/>
    <n v="5"/>
    <n v="1"/>
    <n v="142.18"/>
    <n v="21.33"/>
    <n v="120.85"/>
    <n v="6.04"/>
    <n v="10"/>
    <n v="0"/>
    <n v="136.88999999999999"/>
    <s v="Delivered"/>
    <n v="7"/>
  </r>
  <r>
    <x v="1403"/>
    <x v="2"/>
    <x v="1"/>
    <x v="2"/>
    <s v="Cust_203"/>
    <x v="0"/>
    <x v="1"/>
    <x v="5"/>
    <n v="104576"/>
    <x v="0"/>
    <s v="SKU3"/>
    <s v="Product_3"/>
    <s v="Veg"/>
    <n v="3"/>
    <n v="1"/>
    <n v="49.34"/>
    <n v="0"/>
    <n v="49.34"/>
    <n v="2.4700000000000002"/>
    <n v="10"/>
    <n v="5"/>
    <n v="66.81"/>
    <s v="Delivered"/>
    <n v="60"/>
  </r>
  <r>
    <x v="1404"/>
    <x v="20"/>
    <x v="0"/>
    <x v="17"/>
    <s v="Cust_204"/>
    <x v="0"/>
    <x v="0"/>
    <x v="5"/>
    <n v="114439"/>
    <x v="1"/>
    <s v="SKU4"/>
    <s v="Product_4"/>
    <s v="Beverages"/>
    <n v="9"/>
    <n v="1"/>
    <n v="66.349999999999994"/>
    <n v="3.32"/>
    <n v="63.029999999999987"/>
    <n v="3.15"/>
    <n v="0"/>
    <n v="0"/>
    <n v="66.179999999999993"/>
    <s v="Delivered"/>
    <n v="24"/>
  </r>
  <r>
    <x v="1405"/>
    <x v="34"/>
    <x v="0"/>
    <x v="24"/>
    <s v="Cust_205"/>
    <x v="2"/>
    <x v="4"/>
    <x v="5"/>
    <n v="841165"/>
    <x v="0"/>
    <s v="SKU5"/>
    <s v="Product_5"/>
    <s v="FRUITS "/>
    <n v="7"/>
    <n v="5"/>
    <n v="95.08"/>
    <n v="0"/>
    <n v="475.4"/>
    <n v="23.77"/>
    <n v="10"/>
    <n v="20"/>
    <n v="529.16999999999996"/>
    <s v="Delivered"/>
    <n v="32"/>
  </r>
  <r>
    <x v="1406"/>
    <x v="22"/>
    <x v="0"/>
    <x v="14"/>
    <s v="Cust_206"/>
    <x v="2"/>
    <x v="4"/>
    <x v="5"/>
    <n v="308150"/>
    <x v="0"/>
    <s v="SKU6"/>
    <s v="Product_6"/>
    <s v="Veg"/>
    <n v="3"/>
    <n v="1"/>
    <n v="245.74"/>
    <n v="12.29"/>
    <n v="233.45"/>
    <n v="11.67"/>
    <n v="10"/>
    <n v="20"/>
    <n v="275.12"/>
    <s v="Delivered"/>
    <n v="11"/>
  </r>
  <r>
    <x v="1407"/>
    <x v="35"/>
    <x v="0"/>
    <x v="25"/>
    <s v="Cust_207"/>
    <x v="1"/>
    <x v="4"/>
    <x v="5"/>
    <n v="173631"/>
    <x v="1"/>
    <s v="SKU7"/>
    <s v="Product_7"/>
    <s v="Veg"/>
    <n v="3"/>
    <n v="1"/>
    <n v="197.92"/>
    <n v="19.79"/>
    <n v="178.13"/>
    <n v="8.91"/>
    <n v="10"/>
    <n v="0"/>
    <n v="197.04"/>
    <s v="Returned"/>
    <n v="25"/>
  </r>
  <r>
    <x v="1408"/>
    <x v="26"/>
    <x v="1"/>
    <x v="5"/>
    <s v="Cust_208"/>
    <x v="0"/>
    <x v="5"/>
    <x v="5"/>
    <n v="527557"/>
    <x v="2"/>
    <s v="SKU8"/>
    <s v="Product_8"/>
    <s v="bevrage"/>
    <n v="7"/>
    <n v="8"/>
    <n v="61.47"/>
    <n v="9.2200000000000006"/>
    <n v="482.54"/>
    <n v="24.13"/>
    <n v="0"/>
    <n v="5"/>
    <n v="511.67"/>
    <s v="Delivered"/>
    <n v="31"/>
  </r>
  <r>
    <x v="1409"/>
    <x v="33"/>
    <x v="0"/>
    <x v="9"/>
    <s v="Cust_209"/>
    <x v="0"/>
    <x v="1"/>
    <x v="5"/>
    <n v="277586"/>
    <x v="2"/>
    <s v="SKU9"/>
    <s v="Product_9"/>
    <s v="Baby"/>
    <n v="4"/>
    <n v="5"/>
    <n v="103.42"/>
    <n v="10.34"/>
    <n v="506.76"/>
    <n v="25.34"/>
    <n v="20"/>
    <n v="0"/>
    <n v="552.1"/>
    <s v="Delivered"/>
    <n v="23"/>
  </r>
  <r>
    <x v="1410"/>
    <x v="22"/>
    <x v="0"/>
    <x v="14"/>
    <s v="Cust_210"/>
    <x v="0"/>
    <x v="2"/>
    <x v="5"/>
    <n v="172577"/>
    <x v="0"/>
    <s v="SKU10"/>
    <s v="Product_10"/>
    <s v="Baby"/>
    <n v="4"/>
    <n v="3"/>
    <n v="80.790000000000006"/>
    <n v="12.12"/>
    <n v="230.25"/>
    <n v="11.51"/>
    <n v="20"/>
    <n v="15"/>
    <n v="276.76"/>
    <s v="Delivered"/>
    <n v="21"/>
  </r>
  <r>
    <x v="1411"/>
    <x v="39"/>
    <x v="1"/>
    <x v="26"/>
    <s v="Cust_211"/>
    <x v="0"/>
    <x v="3"/>
    <x v="5"/>
    <n v="473337"/>
    <x v="5"/>
    <s v="SKU11"/>
    <s v="Product_11"/>
    <s v="Frozen"/>
    <n v="6"/>
    <n v="1"/>
    <n v="193.67"/>
    <n v="0"/>
    <n v="193.67"/>
    <n v="9.68"/>
    <n v="10"/>
    <n v="5"/>
    <n v="218.35"/>
    <s v="Delivered"/>
    <n v="29"/>
  </r>
  <r>
    <x v="1412"/>
    <x v="16"/>
    <x v="1"/>
    <x v="10"/>
    <s v="Cust_212"/>
    <x v="0"/>
    <x v="2"/>
    <x v="5"/>
    <n v="821975"/>
    <x v="6"/>
    <s v="SKU12"/>
    <s v="Product_12"/>
    <s v="Snacks"/>
    <n v="6"/>
    <n v="4"/>
    <n v="94.26"/>
    <n v="14.14"/>
    <n v="362.9"/>
    <n v="18.149999999999999"/>
    <n v="10"/>
    <n v="0"/>
    <n v="391.05"/>
    <s v="Delivered"/>
    <n v="29"/>
  </r>
  <r>
    <x v="1413"/>
    <x v="17"/>
    <x v="1"/>
    <x v="14"/>
    <s v="Cust_213"/>
    <x v="0"/>
    <x v="3"/>
    <x v="5"/>
    <n v="917585"/>
    <x v="5"/>
    <s v="SKU13"/>
    <s v="Product_13"/>
    <s v="Veg"/>
    <n v="3"/>
    <n v="6"/>
    <n v="92.53"/>
    <n v="13.88"/>
    <n v="541.30000000000007"/>
    <n v="27.07"/>
    <n v="10"/>
    <n v="10"/>
    <n v="588.37000000000012"/>
    <s v="Delivered"/>
    <n v="10"/>
  </r>
  <r>
    <x v="1414"/>
    <x v="49"/>
    <x v="1"/>
    <x v="29"/>
    <s v="Cust_214"/>
    <x v="0"/>
    <x v="2"/>
    <x v="5"/>
    <n v="826179"/>
    <x v="6"/>
    <s v="SKU14"/>
    <s v="Product_14"/>
    <s v="Essentials"/>
    <n v="10"/>
    <n v="6"/>
    <n v="140.77000000000001"/>
    <n v="14.08"/>
    <n v="830.54000000000008"/>
    <n v="41.53"/>
    <n v="20"/>
    <n v="15"/>
    <n v="907.07"/>
    <s v="Failed"/>
    <n v="25"/>
  </r>
  <r>
    <x v="1415"/>
    <x v="55"/>
    <x v="1"/>
    <x v="11"/>
    <s v="Cust_215"/>
    <x v="0"/>
    <x v="3"/>
    <x v="5"/>
    <n v="491337"/>
    <x v="0"/>
    <s v="SKU15"/>
    <s v="Product_15"/>
    <s v="Frozen"/>
    <n v="6"/>
    <n v="5"/>
    <n v="127.78"/>
    <n v="19.170000000000002"/>
    <n v="619.73"/>
    <n v="30.99"/>
    <n v="20"/>
    <n v="20"/>
    <n v="690.72"/>
    <s v="Delivered"/>
    <n v="34"/>
  </r>
  <r>
    <x v="1416"/>
    <x v="27"/>
    <x v="0"/>
    <x v="21"/>
    <s v="Cust_216"/>
    <x v="0"/>
    <x v="2"/>
    <x v="5"/>
    <n v="774502"/>
    <x v="0"/>
    <s v="SKU16"/>
    <s v="Product_16"/>
    <s v="Fruits"/>
    <n v="6"/>
    <n v="5"/>
    <n v="214.33"/>
    <n v="0"/>
    <n v="1071.6500000000001"/>
    <n v="53.58"/>
    <n v="30"/>
    <n v="15"/>
    <n v="1170.23"/>
    <s v="Delivered"/>
    <n v="15"/>
  </r>
  <r>
    <x v="1417"/>
    <x v="49"/>
    <x v="1"/>
    <x v="29"/>
    <s v="Cust_217"/>
    <x v="0"/>
    <x v="1"/>
    <x v="5"/>
    <n v="644854"/>
    <x v="2"/>
    <s v="SKU17"/>
    <s v="Product_17"/>
    <s v="Frozen"/>
    <n v="6"/>
    <n v="1"/>
    <n v="122.25"/>
    <n v="18.34"/>
    <n v="103.91"/>
    <n v="5.2"/>
    <n v="20"/>
    <n v="15"/>
    <n v="144.11000000000001"/>
    <s v="Delivered"/>
    <n v="35"/>
  </r>
  <r>
    <x v="1418"/>
    <x v="22"/>
    <x v="0"/>
    <x v="14"/>
    <s v="Cust_218"/>
    <x v="0"/>
    <x v="2"/>
    <x v="5"/>
    <n v="993724"/>
    <x v="6"/>
    <s v="SKU18"/>
    <s v="Product_18"/>
    <s v="Baby"/>
    <n v="4"/>
    <n v="7"/>
    <n v="117.88"/>
    <n v="5.89"/>
    <n v="819.27"/>
    <n v="40.96"/>
    <n v="30"/>
    <n v="10"/>
    <n v="900.23"/>
    <s v="Delivered"/>
    <n v="22"/>
  </r>
  <r>
    <x v="1419"/>
    <x v="47"/>
    <x v="0"/>
    <x v="7"/>
    <s v="Cust_219"/>
    <x v="0"/>
    <x v="2"/>
    <x v="5"/>
    <n v="120169"/>
    <x v="0"/>
    <s v="SKU19"/>
    <s v="Product_19"/>
    <s v="FRUITS "/>
    <n v="7"/>
    <n v="3"/>
    <n v="66.38"/>
    <n v="6.64"/>
    <n v="192.5"/>
    <n v="9.6199999999999992"/>
    <n v="10"/>
    <n v="20"/>
    <n v="232.12"/>
    <s v="Delivered"/>
    <n v="21"/>
  </r>
  <r>
    <x v="1420"/>
    <x v="20"/>
    <x v="0"/>
    <x v="17"/>
    <s v="Cust_220"/>
    <x v="1"/>
    <x v="4"/>
    <x v="5"/>
    <n v="735589"/>
    <x v="1"/>
    <s v="SKU20"/>
    <s v="Product_20"/>
    <s v="snaks"/>
    <n v="5"/>
    <n v="1"/>
    <n v="114.13"/>
    <n v="5.71"/>
    <n v="108.42"/>
    <n v="5.42"/>
    <n v="10"/>
    <n v="10"/>
    <n v="133.84"/>
    <s v="Delivered"/>
    <n v="26"/>
  </r>
  <r>
    <x v="1421"/>
    <x v="56"/>
    <x v="1"/>
    <x v="15"/>
    <s v="Cust_221"/>
    <x v="0"/>
    <x v="1"/>
    <x v="5"/>
    <n v="330796"/>
    <x v="0"/>
    <s v="SKU21"/>
    <s v="Product_21"/>
    <s v="Snacks"/>
    <n v="6"/>
    <n v="3"/>
    <n v="195.46"/>
    <n v="9.77"/>
    <n v="576.61"/>
    <n v="28.83"/>
    <n v="0"/>
    <n v="15"/>
    <n v="620.44000000000005"/>
    <s v="Delivered"/>
    <n v="29"/>
  </r>
  <r>
    <x v="1422"/>
    <x v="50"/>
    <x v="1"/>
    <x v="30"/>
    <s v="Cust_222"/>
    <x v="0"/>
    <x v="2"/>
    <x v="5"/>
    <n v="806050"/>
    <x v="0"/>
    <s v="SKU22"/>
    <s v="Product_22"/>
    <s v="snaks"/>
    <n v="5"/>
    <n v="1"/>
    <n v="151.46"/>
    <n v="15.15"/>
    <n v="136.31"/>
    <n v="6.82"/>
    <n v="20"/>
    <n v="5"/>
    <n v="168.13"/>
    <s v="Delivered"/>
    <n v="21"/>
  </r>
  <r>
    <x v="1423"/>
    <x v="31"/>
    <x v="0"/>
    <x v="22"/>
    <s v="Cust_223"/>
    <x v="0"/>
    <x v="1"/>
    <x v="5"/>
    <n v="850310"/>
    <x v="0"/>
    <s v="SKU23"/>
    <s v="Product_23"/>
    <s v="Snacks"/>
    <n v="6"/>
    <n v="3"/>
    <n v="130.29"/>
    <n v="0"/>
    <n v="390.87"/>
    <n v="19.54"/>
    <n v="20"/>
    <n v="10"/>
    <n v="440.41"/>
    <s v="Cancelled"/>
    <n v="25"/>
  </r>
  <r>
    <x v="1424"/>
    <x v="13"/>
    <x v="0"/>
    <x v="11"/>
    <s v="Cust_224"/>
    <x v="0"/>
    <x v="1"/>
    <x v="5"/>
    <n v="425499"/>
    <x v="0"/>
    <s v="SKU24"/>
    <s v="Product_24"/>
    <s v="DIARY"/>
    <n v="5"/>
    <n v="1"/>
    <n v="81.45"/>
    <n v="12.22"/>
    <n v="69.23"/>
    <n v="3.46"/>
    <n v="20"/>
    <n v="20"/>
    <n v="112.69"/>
    <s v="Cancelled"/>
    <n v="25"/>
  </r>
  <r>
    <x v="1425"/>
    <x v="52"/>
    <x v="0"/>
    <x v="27"/>
    <s v="Cust_225"/>
    <x v="0"/>
    <x v="2"/>
    <x v="5"/>
    <n v="286256"/>
    <x v="0"/>
    <s v="SKU25"/>
    <s v="Product_25"/>
    <s v="Baby"/>
    <n v="4"/>
    <n v="4"/>
    <n v="150.63999999999999"/>
    <n v="7.53"/>
    <n v="595.03"/>
    <n v="29.75"/>
    <n v="10"/>
    <n v="0"/>
    <n v="634.78"/>
    <s v="Delivered"/>
    <n v="21"/>
  </r>
  <r>
    <x v="1426"/>
    <x v="11"/>
    <x v="1"/>
    <x v="9"/>
    <s v="Cust_226"/>
    <x v="0"/>
    <x v="2"/>
    <x v="5"/>
    <n v="118402"/>
    <x v="4"/>
    <s v="SKU26"/>
    <s v="Product_26"/>
    <s v="Veg"/>
    <n v="3"/>
    <n v="1"/>
    <n v="81.790000000000006"/>
    <n v="8.18"/>
    <n v="73.610000000000014"/>
    <n v="3.68"/>
    <n v="20"/>
    <n v="10"/>
    <n v="107.29"/>
    <s v="Delivered"/>
    <n v="36"/>
  </r>
  <r>
    <x v="1427"/>
    <x v="1"/>
    <x v="0"/>
    <x v="1"/>
    <s v="Cust_227"/>
    <x v="0"/>
    <x v="1"/>
    <x v="5"/>
    <n v="697726"/>
    <x v="3"/>
    <s v="SKU27"/>
    <s v="Product_27"/>
    <s v="Dairy"/>
    <n v="5"/>
    <n v="3"/>
    <n v="217.09"/>
    <n v="21.71"/>
    <n v="629.55999999999995"/>
    <n v="31.48"/>
    <n v="20"/>
    <n v="5"/>
    <n v="686.04"/>
    <s v="Cancelled"/>
    <n v="25"/>
  </r>
  <r>
    <x v="1428"/>
    <x v="58"/>
    <x v="0"/>
    <x v="19"/>
    <s v="Cust_228"/>
    <x v="0"/>
    <x v="1"/>
    <x v="5"/>
    <n v="156494"/>
    <x v="0"/>
    <s v="SKU28"/>
    <s v="Product_28"/>
    <s v="Baby"/>
    <n v="4"/>
    <n v="3"/>
    <n v="126.18"/>
    <n v="0"/>
    <n v="378.54"/>
    <n v="18.93"/>
    <n v="20"/>
    <n v="0"/>
    <n v="417.47"/>
    <s v="Failed"/>
    <n v="25"/>
  </r>
  <r>
    <x v="1429"/>
    <x v="3"/>
    <x v="1"/>
    <x v="3"/>
    <s v="Cust_229"/>
    <x v="0"/>
    <x v="2"/>
    <x v="5"/>
    <n v="831455"/>
    <x v="0"/>
    <s v="SKU29"/>
    <s v="Product_29"/>
    <s v="Beverages"/>
    <n v="9"/>
    <n v="1"/>
    <n v="69.63"/>
    <n v="3.48"/>
    <n v="66.149999999999991"/>
    <n v="3.31"/>
    <n v="20"/>
    <n v="15"/>
    <n v="104.46"/>
    <s v="Delivered"/>
    <n v="38"/>
  </r>
  <r>
    <x v="1430"/>
    <x v="2"/>
    <x v="1"/>
    <x v="2"/>
    <s v="Cust_230"/>
    <x v="0"/>
    <x v="0"/>
    <x v="5"/>
    <n v="752842"/>
    <x v="0"/>
    <s v="SKU30"/>
    <s v="Product_30"/>
    <s v="Snacks"/>
    <n v="6"/>
    <n v="5"/>
    <n v="253.89"/>
    <n v="25.39"/>
    <n v="1244.06"/>
    <n v="62.2"/>
    <n v="30"/>
    <n v="10"/>
    <n v="1346.26"/>
    <s v="Cancelled"/>
    <n v="25"/>
  </r>
  <r>
    <x v="1431"/>
    <x v="5"/>
    <x v="1"/>
    <x v="0"/>
    <s v="Cust_231"/>
    <x v="0"/>
    <x v="1"/>
    <x v="5"/>
    <n v="959391"/>
    <x v="5"/>
    <s v="SKU31"/>
    <s v="Product_31"/>
    <s v="Beverages"/>
    <n v="9"/>
    <n v="2"/>
    <n v="107.84"/>
    <n v="5.39"/>
    <n v="210.29"/>
    <n v="10.51"/>
    <n v="20"/>
    <n v="20"/>
    <n v="260.8"/>
    <s v="Delivered"/>
    <n v="22"/>
  </r>
  <r>
    <x v="1432"/>
    <x v="55"/>
    <x v="1"/>
    <x v="11"/>
    <s v="Cust_232"/>
    <x v="0"/>
    <x v="2"/>
    <x v="5"/>
    <n v="532498"/>
    <x v="2"/>
    <s v="SKU32"/>
    <s v="Product_32"/>
    <s v="Snacks"/>
    <n v="6"/>
    <n v="3"/>
    <n v="149.57"/>
    <n v="22.44"/>
    <n v="426.27"/>
    <n v="21.31"/>
    <n v="0"/>
    <n v="0"/>
    <n v="447.58"/>
    <s v="Delivered"/>
    <n v="33"/>
  </r>
  <r>
    <x v="1433"/>
    <x v="2"/>
    <x v="1"/>
    <x v="2"/>
    <s v="Cust_233"/>
    <x v="0"/>
    <x v="2"/>
    <x v="5"/>
    <n v="157545"/>
    <x v="3"/>
    <s v="SKU33"/>
    <s v="Product_33"/>
    <s v="Baby"/>
    <n v="4"/>
    <n v="1"/>
    <n v="16.97"/>
    <n v="2.5499999999999998"/>
    <n v="14.42"/>
    <n v="0.72"/>
    <n v="0"/>
    <n v="15"/>
    <n v="30.14"/>
    <s v="Delivered"/>
    <n v="31"/>
  </r>
  <r>
    <x v="1434"/>
    <x v="31"/>
    <x v="0"/>
    <x v="22"/>
    <s v="Cust_234"/>
    <x v="0"/>
    <x v="2"/>
    <x v="5"/>
    <n v="863978"/>
    <x v="1"/>
    <s v="SKU34"/>
    <s v="Product_34"/>
    <s v="DIARY"/>
    <n v="5"/>
    <n v="2"/>
    <n v="128.19999999999999"/>
    <n v="0"/>
    <n v="256.39999999999998"/>
    <n v="12.82"/>
    <n v="0"/>
    <n v="5"/>
    <n v="274.22000000000003"/>
    <s v="Delivered"/>
    <n v="25"/>
  </r>
  <r>
    <x v="1435"/>
    <x v="39"/>
    <x v="1"/>
    <x v="26"/>
    <s v="Cust_235"/>
    <x v="0"/>
    <x v="5"/>
    <x v="5"/>
    <n v="666202"/>
    <x v="4"/>
    <s v="SKU35"/>
    <s v="Product_35"/>
    <s v="bevrage"/>
    <n v="7"/>
    <n v="4"/>
    <n v="88.34"/>
    <n v="13.25"/>
    <n v="340.11"/>
    <n v="17.010000000000002"/>
    <n v="30"/>
    <n v="5"/>
    <n v="392.12"/>
    <s v="Delivered"/>
    <n v="26"/>
  </r>
  <r>
    <x v="1436"/>
    <x v="23"/>
    <x v="1"/>
    <x v="4"/>
    <s v="Cust_236"/>
    <x v="0"/>
    <x v="0"/>
    <x v="5"/>
    <n v="429670"/>
    <x v="3"/>
    <s v="SKU36"/>
    <s v="Product_36"/>
    <s v="bevrage"/>
    <n v="7"/>
    <n v="1"/>
    <n v="93.26"/>
    <n v="9.33"/>
    <n v="83.93"/>
    <n v="4.2"/>
    <n v="0"/>
    <n v="10"/>
    <n v="98.13000000000001"/>
    <s v="Delivered"/>
    <n v="45"/>
  </r>
  <r>
    <x v="1437"/>
    <x v="52"/>
    <x v="0"/>
    <x v="27"/>
    <s v="Cust_237"/>
    <x v="0"/>
    <x v="0"/>
    <x v="5"/>
    <n v="258768"/>
    <x v="5"/>
    <s v="SKU37"/>
    <s v="Product_37"/>
    <s v="Baby"/>
    <n v="4"/>
    <n v="1"/>
    <n v="106.99"/>
    <n v="0"/>
    <n v="106.99"/>
    <n v="5.35"/>
    <n v="10"/>
    <n v="5"/>
    <n v="127.34"/>
    <s v="Delivered"/>
    <n v="29"/>
  </r>
  <r>
    <x v="1438"/>
    <x v="17"/>
    <x v="1"/>
    <x v="14"/>
    <s v="Cust_238"/>
    <x v="0"/>
    <x v="5"/>
    <x v="5"/>
    <n v="776926"/>
    <x v="1"/>
    <s v="SKU38"/>
    <s v="Product_38"/>
    <s v="Frozen"/>
    <n v="6"/>
    <n v="1"/>
    <n v="171.07"/>
    <n v="25.66"/>
    <n v="145.41"/>
    <n v="7.27"/>
    <n v="10"/>
    <n v="5"/>
    <n v="167.68"/>
    <s v="Delivered"/>
    <n v="37"/>
  </r>
  <r>
    <x v="1439"/>
    <x v="26"/>
    <x v="1"/>
    <x v="5"/>
    <s v="Cust_239"/>
    <x v="0"/>
    <x v="0"/>
    <x v="5"/>
    <n v="233554"/>
    <x v="0"/>
    <s v="SKU39"/>
    <s v="Product_39"/>
    <s v="snaks"/>
    <n v="5"/>
    <n v="1"/>
    <n v="27.03"/>
    <n v="1.35"/>
    <n v="25.68"/>
    <n v="1.28"/>
    <n v="0"/>
    <n v="10"/>
    <n v="36.96"/>
    <s v="Cancelled"/>
    <n v="25"/>
  </r>
  <r>
    <x v="1440"/>
    <x v="50"/>
    <x v="1"/>
    <x v="30"/>
    <s v="Cust_240"/>
    <x v="0"/>
    <x v="2"/>
    <x v="5"/>
    <n v="159676"/>
    <x v="6"/>
    <s v="SKU40"/>
    <s v="Product_40"/>
    <s v="Fruits"/>
    <n v="6"/>
    <n v="1"/>
    <n v="166.56"/>
    <n v="16.66"/>
    <n v="149.9"/>
    <n v="7.5"/>
    <n v="20"/>
    <n v="10"/>
    <n v="187.4"/>
    <s v="Delivered"/>
    <n v="23"/>
  </r>
  <r>
    <x v="1441"/>
    <x v="32"/>
    <x v="0"/>
    <x v="23"/>
    <s v="Cust_241"/>
    <x v="1"/>
    <x v="4"/>
    <x v="5"/>
    <n v="688365"/>
    <x v="0"/>
    <s v="SKU41"/>
    <s v="Product_41"/>
    <s v="snaks"/>
    <n v="5"/>
    <n v="2"/>
    <n v="208.43"/>
    <n v="20.84"/>
    <n v="396.02"/>
    <n v="19.8"/>
    <n v="20"/>
    <n v="5"/>
    <n v="440.82000000000011"/>
    <s v="Delivered"/>
    <n v="33"/>
  </r>
  <r>
    <x v="1442"/>
    <x v="32"/>
    <x v="0"/>
    <x v="23"/>
    <s v="Cust_242"/>
    <x v="0"/>
    <x v="3"/>
    <x v="5"/>
    <n v="481915"/>
    <x v="3"/>
    <s v="SKU42"/>
    <s v="Product_42"/>
    <s v="Veg"/>
    <n v="3"/>
    <n v="1"/>
    <n v="93.13"/>
    <n v="13.97"/>
    <n v="79.16"/>
    <n v="3.96"/>
    <n v="30"/>
    <n v="5"/>
    <n v="118.12"/>
    <s v="Delivered"/>
    <n v="29"/>
  </r>
  <r>
    <x v="1443"/>
    <x v="13"/>
    <x v="0"/>
    <x v="11"/>
    <s v="Cust_243"/>
    <x v="0"/>
    <x v="3"/>
    <x v="5"/>
    <n v="951587"/>
    <x v="3"/>
    <s v="SKU43"/>
    <s v="Product_43"/>
    <s v="snaks"/>
    <n v="5"/>
    <n v="3"/>
    <n v="74.239999999999995"/>
    <n v="0"/>
    <n v="222.72"/>
    <n v="11.14"/>
    <n v="0"/>
    <n v="10"/>
    <n v="243.86"/>
    <s v="Delivered"/>
    <n v="38"/>
  </r>
  <r>
    <x v="1444"/>
    <x v="13"/>
    <x v="0"/>
    <x v="11"/>
    <s v="Cust_244"/>
    <x v="0"/>
    <x v="1"/>
    <x v="5"/>
    <n v="962061"/>
    <x v="5"/>
    <s v="SKU44"/>
    <s v="Product_44"/>
    <s v="Veg"/>
    <n v="3"/>
    <n v="5"/>
    <n v="181.12"/>
    <n v="27.17"/>
    <n v="878.43000000000006"/>
    <n v="43.92"/>
    <n v="0"/>
    <n v="15"/>
    <n v="937.35"/>
    <s v="Delivered"/>
    <n v="40"/>
  </r>
  <r>
    <x v="1445"/>
    <x v="42"/>
    <x v="1"/>
    <x v="24"/>
    <s v="Cust_245"/>
    <x v="0"/>
    <x v="2"/>
    <x v="5"/>
    <n v="730235"/>
    <x v="4"/>
    <s v="SKU45"/>
    <s v="Product_45"/>
    <s v="Baby"/>
    <n v="4"/>
    <n v="1"/>
    <n v="54.85"/>
    <n v="8.23"/>
    <n v="46.62"/>
    <n v="2.33"/>
    <n v="10"/>
    <n v="5"/>
    <n v="63.95"/>
    <s v="Delivered"/>
    <n v="46"/>
  </r>
  <r>
    <x v="1446"/>
    <x v="4"/>
    <x v="0"/>
    <x v="4"/>
    <s v="Cust_246"/>
    <x v="0"/>
    <x v="0"/>
    <x v="5"/>
    <n v="605815"/>
    <x v="6"/>
    <s v="SKU46"/>
    <s v="Product_46"/>
    <s v="Other"/>
    <n v="5"/>
    <n v="2"/>
    <n v="190.41"/>
    <n v="9.52"/>
    <n v="371.3"/>
    <n v="18.57"/>
    <n v="10"/>
    <n v="0"/>
    <n v="399.87"/>
    <s v="Delivered"/>
    <n v="16"/>
  </r>
  <r>
    <x v="1447"/>
    <x v="26"/>
    <x v="1"/>
    <x v="5"/>
    <s v="Cust_247"/>
    <x v="0"/>
    <x v="3"/>
    <x v="5"/>
    <n v="434402"/>
    <x v="2"/>
    <s v="SKU47"/>
    <s v="Product_47"/>
    <s v="Bakery"/>
    <n v="6"/>
    <n v="5"/>
    <n v="138.41999999999999"/>
    <n v="20.76"/>
    <n v="671.33999999999992"/>
    <n v="33.57"/>
    <n v="0"/>
    <n v="10"/>
    <n v="714.91"/>
    <s v="Failed"/>
    <n v="25"/>
  </r>
  <r>
    <x v="1448"/>
    <x v="55"/>
    <x v="1"/>
    <x v="11"/>
    <s v="Cust_248"/>
    <x v="0"/>
    <x v="0"/>
    <x v="5"/>
    <n v="427073"/>
    <x v="0"/>
    <s v="SKU48"/>
    <s v="Product_48"/>
    <s v="Beverages"/>
    <n v="9"/>
    <n v="1"/>
    <n v="189.16"/>
    <n v="18.920000000000002"/>
    <n v="170.24"/>
    <n v="8.51"/>
    <n v="30"/>
    <n v="10"/>
    <n v="218.75"/>
    <s v="Failed"/>
    <n v="25"/>
  </r>
  <r>
    <x v="1449"/>
    <x v="43"/>
    <x v="1"/>
    <x v="23"/>
    <s v="Cust_249"/>
    <x v="0"/>
    <x v="1"/>
    <x v="5"/>
    <n v="416915"/>
    <x v="5"/>
    <s v="SKU49"/>
    <s v="Product_49"/>
    <s v="Baby"/>
    <n v="4"/>
    <n v="1"/>
    <n v="145.22"/>
    <n v="0"/>
    <n v="145.22"/>
    <n v="7.26"/>
    <n v="0"/>
    <n v="10"/>
    <n v="162.47999999999999"/>
    <s v="Delivered"/>
    <n v="27"/>
  </r>
  <r>
    <x v="1450"/>
    <x v="10"/>
    <x v="1"/>
    <x v="8"/>
    <s v="Cust_250"/>
    <x v="0"/>
    <x v="0"/>
    <x v="5"/>
    <n v="890857"/>
    <x v="0"/>
    <s v="SKU50"/>
    <s v="Product_50"/>
    <s v="Other"/>
    <n v="5"/>
    <n v="1"/>
    <n v="167.65"/>
    <n v="0"/>
    <n v="167.65"/>
    <n v="8.3800000000000008"/>
    <n v="20"/>
    <n v="0"/>
    <n v="196.03"/>
    <s v="Delivered"/>
    <n v="22"/>
  </r>
  <r>
    <x v="1451"/>
    <x v="49"/>
    <x v="1"/>
    <x v="29"/>
    <s v="Cust_251"/>
    <x v="0"/>
    <x v="1"/>
    <x v="5"/>
    <n v="890857"/>
    <x v="4"/>
    <s v="SKU51"/>
    <s v="Product_51"/>
    <s v="bevrage"/>
    <n v="7"/>
    <n v="4"/>
    <n v="126.75"/>
    <n v="0"/>
    <n v="507"/>
    <n v="25.35"/>
    <n v="0"/>
    <n v="5"/>
    <n v="537.35"/>
    <s v="Delivered"/>
    <n v="21"/>
  </r>
  <r>
    <x v="1452"/>
    <x v="14"/>
    <x v="0"/>
    <x v="12"/>
    <s v="Cust_252"/>
    <x v="0"/>
    <x v="3"/>
    <x v="5"/>
    <n v="727433"/>
    <x v="5"/>
    <s v="SKU52"/>
    <s v="Product_52"/>
    <s v="Frozen"/>
    <n v="6"/>
    <n v="4"/>
    <n v="59.47"/>
    <n v="8.92"/>
    <n v="228.96"/>
    <n v="11.45"/>
    <n v="0"/>
    <n v="10"/>
    <n v="250.41"/>
    <s v="Delivered"/>
    <n v="29"/>
  </r>
  <r>
    <x v="1453"/>
    <x v="20"/>
    <x v="0"/>
    <x v="17"/>
    <s v="Cust_253"/>
    <x v="0"/>
    <x v="3"/>
    <x v="5"/>
    <n v="756639"/>
    <x v="0"/>
    <s v="SKU53"/>
    <s v="Product_53"/>
    <s v="snaks"/>
    <n v="5"/>
    <n v="1"/>
    <n v="57.73"/>
    <n v="2.89"/>
    <n v="54.84"/>
    <n v="2.74"/>
    <n v="10"/>
    <n v="15"/>
    <n v="82.58"/>
    <s v="Cancelled"/>
    <n v="25"/>
  </r>
  <r>
    <x v="1454"/>
    <x v="46"/>
    <x v="1"/>
    <x v="25"/>
    <s v="Cust_254"/>
    <x v="0"/>
    <x v="3"/>
    <x v="5"/>
    <n v="881817"/>
    <x v="5"/>
    <s v="SKU54"/>
    <s v="Product_54"/>
    <s v="Frozen"/>
    <n v="6"/>
    <n v="5"/>
    <n v="64.459999999999994"/>
    <n v="3.22"/>
    <n v="319.07999999999993"/>
    <n v="15.95"/>
    <n v="10"/>
    <n v="20"/>
    <n v="365.02999999999992"/>
    <s v="Delivered"/>
    <n v="22"/>
  </r>
  <r>
    <x v="1455"/>
    <x v="5"/>
    <x v="1"/>
    <x v="0"/>
    <s v="Cust_255"/>
    <x v="1"/>
    <x v="4"/>
    <x v="5"/>
    <n v="607606"/>
    <x v="1"/>
    <s v="SKU55"/>
    <s v="Product_55"/>
    <s v="bevrage"/>
    <n v="7"/>
    <n v="3"/>
    <n v="85.35"/>
    <n v="0"/>
    <n v="256.05"/>
    <n v="12.8"/>
    <n v="0"/>
    <n v="5"/>
    <n v="273.85000000000002"/>
    <s v="Delivered"/>
    <n v="23"/>
  </r>
  <r>
    <x v="1456"/>
    <x v="9"/>
    <x v="1"/>
    <x v="7"/>
    <s v="Cust_256"/>
    <x v="0"/>
    <x v="3"/>
    <x v="5"/>
    <n v="127856"/>
    <x v="6"/>
    <s v="SKU56"/>
    <s v="Product_56"/>
    <s v="Other"/>
    <n v="5"/>
    <n v="2"/>
    <n v="129.74"/>
    <n v="6.49"/>
    <n v="252.99"/>
    <n v="12.65"/>
    <n v="30"/>
    <n v="5"/>
    <n v="300.64"/>
    <s v="Delivered"/>
    <n v="14"/>
  </r>
  <r>
    <x v="1457"/>
    <x v="31"/>
    <x v="0"/>
    <x v="22"/>
    <s v="Cust_257"/>
    <x v="0"/>
    <x v="2"/>
    <x v="5"/>
    <n v="248757"/>
    <x v="5"/>
    <s v="SKU57"/>
    <s v="Product_57"/>
    <s v="bevrage"/>
    <n v="7"/>
    <n v="1"/>
    <n v="84.77"/>
    <n v="0"/>
    <n v="84.77"/>
    <n v="4.24"/>
    <n v="20"/>
    <n v="20"/>
    <n v="129.01"/>
    <s v="Delivered"/>
    <n v="13"/>
  </r>
  <r>
    <x v="1458"/>
    <x v="42"/>
    <x v="1"/>
    <x v="24"/>
    <s v="Cust_258"/>
    <x v="0"/>
    <x v="2"/>
    <x v="5"/>
    <n v="436676"/>
    <x v="4"/>
    <s v="SKU58"/>
    <s v="Product_58"/>
    <s v="Frozen"/>
    <n v="6"/>
    <n v="1"/>
    <n v="129.07"/>
    <n v="0"/>
    <n v="129.07"/>
    <n v="6.45"/>
    <n v="0"/>
    <n v="20"/>
    <n v="155.52000000000001"/>
    <s v="Delivered"/>
    <n v="44"/>
  </r>
  <r>
    <x v="1459"/>
    <x v="59"/>
    <x v="0"/>
    <x v="3"/>
    <s v="Cust_259"/>
    <x v="0"/>
    <x v="3"/>
    <x v="5"/>
    <n v="752665"/>
    <x v="1"/>
    <s v="SKU59"/>
    <s v="Product_59"/>
    <s v="Other"/>
    <n v="5"/>
    <n v="4"/>
    <n v="18.3"/>
    <n v="1.83"/>
    <n v="71.37"/>
    <n v="3.57"/>
    <n v="10"/>
    <n v="10"/>
    <n v="94.94"/>
    <s v="Delivered"/>
    <n v="38"/>
  </r>
  <r>
    <x v="1460"/>
    <x v="4"/>
    <x v="0"/>
    <x v="4"/>
    <s v="Cust_260"/>
    <x v="0"/>
    <x v="1"/>
    <x v="5"/>
    <n v="554151"/>
    <x v="1"/>
    <s v="SKU60"/>
    <s v="Product_60"/>
    <s v="Dairy"/>
    <n v="5"/>
    <n v="3"/>
    <n v="169.66"/>
    <n v="0"/>
    <n v="508.98"/>
    <n v="25.45"/>
    <n v="10"/>
    <n v="5"/>
    <n v="549.43000000000006"/>
    <s v="Delivered"/>
    <n v="34"/>
  </r>
  <r>
    <x v="1461"/>
    <x v="23"/>
    <x v="1"/>
    <x v="4"/>
    <s v="Cust_261"/>
    <x v="0"/>
    <x v="1"/>
    <x v="5"/>
    <n v="554151"/>
    <x v="4"/>
    <s v="SKU61"/>
    <s v="Product_61"/>
    <s v="bevrage"/>
    <n v="7"/>
    <n v="3"/>
    <n v="108.3"/>
    <n v="0"/>
    <n v="324.89999999999998"/>
    <n v="16.25"/>
    <n v="20"/>
    <n v="10"/>
    <n v="371.15"/>
    <s v="Cancelled"/>
    <n v="25"/>
  </r>
  <r>
    <x v="1462"/>
    <x v="42"/>
    <x v="1"/>
    <x v="24"/>
    <s v="Cust_262"/>
    <x v="0"/>
    <x v="0"/>
    <x v="5"/>
    <n v="554151"/>
    <x v="4"/>
    <s v="SKU62"/>
    <s v="Product_62"/>
    <s v="Dairy"/>
    <n v="5"/>
    <n v="2"/>
    <n v="169.81"/>
    <n v="8.49"/>
    <n v="331.13"/>
    <n v="16.559999999999999"/>
    <n v="10"/>
    <n v="0"/>
    <n v="357.69"/>
    <s v="Delivered"/>
    <n v="11"/>
  </r>
  <r>
    <x v="1463"/>
    <x v="56"/>
    <x v="1"/>
    <x v="15"/>
    <s v="Cust_263"/>
    <x v="0"/>
    <x v="0"/>
    <x v="5"/>
    <n v="554151"/>
    <x v="4"/>
    <s v="SKU63"/>
    <s v="Product_63"/>
    <s v="DIARY"/>
    <n v="5"/>
    <n v="1"/>
    <n v="165.04"/>
    <n v="8.25"/>
    <n v="156.79"/>
    <n v="7.84"/>
    <n v="20"/>
    <n v="20"/>
    <n v="204.63"/>
    <s v="Returned"/>
    <n v="25"/>
  </r>
  <r>
    <x v="1464"/>
    <x v="14"/>
    <x v="0"/>
    <x v="12"/>
    <s v="Cust_264"/>
    <x v="0"/>
    <x v="0"/>
    <x v="5"/>
    <n v="554151"/>
    <x v="0"/>
    <s v="SKU64"/>
    <s v="Product_64"/>
    <s v="Essentials"/>
    <n v="10"/>
    <n v="3"/>
    <n v="179.75"/>
    <n v="8.99"/>
    <n v="530.26"/>
    <n v="26.51"/>
    <n v="0"/>
    <n v="5"/>
    <n v="561.77"/>
    <s v="Delivered"/>
    <n v="26"/>
  </r>
  <r>
    <x v="1465"/>
    <x v="38"/>
    <x v="1"/>
    <x v="20"/>
    <s v="Cust_265"/>
    <x v="1"/>
    <x v="4"/>
    <x v="5"/>
    <n v="554151"/>
    <x v="4"/>
    <s v="SKU65"/>
    <s v="Product_65"/>
    <s v="Veg"/>
    <n v="3"/>
    <n v="8"/>
    <n v="155.88999999999999"/>
    <n v="15.59"/>
    <n v="1231.53"/>
    <n v="61.58"/>
    <n v="0"/>
    <n v="15"/>
    <n v="1308.1099999999999"/>
    <s v="Delivered"/>
    <n v="6"/>
  </r>
  <r>
    <x v="1466"/>
    <x v="24"/>
    <x v="1"/>
    <x v="19"/>
    <s v="Cust_266"/>
    <x v="0"/>
    <x v="5"/>
    <x v="5"/>
    <n v="554151"/>
    <x v="0"/>
    <s v="SKU66"/>
    <s v="Product_66"/>
    <s v="DIARY"/>
    <n v="5"/>
    <n v="3"/>
    <n v="259.26"/>
    <n v="25.93"/>
    <n v="751.85"/>
    <n v="37.590000000000003"/>
    <n v="30"/>
    <n v="15"/>
    <n v="834.44"/>
    <s v="Delivered"/>
    <n v="31"/>
  </r>
  <r>
    <x v="1467"/>
    <x v="22"/>
    <x v="0"/>
    <x v="14"/>
    <s v="Cust_267"/>
    <x v="1"/>
    <x v="4"/>
    <x v="5"/>
    <n v="554151"/>
    <x v="3"/>
    <s v="SKU67"/>
    <s v="Product_67"/>
    <s v="Snacks"/>
    <n v="6"/>
    <n v="3"/>
    <n v="103.62"/>
    <n v="5.18"/>
    <n v="305.68"/>
    <n v="15.28"/>
    <n v="0"/>
    <n v="20"/>
    <n v="340.96"/>
    <s v="Delivered"/>
    <n v="29"/>
  </r>
  <r>
    <x v="1468"/>
    <x v="31"/>
    <x v="0"/>
    <x v="22"/>
    <s v="Cust_268"/>
    <x v="0"/>
    <x v="3"/>
    <x v="5"/>
    <n v="554151"/>
    <x v="4"/>
    <s v="SKU68"/>
    <s v="Product_68"/>
    <s v="Beverages"/>
    <n v="9"/>
    <n v="1"/>
    <n v="216.39"/>
    <n v="21.64"/>
    <n v="194.75"/>
    <n v="9.74"/>
    <n v="10"/>
    <n v="20"/>
    <n v="234.49"/>
    <s v="Delivered"/>
    <n v="29"/>
  </r>
  <r>
    <x v="1469"/>
    <x v="14"/>
    <x v="0"/>
    <x v="12"/>
    <s v="Cust_269"/>
    <x v="0"/>
    <x v="0"/>
    <x v="5"/>
    <n v="554151"/>
    <x v="3"/>
    <s v="SKU69"/>
    <s v="Product_69"/>
    <s v="Frozen"/>
    <n v="6"/>
    <n v="4"/>
    <n v="128.47999999999999"/>
    <n v="0"/>
    <n v="513.91999999999996"/>
    <n v="25.7"/>
    <n v="30"/>
    <n v="15"/>
    <n v="584.62"/>
    <s v="Delivered"/>
    <n v="42"/>
  </r>
  <r>
    <x v="1470"/>
    <x v="21"/>
    <x v="2"/>
    <x v="18"/>
    <s v="Cust_270"/>
    <x v="0"/>
    <x v="2"/>
    <x v="5"/>
    <n v="554151"/>
    <x v="4"/>
    <s v="SKU70"/>
    <s v="Product_70"/>
    <s v="Essentials"/>
    <n v="10"/>
    <n v="1"/>
    <n v="164.33"/>
    <n v="24.65"/>
    <n v="139.68"/>
    <n v="6.98"/>
    <n v="0"/>
    <n v="15"/>
    <n v="161.66"/>
    <s v="Delivered"/>
    <n v="37"/>
  </r>
  <r>
    <x v="1471"/>
    <x v="4"/>
    <x v="0"/>
    <x v="4"/>
    <s v="Cust_271"/>
    <x v="0"/>
    <x v="1"/>
    <x v="5"/>
    <n v="554151"/>
    <x v="4"/>
    <s v="SKU71"/>
    <s v="Product_71"/>
    <s v="Frozen"/>
    <n v="6"/>
    <n v="6"/>
    <n v="139.21"/>
    <n v="6.96"/>
    <n v="828.3"/>
    <n v="41.41"/>
    <n v="30"/>
    <n v="5"/>
    <n v="904.70999999999992"/>
    <s v="Delivered"/>
    <n v="18"/>
  </r>
  <r>
    <x v="1472"/>
    <x v="23"/>
    <x v="1"/>
    <x v="4"/>
    <s v="Cust_272"/>
    <x v="0"/>
    <x v="3"/>
    <x v="5"/>
    <n v="554151"/>
    <x v="3"/>
    <s v="SKU72"/>
    <s v="Product_72"/>
    <s v="FRUITS "/>
    <n v="7"/>
    <n v="1"/>
    <n v="74.06"/>
    <n v="7.41"/>
    <n v="66.650000000000006"/>
    <n v="3.33"/>
    <n v="20"/>
    <n v="0"/>
    <n v="89.98"/>
    <s v="Delivered"/>
    <n v="24"/>
  </r>
  <r>
    <x v="1473"/>
    <x v="18"/>
    <x v="0"/>
    <x v="15"/>
    <s v="Cust_273"/>
    <x v="1"/>
    <x v="4"/>
    <x v="5"/>
    <n v="554151"/>
    <x v="0"/>
    <s v="SKU73"/>
    <s v="Product_73"/>
    <s v="bevrage"/>
    <n v="7"/>
    <n v="3"/>
    <n v="117.58"/>
    <n v="5.88"/>
    <n v="346.86"/>
    <n v="17.34"/>
    <n v="20"/>
    <n v="0"/>
    <n v="384.2"/>
    <s v="Delivered"/>
    <n v="12"/>
  </r>
  <r>
    <x v="1474"/>
    <x v="13"/>
    <x v="0"/>
    <x v="11"/>
    <s v="Cust_274"/>
    <x v="0"/>
    <x v="0"/>
    <x v="5"/>
    <n v="554151"/>
    <x v="3"/>
    <s v="SKU74"/>
    <s v="Product_74"/>
    <s v="snaks"/>
    <n v="5"/>
    <n v="2"/>
    <n v="143.91"/>
    <n v="14.39"/>
    <n v="273.43"/>
    <n v="13.67"/>
    <n v="10"/>
    <n v="20"/>
    <n v="317.10000000000002"/>
    <s v="Delivered"/>
    <n v="27"/>
  </r>
  <r>
    <x v="1475"/>
    <x v="51"/>
    <x v="0"/>
    <x v="28"/>
    <s v="Cust_275"/>
    <x v="0"/>
    <x v="5"/>
    <x v="5"/>
    <n v="554151"/>
    <x v="1"/>
    <s v="SKU75"/>
    <s v="Product_75"/>
    <s v="Veg"/>
    <n v="3"/>
    <n v="2"/>
    <n v="67.73"/>
    <n v="10.16"/>
    <n v="125.3"/>
    <n v="6.27"/>
    <n v="0"/>
    <n v="5"/>
    <n v="136.57"/>
    <s v="Failed"/>
    <n v="25"/>
  </r>
  <r>
    <x v="1476"/>
    <x v="39"/>
    <x v="1"/>
    <x v="26"/>
    <s v="Cust_276"/>
    <x v="0"/>
    <x v="1"/>
    <x v="5"/>
    <n v="554151"/>
    <x v="2"/>
    <s v="SKU76"/>
    <s v="Product_76"/>
    <s v="snaks"/>
    <n v="5"/>
    <n v="6"/>
    <n v="272.5"/>
    <n v="40.880000000000003"/>
    <n v="1594.12"/>
    <n v="79.709999999999994"/>
    <n v="10"/>
    <n v="5"/>
    <n v="1688.83"/>
    <s v="Delivered"/>
    <n v="23"/>
  </r>
  <r>
    <x v="1477"/>
    <x v="55"/>
    <x v="1"/>
    <x v="11"/>
    <s v="Cust_277"/>
    <x v="0"/>
    <x v="3"/>
    <x v="5"/>
    <n v="554151"/>
    <x v="3"/>
    <s v="SKU77"/>
    <s v="Product_77"/>
    <s v="Beverages"/>
    <n v="9"/>
    <n v="3"/>
    <n v="133.97999999999999"/>
    <n v="0"/>
    <n v="401.93999999999988"/>
    <n v="20.100000000000001"/>
    <n v="10"/>
    <n v="0"/>
    <n v="432.04"/>
    <s v="Delivered"/>
    <n v="17"/>
  </r>
  <r>
    <x v="1478"/>
    <x v="58"/>
    <x v="0"/>
    <x v="19"/>
    <s v="Cust_278"/>
    <x v="0"/>
    <x v="0"/>
    <x v="5"/>
    <n v="554151"/>
    <x v="1"/>
    <s v="SKU78"/>
    <s v="Product_78"/>
    <s v="Veg"/>
    <n v="3"/>
    <n v="4"/>
    <n v="53.94"/>
    <n v="8.09"/>
    <n v="207.67"/>
    <n v="10.38"/>
    <n v="30"/>
    <n v="10"/>
    <n v="258.05"/>
    <s v="Delivered"/>
    <n v="29"/>
  </r>
  <r>
    <x v="1479"/>
    <x v="35"/>
    <x v="0"/>
    <x v="25"/>
    <s v="Cust_279"/>
    <x v="0"/>
    <x v="2"/>
    <x v="5"/>
    <n v="554151"/>
    <x v="6"/>
    <s v="SKU79"/>
    <s v="Product_79"/>
    <s v="DIARY"/>
    <n v="5"/>
    <n v="1"/>
    <n v="66.28"/>
    <n v="3.31"/>
    <n v="62.97"/>
    <n v="3.15"/>
    <n v="30"/>
    <n v="0"/>
    <n v="96.12"/>
    <s v="Delivered"/>
    <n v="35"/>
  </r>
  <r>
    <x v="1480"/>
    <x v="5"/>
    <x v="1"/>
    <x v="0"/>
    <s v="Cust_280"/>
    <x v="0"/>
    <x v="2"/>
    <x v="5"/>
    <n v="554151"/>
    <x v="0"/>
    <s v="SKU80"/>
    <s v="Product_80"/>
    <s v="Snacks"/>
    <n v="6"/>
    <n v="1"/>
    <n v="141.29"/>
    <n v="14.13"/>
    <n v="127.16"/>
    <n v="6.36"/>
    <n v="0"/>
    <n v="10"/>
    <n v="143.52000000000001"/>
    <s v="Delivered"/>
    <n v="23"/>
  </r>
  <r>
    <x v="1481"/>
    <x v="28"/>
    <x v="0"/>
    <x v="8"/>
    <s v="Cust_281"/>
    <x v="0"/>
    <x v="1"/>
    <x v="5"/>
    <n v="554151"/>
    <x v="0"/>
    <s v="SKU81"/>
    <s v="Product_81"/>
    <s v="DIARY"/>
    <n v="5"/>
    <n v="1"/>
    <n v="107.58"/>
    <n v="0"/>
    <n v="107.58"/>
    <n v="5.38"/>
    <n v="0"/>
    <n v="5"/>
    <n v="117.96"/>
    <s v="Delivered"/>
    <n v="14"/>
  </r>
  <r>
    <x v="1482"/>
    <x v="25"/>
    <x v="0"/>
    <x v="20"/>
    <s v="Cust_282"/>
    <x v="0"/>
    <x v="2"/>
    <x v="5"/>
    <n v="554151"/>
    <x v="5"/>
    <s v="SKU82"/>
    <s v="Product_82"/>
    <s v="DIARY"/>
    <n v="5"/>
    <n v="1"/>
    <n v="172.99"/>
    <n v="0"/>
    <n v="172.99"/>
    <n v="8.65"/>
    <n v="30"/>
    <n v="10"/>
    <n v="221.64"/>
    <s v="Delivered"/>
    <n v="37"/>
  </r>
  <r>
    <x v="1483"/>
    <x v="29"/>
    <x v="1"/>
    <x v="21"/>
    <s v="Cust_283"/>
    <x v="2"/>
    <x v="4"/>
    <x v="5"/>
    <n v="554151"/>
    <x v="5"/>
    <s v="SKU83"/>
    <s v="Product_83"/>
    <s v="Snacks"/>
    <n v="6"/>
    <n v="7"/>
    <n v="161.11000000000001"/>
    <n v="8.06"/>
    <n v="1119.71"/>
    <n v="55.99"/>
    <n v="10"/>
    <n v="10"/>
    <n v="1195.7"/>
    <s v="Delivered"/>
    <n v="26"/>
  </r>
  <r>
    <x v="1484"/>
    <x v="50"/>
    <x v="1"/>
    <x v="30"/>
    <s v="Cust_284"/>
    <x v="0"/>
    <x v="5"/>
    <x v="5"/>
    <n v="554151"/>
    <x v="0"/>
    <s v="SKU84"/>
    <s v="Product_84"/>
    <s v="Veg"/>
    <n v="3"/>
    <n v="1"/>
    <n v="169.6"/>
    <n v="16.96"/>
    <n v="152.63999999999999"/>
    <n v="7.63"/>
    <n v="0"/>
    <n v="10"/>
    <n v="170.27"/>
    <s v="Delivered"/>
    <n v="29"/>
  </r>
  <r>
    <x v="1485"/>
    <x v="7"/>
    <x v="0"/>
    <x v="5"/>
    <s v="Cust_285"/>
    <x v="0"/>
    <x v="5"/>
    <x v="5"/>
    <n v="554151"/>
    <x v="2"/>
    <s v="SKU85"/>
    <s v="Product_85"/>
    <s v="DIARY"/>
    <n v="5"/>
    <n v="5"/>
    <n v="232.12"/>
    <n v="23.21"/>
    <n v="1137.3900000000001"/>
    <n v="56.87"/>
    <n v="20"/>
    <n v="0"/>
    <n v="1214.26"/>
    <s v="Returned"/>
    <n v="25"/>
  </r>
  <r>
    <x v="1486"/>
    <x v="37"/>
    <x v="1"/>
    <x v="12"/>
    <s v="Cust_286"/>
    <x v="2"/>
    <x v="4"/>
    <x v="5"/>
    <n v="554151"/>
    <x v="5"/>
    <s v="SKU86"/>
    <s v="Product_86"/>
    <s v="Frozen"/>
    <n v="6"/>
    <n v="3"/>
    <n v="49.71"/>
    <n v="7.46"/>
    <n v="141.66999999999999"/>
    <n v="7.08"/>
    <n v="0"/>
    <n v="0"/>
    <n v="148.75"/>
    <s v="Delivered"/>
    <n v="12"/>
  </r>
  <r>
    <x v="1487"/>
    <x v="47"/>
    <x v="0"/>
    <x v="7"/>
    <s v="Cust_287"/>
    <x v="1"/>
    <x v="4"/>
    <x v="5"/>
    <n v="554151"/>
    <x v="4"/>
    <s v="SKU87"/>
    <s v="Product_87"/>
    <s v="Fruits"/>
    <n v="6"/>
    <n v="5"/>
    <n v="85.73"/>
    <n v="12.86"/>
    <n v="415.79"/>
    <n v="20.79"/>
    <n v="10"/>
    <n v="5"/>
    <n v="451.58"/>
    <s v="Delivered"/>
    <n v="32"/>
  </r>
  <r>
    <x v="1488"/>
    <x v="32"/>
    <x v="0"/>
    <x v="23"/>
    <s v="Cust_288"/>
    <x v="2"/>
    <x v="4"/>
    <x v="5"/>
    <n v="524893"/>
    <x v="2"/>
    <s v="SKU88"/>
    <s v="Product_88"/>
    <s v="bevrage"/>
    <n v="7"/>
    <n v="2"/>
    <n v="8.35"/>
    <n v="1.25"/>
    <n v="15.45"/>
    <n v="0.77"/>
    <n v="20"/>
    <n v="10"/>
    <n v="46.22"/>
    <s v="Delivered"/>
    <n v="23"/>
  </r>
  <r>
    <x v="1489"/>
    <x v="2"/>
    <x v="1"/>
    <x v="2"/>
    <s v="Cust_289"/>
    <x v="0"/>
    <x v="2"/>
    <x v="5"/>
    <n v="524852"/>
    <x v="1"/>
    <s v="SKU89"/>
    <s v="Product_89"/>
    <s v="Essentials"/>
    <n v="10"/>
    <n v="3"/>
    <n v="97.69"/>
    <n v="9.77"/>
    <n v="283.3"/>
    <n v="14.17"/>
    <n v="30"/>
    <n v="0"/>
    <n v="327.47000000000003"/>
    <s v="Delivered"/>
    <n v="21"/>
  </r>
  <r>
    <x v="1490"/>
    <x v="40"/>
    <x v="1"/>
    <x v="27"/>
    <s v="Cust_290"/>
    <x v="0"/>
    <x v="1"/>
    <x v="5"/>
    <n v="524812"/>
    <x v="4"/>
    <s v="SKU90"/>
    <s v="Product_90"/>
    <s v="Beverages"/>
    <n v="9"/>
    <n v="1"/>
    <n v="60.91"/>
    <n v="0"/>
    <n v="60.91"/>
    <n v="3.05"/>
    <n v="30"/>
    <n v="10"/>
    <n v="103.96"/>
    <s v="Delivered"/>
    <n v="30"/>
  </r>
  <r>
    <x v="1491"/>
    <x v="14"/>
    <x v="0"/>
    <x v="12"/>
    <s v="Cust_291"/>
    <x v="0"/>
    <x v="1"/>
    <x v="5"/>
    <n v="524771"/>
    <x v="5"/>
    <s v="SKU91"/>
    <s v="Product_91"/>
    <s v="DIARY"/>
    <n v="5"/>
    <n v="4"/>
    <n v="146.91"/>
    <n v="14.69"/>
    <n v="572.94999999999993"/>
    <n v="28.65"/>
    <n v="30"/>
    <n v="0"/>
    <n v="631.59999999999991"/>
    <s v="Delivered"/>
    <n v="20"/>
  </r>
  <r>
    <x v="1492"/>
    <x v="53"/>
    <x v="0"/>
    <x v="29"/>
    <s v="Cust_292"/>
    <x v="0"/>
    <x v="2"/>
    <x v="5"/>
    <n v="524731"/>
    <x v="0"/>
    <s v="SKU92"/>
    <s v="Product_92"/>
    <s v="bevrage"/>
    <n v="7"/>
    <n v="4"/>
    <n v="31.06"/>
    <n v="1.55"/>
    <n v="122.69"/>
    <n v="6.13"/>
    <n v="10"/>
    <n v="0"/>
    <n v="138.82"/>
    <s v="Delivered"/>
    <n v="21"/>
  </r>
  <r>
    <x v="1493"/>
    <x v="16"/>
    <x v="1"/>
    <x v="10"/>
    <s v="Cust_293"/>
    <x v="0"/>
    <x v="0"/>
    <x v="5"/>
    <n v="524690"/>
    <x v="4"/>
    <s v="SKU93"/>
    <s v="Product_93"/>
    <s v="snaks"/>
    <n v="5"/>
    <n v="5"/>
    <n v="192.89"/>
    <n v="9.64"/>
    <n v="954.81"/>
    <n v="47.74"/>
    <n v="0"/>
    <n v="0"/>
    <n v="1002.55"/>
    <s v="Delivered"/>
    <n v="5"/>
  </r>
  <r>
    <x v="1494"/>
    <x v="10"/>
    <x v="1"/>
    <x v="8"/>
    <s v="Cust_294"/>
    <x v="2"/>
    <x v="4"/>
    <x v="5"/>
    <n v="524650"/>
    <x v="4"/>
    <s v="SKU94"/>
    <s v="Product_94"/>
    <s v="Bakery"/>
    <n v="6"/>
    <n v="4"/>
    <n v="227.07"/>
    <n v="0"/>
    <n v="908.28"/>
    <n v="45.41"/>
    <n v="30"/>
    <n v="0"/>
    <n v="983.68999999999994"/>
    <s v="Delivered"/>
    <n v="28"/>
  </r>
  <r>
    <x v="1495"/>
    <x v="9"/>
    <x v="1"/>
    <x v="7"/>
    <s v="Cust_295"/>
    <x v="0"/>
    <x v="1"/>
    <x v="5"/>
    <n v="524609"/>
    <x v="1"/>
    <s v="SKU95"/>
    <s v="Product_95"/>
    <s v="Other"/>
    <n v="5"/>
    <n v="4"/>
    <n v="4.66"/>
    <n v="0"/>
    <n v="18.64"/>
    <n v="0.93"/>
    <n v="0"/>
    <n v="10"/>
    <n v="29.57"/>
    <s v="Delivered"/>
    <n v="15"/>
  </r>
  <r>
    <x v="1496"/>
    <x v="54"/>
    <x v="1"/>
    <x v="18"/>
    <s v="Cust_296"/>
    <x v="0"/>
    <x v="5"/>
    <x v="5"/>
    <n v="524569"/>
    <x v="0"/>
    <s v="SKU96"/>
    <s v="Product_96"/>
    <s v="Fruits"/>
    <n v="6"/>
    <n v="2"/>
    <n v="140.25"/>
    <n v="14.03"/>
    <n v="266.47000000000003"/>
    <n v="13.32"/>
    <n v="20"/>
    <n v="0"/>
    <n v="299.79000000000002"/>
    <s v="Delivered"/>
    <n v="22"/>
  </r>
  <r>
    <x v="1497"/>
    <x v="59"/>
    <x v="0"/>
    <x v="3"/>
    <s v="Cust_297"/>
    <x v="0"/>
    <x v="1"/>
    <x v="5"/>
    <n v="524529"/>
    <x v="6"/>
    <s v="SKU97"/>
    <s v="Product_97"/>
    <s v="Bakery"/>
    <n v="6"/>
    <n v="7"/>
    <n v="63.66"/>
    <n v="0"/>
    <n v="445.62"/>
    <n v="22.28"/>
    <n v="0"/>
    <n v="0"/>
    <n v="467.9"/>
    <s v="Cancelled"/>
    <n v="25"/>
  </r>
  <r>
    <x v="1498"/>
    <x v="35"/>
    <x v="0"/>
    <x v="25"/>
    <s v="Cust_298"/>
    <x v="0"/>
    <x v="1"/>
    <x v="5"/>
    <n v="524488"/>
    <x v="3"/>
    <s v="SKU98"/>
    <s v="Product_98"/>
    <s v="FRUITS "/>
    <n v="7"/>
    <n v="4"/>
    <n v="101.67"/>
    <n v="0"/>
    <n v="406.68"/>
    <n v="20.329999999999998"/>
    <n v="20"/>
    <n v="15"/>
    <n v="462.01"/>
    <s v="Delivered"/>
    <n v="32"/>
  </r>
  <r>
    <x v="1499"/>
    <x v="6"/>
    <x v="1"/>
    <x v="1"/>
    <s v="Cust_299"/>
    <x v="0"/>
    <x v="1"/>
    <x v="5"/>
    <n v="524448"/>
    <x v="3"/>
    <s v="SKU99"/>
    <s v="Product_99"/>
    <s v="Essentials"/>
    <n v="10"/>
    <n v="1"/>
    <n v="198.94"/>
    <n v="29.84"/>
    <n v="169.1"/>
    <n v="8.4600000000000009"/>
    <n v="30"/>
    <n v="15"/>
    <n v="222.56"/>
    <s v="Delivered"/>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3C6B55-A7F4-4E3F-ABCA-8CD2992E20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TYPE">
  <location ref="A66:B70" firstHeaderRow="1" firstDataRow="1" firstDataCol="1"/>
  <pivotFields count="24">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numFmtId="2"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Qty" fld="1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8AB735-69EA-455D-A6E2-8685EDB8CB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B57" firstHeaderRow="1" firstDataRow="1" firstDataCol="1"/>
  <pivotFields count="24">
    <pivotField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s>
  <rowFields count="1">
    <field x="6"/>
  </rowFields>
  <rowItems count="7">
    <i>
      <x/>
    </i>
    <i>
      <x v="1"/>
    </i>
    <i>
      <x v="2"/>
    </i>
    <i>
      <x v="3"/>
    </i>
    <i>
      <x v="4"/>
    </i>
    <i>
      <x v="5"/>
    </i>
    <i t="grand">
      <x/>
    </i>
  </rowItems>
  <colItems count="1">
    <i/>
  </colItems>
  <dataFields count="1">
    <dataField name="Sum of Total"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5F6BAA-7C74-4AE3-8BF5-B3A80DFA7D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A18:B22" firstHeaderRow="1" firstDataRow="1" firstDataCol="1"/>
  <pivotFields count="24">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ALES" fld="21" baseField="2"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A32D0C-2193-4392-8516-D7E0686933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MENT METHOD">
  <location ref="A82:B90" firstHeaderRow="1" firstDataRow="1" firstDataCol="1"/>
  <pivotFields count="24">
    <pivotField dataField="1" showAll="0"/>
    <pivotField showAll="0"/>
    <pivotField showAll="0"/>
    <pivotField showAll="0"/>
    <pivotField showAll="0"/>
    <pivotField showAll="0"/>
    <pivotField showAll="0"/>
    <pivotField showAll="0"/>
    <pivotField showAll="0"/>
    <pivotField axis="axisRow" showAll="0">
      <items count="8">
        <item x="4"/>
        <item x="2"/>
        <item x="6"/>
        <item x="1"/>
        <item x="5"/>
        <item x="0"/>
        <item x="3"/>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Count of Order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489197-0353-4716-AC2C-8684602542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ORDERS">
  <location ref="A2:B13" firstHeaderRow="1" firstDataRow="1" firstDataCol="1"/>
  <pivotFields count="24">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275"/>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910"/>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pivotField showAll="0"/>
    <pivotField showAll="0">
      <items count="7">
        <item x="1"/>
        <item x="0"/>
        <item x="2"/>
        <item x="3"/>
        <item x="5"/>
        <item x="4"/>
        <item t="default"/>
      </items>
    </pivotField>
    <pivotField showAll="0"/>
    <pivotField showAll="0">
      <items count="8">
        <item x="4"/>
        <item x="2"/>
        <item x="6"/>
        <item x="1"/>
        <item x="5"/>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39"/>
    </i>
    <i>
      <x v="264"/>
    </i>
    <i>
      <x v="751"/>
    </i>
    <i>
      <x v="752"/>
    </i>
    <i>
      <x v="855"/>
    </i>
    <i>
      <x v="859"/>
    </i>
    <i>
      <x v="1011"/>
    </i>
    <i>
      <x v="1012"/>
    </i>
    <i>
      <x v="1021"/>
    </i>
    <i>
      <x v="1476"/>
    </i>
    <i t="grand">
      <x/>
    </i>
  </rowItems>
  <colItems count="1">
    <i/>
  </colItems>
  <dataFields count="1">
    <dataField name="SALES" fld="21" baseField="1"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E9EC66-4BAE-4BE8-92DA-C66CA7A66F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9:B106" firstHeaderRow="1" firstDataRow="1" firstDataCol="1"/>
  <pivotFields count="24">
    <pivotField showAll="0"/>
    <pivotField showAll="0"/>
    <pivotField showAll="0"/>
    <pivotField showAll="0"/>
    <pivotField showAll="0"/>
    <pivotField showAll="0"/>
    <pivotField showAll="0"/>
    <pivotField axis="axisRow" showAll="0">
      <items count="7">
        <item x="1"/>
        <item x="0"/>
        <item x="2"/>
        <item x="3"/>
        <item x="5"/>
        <item x="4"/>
        <item t="default"/>
      </items>
    </pivotField>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s>
  <rowFields count="1">
    <field x="7"/>
  </rowFields>
  <rowItems count="7">
    <i>
      <x/>
    </i>
    <i>
      <x v="1"/>
    </i>
    <i>
      <x v="2"/>
    </i>
    <i>
      <x v="3"/>
    </i>
    <i>
      <x v="4"/>
    </i>
    <i>
      <x v="5"/>
    </i>
    <i t="grand">
      <x/>
    </i>
  </rowItems>
  <colItems count="1">
    <i/>
  </colItems>
  <dataFields count="1">
    <dataField name="Sum of Total"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1B09DA-F71D-4BEC-AFFE-03F03C09B3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AYS">
  <location ref="A33:B44" firstHeaderRow="1" firstDataRow="1" firstDataCol="1"/>
  <pivotFields count="24">
    <pivotField showAll="0"/>
    <pivotField showAll="0"/>
    <pivotField showAll="0"/>
    <pivotField axis="axisRow" showAll="0" measureFilter="1">
      <items count="32">
        <item x="18"/>
        <item x="14"/>
        <item x="13"/>
        <item x="26"/>
        <item x="11"/>
        <item x="25"/>
        <item x="17"/>
        <item x="0"/>
        <item x="12"/>
        <item x="29"/>
        <item x="8"/>
        <item x="4"/>
        <item x="15"/>
        <item x="27"/>
        <item x="3"/>
        <item x="22"/>
        <item x="28"/>
        <item x="20"/>
        <item x="6"/>
        <item x="23"/>
        <item x="1"/>
        <item x="10"/>
        <item x="7"/>
        <item x="9"/>
        <item x="19"/>
        <item x="24"/>
        <item x="5"/>
        <item x="21"/>
        <item x="2"/>
        <item x="16"/>
        <item x="30"/>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s>
  <rowFields count="1">
    <field x="3"/>
  </rowFields>
  <rowItems count="11">
    <i>
      <x/>
    </i>
    <i>
      <x v="1"/>
    </i>
    <i>
      <x v="4"/>
    </i>
    <i>
      <x v="7"/>
    </i>
    <i>
      <x v="12"/>
    </i>
    <i>
      <x v="21"/>
    </i>
    <i>
      <x v="22"/>
    </i>
    <i>
      <x v="25"/>
    </i>
    <i>
      <x v="26"/>
    </i>
    <i>
      <x v="27"/>
    </i>
    <i t="grand">
      <x/>
    </i>
  </rowItems>
  <colItems count="1">
    <i/>
  </colItems>
  <dataFields count="1">
    <dataField name="SALES" fld="21" baseField="3" baseItem="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7"/>
          </reference>
        </references>
      </pivotArea>
    </chartFormat>
    <chartFormat chart="0" format="5">
      <pivotArea type="data" outline="0" fieldPosition="0">
        <references count="2">
          <reference field="4294967294" count="1" selected="0">
            <x v="0"/>
          </reference>
          <reference field="3" count="1" selected="0">
            <x v="12"/>
          </reference>
        </references>
      </pivotArea>
    </chartFormat>
    <chartFormat chart="0" format="6">
      <pivotArea type="data" outline="0" fieldPosition="0">
        <references count="2">
          <reference field="4294967294" count="1" selected="0">
            <x v="0"/>
          </reference>
          <reference field="3" count="1" selected="0">
            <x v="21"/>
          </reference>
        </references>
      </pivotArea>
    </chartFormat>
    <chartFormat chart="0" format="7">
      <pivotArea type="data" outline="0" fieldPosition="0">
        <references count="2">
          <reference field="4294967294" count="1" selected="0">
            <x v="0"/>
          </reference>
          <reference field="3" count="1" selected="0">
            <x v="22"/>
          </reference>
        </references>
      </pivotArea>
    </chartFormat>
    <chartFormat chart="0" format="8">
      <pivotArea type="data" outline="0" fieldPosition="0">
        <references count="2">
          <reference field="4294967294" count="1" selected="0">
            <x v="0"/>
          </reference>
          <reference field="3" count="1" selected="0">
            <x v="25"/>
          </reference>
        </references>
      </pivotArea>
    </chartFormat>
    <chartFormat chart="0" format="9">
      <pivotArea type="data" outline="0" fieldPosition="0">
        <references count="2">
          <reference field="4294967294" count="1" selected="0">
            <x v="0"/>
          </reference>
          <reference field="3" count="1" selected="0">
            <x v="26"/>
          </reference>
        </references>
      </pivotArea>
    </chartFormat>
    <chartFormat chart="0" format="10">
      <pivotArea type="data" outline="0" fieldPosition="0">
        <references count="2">
          <reference field="4294967294" count="1" selected="0">
            <x v="0"/>
          </reference>
          <reference field="3" count="1" selected="0">
            <x v="2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E247CFD7-6BF6-43F4-BA1E-571F8DCB9029}" sourceName="City">
  <pivotTables>
    <pivotTable tabId="6" name="PivotTable1"/>
  </pivotTables>
  <data>
    <tabular pivotCacheId="1764166684">
      <items count="6">
        <i x="1" s="1"/>
        <i x="0" s="1"/>
        <i x="2"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75D75090-507E-464F-803C-8530F75FCDB1}" sourceName="Payment_Method">
  <pivotTables>
    <pivotTable tabId="6" name="PivotTable1"/>
  </pivotTables>
  <data>
    <tabular pivotCacheId="1764166684">
      <items count="7">
        <i x="4" s="1"/>
        <i x="2" s="1"/>
        <i x="6" s="1"/>
        <i x="1"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FD56A8BF-2B75-4535-85A9-AF50C9ABFD2C}" cache="Slicer_City1" caption="City" rowHeight="234950"/>
  <slicer name="Payment_Method 1" xr10:uid="{FDA75B3D-2B71-40B7-AC6F-B9275F72C1DB}" cache="Slicer_Payment_Method1" caption="Payment_Method"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chemeClr val="tx1"/>
          </a:solidFill>
        </a:ln>
        <a:effectLst>
          <a:outerShdw blurRad="457200" dist="38100" dir="2700000" algn="tl" rotWithShape="0">
            <a:prstClr val="black"/>
          </a:outerShdw>
        </a:effectLst>
      </a:spPr>
      <a:bodyPr vertOverflow="clip" horzOverflow="clip" rtlCol="0" anchor="t"/>
      <a:lstStyle>
        <a:defPPr algn="ctr">
          <a:defRPr sz="2400" b="1">
            <a:solidFill>
              <a:schemeClr val="tx2"/>
            </a:solidFill>
          </a:defRPr>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01"/>
  <sheetViews>
    <sheetView topLeftCell="K1463" zoomScale="76" zoomScaleNormal="73" workbookViewId="0">
      <selection activeCell="V2" sqref="V2"/>
    </sheetView>
  </sheetViews>
  <sheetFormatPr defaultColWidth="12.6640625" defaultRowHeight="15" customHeight="1"/>
  <cols>
    <col min="1" max="1" width="13" bestFit="1" customWidth="1"/>
    <col min="2" max="2" width="13" customWidth="1"/>
    <col min="3" max="4" width="15.109375" customWidth="1"/>
    <col min="5" max="5" width="19.6640625" bestFit="1" customWidth="1"/>
    <col min="6" max="6" width="18.77734375" bestFit="1" customWidth="1"/>
    <col min="7" max="7" width="22.21875" bestFit="1" customWidth="1"/>
    <col min="8" max="8" width="14.109375" customWidth="1"/>
    <col min="9" max="9" width="12.21875" bestFit="1" customWidth="1"/>
    <col min="10" max="10" width="20.88671875" bestFit="1" customWidth="1"/>
    <col min="11" max="11" width="8.88671875" bestFit="1" customWidth="1"/>
    <col min="12" max="12" width="18.21875" bestFit="1" customWidth="1"/>
    <col min="13" max="13" width="13" bestFit="1" customWidth="1"/>
    <col min="14" max="14" width="3" bestFit="1" customWidth="1"/>
    <col min="15" max="15" width="8.44140625" bestFit="1" customWidth="1"/>
    <col min="16" max="16" width="9.5546875" style="6" bestFit="1" customWidth="1"/>
    <col min="17" max="17" width="12.77734375" bestFit="1" customWidth="1"/>
    <col min="18" max="18" width="12.5546875" bestFit="1" customWidth="1"/>
    <col min="19" max="19" width="8.33203125" bestFit="1" customWidth="1"/>
    <col min="20" max="20" width="16.109375" bestFit="1" customWidth="1"/>
    <col min="21" max="21" width="14.109375" bestFit="1" customWidth="1"/>
    <col min="22" max="22" width="8" bestFit="1" customWidth="1"/>
    <col min="23" max="23" width="18.5546875" bestFit="1" customWidth="1"/>
    <col min="24" max="24" width="17.33203125" bestFit="1" customWidth="1"/>
    <col min="25" max="25" width="16.21875" customWidth="1"/>
  </cols>
  <sheetData>
    <row r="1" spans="1:26" ht="14.25" customHeight="1">
      <c r="A1" s="1" t="s">
        <v>0</v>
      </c>
      <c r="B1" s="5" t="s">
        <v>2261</v>
      </c>
      <c r="C1" s="5" t="s">
        <v>2260</v>
      </c>
      <c r="D1" s="5" t="s">
        <v>2325</v>
      </c>
      <c r="E1" s="1" t="s">
        <v>1</v>
      </c>
      <c r="F1" s="1" t="s">
        <v>2</v>
      </c>
      <c r="G1" s="1" t="s">
        <v>3</v>
      </c>
      <c r="H1" s="1" t="s">
        <v>4</v>
      </c>
      <c r="I1" s="1" t="s">
        <v>5</v>
      </c>
      <c r="J1" s="7" t="s">
        <v>6</v>
      </c>
      <c r="K1" s="1" t="s">
        <v>7</v>
      </c>
      <c r="L1" s="1" t="s">
        <v>8</v>
      </c>
      <c r="M1" s="1" t="s">
        <v>9</v>
      </c>
      <c r="N1" s="1"/>
      <c r="O1" s="1" t="s">
        <v>10</v>
      </c>
      <c r="P1" s="10" t="s">
        <v>11</v>
      </c>
      <c r="Q1" s="1" t="s">
        <v>12</v>
      </c>
      <c r="R1" s="1" t="s">
        <v>13</v>
      </c>
      <c r="S1" s="1" t="s">
        <v>14</v>
      </c>
      <c r="T1" s="1" t="s">
        <v>15</v>
      </c>
      <c r="U1" s="1" t="s">
        <v>16</v>
      </c>
      <c r="V1" s="5" t="s">
        <v>2356</v>
      </c>
      <c r="W1" s="1" t="s">
        <v>17</v>
      </c>
      <c r="X1" s="1" t="s">
        <v>18</v>
      </c>
    </row>
    <row r="2" spans="1:26" ht="14.25" customHeight="1">
      <c r="A2" t="s">
        <v>19</v>
      </c>
      <c r="B2" t="s">
        <v>2262</v>
      </c>
      <c r="C2" s="6" t="str">
        <f>TEXT(B2,"mmmm")</f>
        <v>February</v>
      </c>
      <c r="D2" s="6" t="str">
        <f>TEXT(B2,"dd")</f>
        <v>08</v>
      </c>
      <c r="E2" t="s">
        <v>20</v>
      </c>
      <c r="F2" t="s">
        <v>21</v>
      </c>
      <c r="G2" t="s">
        <v>22</v>
      </c>
      <c r="H2" s="4" t="s">
        <v>2254</v>
      </c>
      <c r="I2">
        <v>554151</v>
      </c>
      <c r="J2" s="8" t="s">
        <v>30</v>
      </c>
      <c r="K2" t="s">
        <v>24</v>
      </c>
      <c r="L2" t="s">
        <v>25</v>
      </c>
      <c r="M2" t="s">
        <v>26</v>
      </c>
      <c r="N2">
        <f t="shared" ref="N2:N12" si="0">LEN(M2)</f>
        <v>3</v>
      </c>
      <c r="O2">
        <v>2</v>
      </c>
      <c r="P2" s="6">
        <v>94</v>
      </c>
      <c r="Q2">
        <v>9.43</v>
      </c>
      <c r="R2">
        <v>179.07</v>
      </c>
      <c r="S2">
        <v>8.9499999999999993</v>
      </c>
      <c r="T2">
        <v>0</v>
      </c>
      <c r="U2">
        <v>10</v>
      </c>
      <c r="V2">
        <v>198.02</v>
      </c>
      <c r="W2" t="s">
        <v>27</v>
      </c>
      <c r="X2">
        <v>14</v>
      </c>
    </row>
    <row r="3" spans="1:26" ht="14.25" customHeight="1">
      <c r="A3" t="s">
        <v>28</v>
      </c>
      <c r="B3" t="s">
        <v>2263</v>
      </c>
      <c r="C3" s="6" t="str">
        <f t="shared" ref="C3:C66" si="1">TEXT(B3,"mmmm")</f>
        <v>February</v>
      </c>
      <c r="D3" s="6" t="str">
        <f t="shared" ref="D3:D66" si="2">TEXT(B3,"dd")</f>
        <v>21</v>
      </c>
      <c r="E3" t="s">
        <v>29</v>
      </c>
      <c r="F3" t="s">
        <v>21</v>
      </c>
      <c r="G3" t="s">
        <v>22</v>
      </c>
      <c r="H3" s="4" t="s">
        <v>2254</v>
      </c>
      <c r="I3">
        <v>554151</v>
      </c>
      <c r="J3" s="8" t="s">
        <v>30</v>
      </c>
      <c r="K3" t="s">
        <v>31</v>
      </c>
      <c r="L3" t="s">
        <v>32</v>
      </c>
      <c r="M3" t="s">
        <v>33</v>
      </c>
      <c r="N3">
        <f t="shared" si="0"/>
        <v>10</v>
      </c>
      <c r="O3">
        <v>1</v>
      </c>
      <c r="P3" s="6">
        <v>1</v>
      </c>
      <c r="Q3">
        <v>1.84</v>
      </c>
      <c r="R3">
        <v>16.61</v>
      </c>
      <c r="S3">
        <v>0.83</v>
      </c>
      <c r="T3">
        <v>0</v>
      </c>
      <c r="U3">
        <v>0</v>
      </c>
      <c r="V3">
        <v>17.440000000000001</v>
      </c>
      <c r="W3" t="s">
        <v>34</v>
      </c>
      <c r="X3">
        <v>12</v>
      </c>
    </row>
    <row r="4" spans="1:26" ht="14.25" customHeight="1">
      <c r="A4" t="s">
        <v>35</v>
      </c>
      <c r="B4" t="s">
        <v>2264</v>
      </c>
      <c r="C4" s="6" t="str">
        <f t="shared" si="1"/>
        <v>January</v>
      </c>
      <c r="D4" s="6" t="str">
        <f t="shared" si="2"/>
        <v>29</v>
      </c>
      <c r="E4" t="s">
        <v>36</v>
      </c>
      <c r="F4" t="s">
        <v>21</v>
      </c>
      <c r="G4" t="s">
        <v>37</v>
      </c>
      <c r="H4" s="4" t="s">
        <v>2254</v>
      </c>
      <c r="I4">
        <v>554151</v>
      </c>
      <c r="J4" s="8" t="s">
        <v>30</v>
      </c>
      <c r="K4" t="s">
        <v>38</v>
      </c>
      <c r="L4" t="s">
        <v>39</v>
      </c>
      <c r="M4" t="s">
        <v>40</v>
      </c>
      <c r="N4">
        <f t="shared" si="0"/>
        <v>6</v>
      </c>
      <c r="O4">
        <v>6</v>
      </c>
      <c r="P4" s="6">
        <v>59.27</v>
      </c>
      <c r="Q4">
        <v>2.96</v>
      </c>
      <c r="R4">
        <v>352.66</v>
      </c>
      <c r="S4">
        <v>17.63</v>
      </c>
      <c r="T4">
        <v>0</v>
      </c>
      <c r="U4">
        <v>0</v>
      </c>
      <c r="V4">
        <v>370.29</v>
      </c>
      <c r="W4" t="s">
        <v>27</v>
      </c>
      <c r="X4">
        <v>12</v>
      </c>
    </row>
    <row r="5" spans="1:26" ht="14.25" customHeight="1">
      <c r="A5" t="s">
        <v>41</v>
      </c>
      <c r="B5" t="s">
        <v>2265</v>
      </c>
      <c r="C5" s="6" t="str">
        <f t="shared" si="1"/>
        <v>January</v>
      </c>
      <c r="D5" s="6" t="str">
        <f t="shared" si="2"/>
        <v>15</v>
      </c>
      <c r="E5" t="s">
        <v>42</v>
      </c>
      <c r="F5" t="s">
        <v>21</v>
      </c>
      <c r="G5" t="s">
        <v>22</v>
      </c>
      <c r="H5" s="4" t="s">
        <v>2254</v>
      </c>
      <c r="I5">
        <v>554151</v>
      </c>
      <c r="J5" s="8" t="s">
        <v>30</v>
      </c>
      <c r="K5" t="s">
        <v>43</v>
      </c>
      <c r="L5" t="s">
        <v>44</v>
      </c>
      <c r="M5" t="s">
        <v>45</v>
      </c>
      <c r="N5">
        <f t="shared" si="0"/>
        <v>6</v>
      </c>
      <c r="O5">
        <v>2</v>
      </c>
      <c r="P5" s="6">
        <v>168.45</v>
      </c>
      <c r="Q5">
        <v>25.27</v>
      </c>
      <c r="R5">
        <v>311.63</v>
      </c>
      <c r="S5">
        <v>15.58</v>
      </c>
      <c r="T5">
        <v>0</v>
      </c>
      <c r="U5">
        <v>10</v>
      </c>
      <c r="V5">
        <v>337.21</v>
      </c>
      <c r="W5" t="s">
        <v>27</v>
      </c>
      <c r="X5">
        <v>12</v>
      </c>
    </row>
    <row r="6" spans="1:26" ht="14.25" customHeight="1">
      <c r="A6" t="s">
        <v>46</v>
      </c>
      <c r="B6" t="s">
        <v>2266</v>
      </c>
      <c r="C6" s="6" t="str">
        <f t="shared" si="1"/>
        <v>February</v>
      </c>
      <c r="D6" s="6" t="str">
        <f t="shared" si="2"/>
        <v>12</v>
      </c>
      <c r="E6" t="s">
        <v>47</v>
      </c>
      <c r="F6" t="s">
        <v>21</v>
      </c>
      <c r="G6" t="s">
        <v>22</v>
      </c>
      <c r="H6" s="4" t="s">
        <v>2254</v>
      </c>
      <c r="I6">
        <v>554151</v>
      </c>
      <c r="J6" s="8" t="s">
        <v>2346</v>
      </c>
      <c r="K6" t="s">
        <v>48</v>
      </c>
      <c r="L6" t="s">
        <v>49</v>
      </c>
      <c r="M6" t="s">
        <v>50</v>
      </c>
      <c r="N6">
        <f t="shared" si="0"/>
        <v>5</v>
      </c>
      <c r="O6">
        <v>6</v>
      </c>
      <c r="P6" s="6">
        <v>52.47</v>
      </c>
      <c r="Q6">
        <v>7.87</v>
      </c>
      <c r="R6">
        <v>306.95</v>
      </c>
      <c r="S6">
        <v>15.35</v>
      </c>
      <c r="T6">
        <v>0</v>
      </c>
      <c r="U6">
        <v>0</v>
      </c>
      <c r="V6">
        <v>322.3</v>
      </c>
      <c r="W6" t="s">
        <v>27</v>
      </c>
      <c r="X6">
        <v>12</v>
      </c>
    </row>
    <row r="7" spans="1:26" ht="14.25" customHeight="1">
      <c r="A7" t="s">
        <v>51</v>
      </c>
      <c r="B7" t="s">
        <v>2267</v>
      </c>
      <c r="C7" s="6" t="str">
        <f t="shared" si="1"/>
        <v>January</v>
      </c>
      <c r="D7" s="6" t="str">
        <f t="shared" si="2"/>
        <v>08</v>
      </c>
      <c r="E7" t="s">
        <v>52</v>
      </c>
      <c r="F7" t="s">
        <v>21</v>
      </c>
      <c r="G7" t="s">
        <v>37</v>
      </c>
      <c r="H7" s="4" t="s">
        <v>2254</v>
      </c>
      <c r="I7">
        <v>554151</v>
      </c>
      <c r="J7" s="8" t="s">
        <v>30</v>
      </c>
      <c r="K7" t="s">
        <v>53</v>
      </c>
      <c r="L7" t="s">
        <v>54</v>
      </c>
      <c r="M7" t="s">
        <v>55</v>
      </c>
      <c r="N7">
        <f t="shared" si="0"/>
        <v>5</v>
      </c>
      <c r="O7">
        <v>5</v>
      </c>
      <c r="P7" s="6">
        <v>78.11</v>
      </c>
      <c r="Q7">
        <v>3.91</v>
      </c>
      <c r="R7">
        <v>386.64</v>
      </c>
      <c r="S7">
        <v>19.329999999999998</v>
      </c>
      <c r="T7">
        <v>30</v>
      </c>
      <c r="U7">
        <v>15</v>
      </c>
      <c r="V7">
        <v>450.97</v>
      </c>
      <c r="W7" t="s">
        <v>27</v>
      </c>
      <c r="X7">
        <v>12</v>
      </c>
      <c r="Z7">
        <f>MEDIAN(X:X)</f>
        <v>25</v>
      </c>
    </row>
    <row r="8" spans="1:26" ht="14.25" customHeight="1">
      <c r="A8" t="s">
        <v>56</v>
      </c>
      <c r="B8" t="s">
        <v>2268</v>
      </c>
      <c r="C8" s="6" t="str">
        <f t="shared" si="1"/>
        <v>January</v>
      </c>
      <c r="D8" s="6" t="str">
        <f t="shared" si="2"/>
        <v>21</v>
      </c>
      <c r="E8" t="s">
        <v>57</v>
      </c>
      <c r="F8" t="s">
        <v>21</v>
      </c>
      <c r="G8" t="s">
        <v>22</v>
      </c>
      <c r="H8" s="4" t="s">
        <v>2254</v>
      </c>
      <c r="I8">
        <v>554151</v>
      </c>
      <c r="J8" s="8" t="s">
        <v>62</v>
      </c>
      <c r="K8" t="s">
        <v>58</v>
      </c>
      <c r="L8" t="s">
        <v>59</v>
      </c>
      <c r="M8" t="s">
        <v>22</v>
      </c>
      <c r="N8">
        <f t="shared" si="0"/>
        <v>6</v>
      </c>
      <c r="O8">
        <v>1</v>
      </c>
      <c r="P8" s="6">
        <v>103.87</v>
      </c>
      <c r="Q8">
        <v>5.19</v>
      </c>
      <c r="R8">
        <v>98.68</v>
      </c>
      <c r="S8">
        <v>4.93</v>
      </c>
      <c r="T8">
        <v>20</v>
      </c>
      <c r="U8">
        <v>0</v>
      </c>
      <c r="V8">
        <v>123.61</v>
      </c>
      <c r="W8" t="s">
        <v>27</v>
      </c>
      <c r="X8">
        <v>12</v>
      </c>
    </row>
    <row r="9" spans="1:26" ht="14.25" customHeight="1">
      <c r="A9" t="s">
        <v>60</v>
      </c>
      <c r="B9" t="s">
        <v>2262</v>
      </c>
      <c r="C9" s="6" t="str">
        <f t="shared" si="1"/>
        <v>February</v>
      </c>
      <c r="D9" s="6" t="str">
        <f t="shared" si="2"/>
        <v>08</v>
      </c>
      <c r="E9" t="s">
        <v>61</v>
      </c>
      <c r="F9" t="s">
        <v>21</v>
      </c>
      <c r="G9" t="s">
        <v>22</v>
      </c>
      <c r="H9" s="4" t="s">
        <v>2254</v>
      </c>
      <c r="I9">
        <v>554151</v>
      </c>
      <c r="J9" s="8" t="s">
        <v>30</v>
      </c>
      <c r="K9" t="s">
        <v>63</v>
      </c>
      <c r="L9" t="s">
        <v>64</v>
      </c>
      <c r="M9" t="s">
        <v>65</v>
      </c>
      <c r="N9">
        <f t="shared" si="0"/>
        <v>6</v>
      </c>
      <c r="O9">
        <v>3</v>
      </c>
      <c r="P9" s="6">
        <v>129.5</v>
      </c>
      <c r="Q9">
        <v>12.95</v>
      </c>
      <c r="R9">
        <v>375.55</v>
      </c>
      <c r="S9">
        <v>18.78</v>
      </c>
      <c r="T9">
        <v>20</v>
      </c>
      <c r="U9">
        <v>10</v>
      </c>
      <c r="V9">
        <v>424.33</v>
      </c>
      <c r="W9" t="s">
        <v>27</v>
      </c>
      <c r="X9">
        <v>12</v>
      </c>
    </row>
    <row r="10" spans="1:26" ht="14.25" customHeight="1">
      <c r="A10" t="s">
        <v>66</v>
      </c>
      <c r="B10" t="s">
        <v>2269</v>
      </c>
      <c r="C10" s="6" t="str">
        <f t="shared" si="1"/>
        <v>February</v>
      </c>
      <c r="D10" s="6" t="str">
        <f t="shared" si="2"/>
        <v>27</v>
      </c>
      <c r="E10" t="s">
        <v>67</v>
      </c>
      <c r="F10" t="s">
        <v>21</v>
      </c>
      <c r="G10" t="s">
        <v>68</v>
      </c>
      <c r="H10" s="4" t="s">
        <v>2254</v>
      </c>
      <c r="I10">
        <v>554151</v>
      </c>
      <c r="J10" s="8" t="s">
        <v>30</v>
      </c>
      <c r="K10" t="s">
        <v>69</v>
      </c>
      <c r="L10" t="s">
        <v>70</v>
      </c>
      <c r="M10" t="s">
        <v>71</v>
      </c>
      <c r="N10">
        <f t="shared" si="0"/>
        <v>6</v>
      </c>
      <c r="O10">
        <v>1</v>
      </c>
      <c r="P10" s="6">
        <v>131.88999999999999</v>
      </c>
      <c r="Q10">
        <v>0</v>
      </c>
      <c r="R10">
        <v>131.88999999999999</v>
      </c>
      <c r="S10">
        <v>6.59</v>
      </c>
      <c r="T10">
        <v>10</v>
      </c>
      <c r="U10">
        <v>0</v>
      </c>
      <c r="V10">
        <v>148.47999999999999</v>
      </c>
      <c r="W10" t="s">
        <v>27</v>
      </c>
      <c r="X10">
        <v>12</v>
      </c>
    </row>
    <row r="11" spans="1:26" ht="14.25" customHeight="1">
      <c r="A11" t="s">
        <v>72</v>
      </c>
      <c r="B11" t="s">
        <v>2270</v>
      </c>
      <c r="C11" s="6" t="str">
        <f t="shared" si="1"/>
        <v>January</v>
      </c>
      <c r="D11" s="6" t="str">
        <f t="shared" si="2"/>
        <v>19</v>
      </c>
      <c r="E11" t="s">
        <v>73</v>
      </c>
      <c r="F11" t="s">
        <v>21</v>
      </c>
      <c r="G11" t="s">
        <v>74</v>
      </c>
      <c r="H11" s="4" t="s">
        <v>2254</v>
      </c>
      <c r="I11">
        <v>554151</v>
      </c>
      <c r="J11" s="8" t="s">
        <v>2345</v>
      </c>
      <c r="K11" t="s">
        <v>75</v>
      </c>
      <c r="L11" t="s">
        <v>76</v>
      </c>
      <c r="M11" t="s">
        <v>77</v>
      </c>
      <c r="N11">
        <f t="shared" si="0"/>
        <v>5</v>
      </c>
      <c r="O11">
        <v>1</v>
      </c>
      <c r="P11" s="6">
        <v>207.92</v>
      </c>
      <c r="Q11">
        <v>20.79</v>
      </c>
      <c r="R11">
        <v>187.13</v>
      </c>
      <c r="S11">
        <v>9.36</v>
      </c>
      <c r="T11">
        <v>30</v>
      </c>
      <c r="U11">
        <v>0</v>
      </c>
      <c r="V11">
        <v>226.49</v>
      </c>
      <c r="W11" t="s">
        <v>27</v>
      </c>
      <c r="X11">
        <v>12</v>
      </c>
    </row>
    <row r="12" spans="1:26" ht="14.25" customHeight="1">
      <c r="A12" t="s">
        <v>78</v>
      </c>
      <c r="B12" t="s">
        <v>2271</v>
      </c>
      <c r="C12" s="6" t="str">
        <f t="shared" si="1"/>
        <v>January</v>
      </c>
      <c r="D12" s="6" t="str">
        <f t="shared" si="2"/>
        <v>23</v>
      </c>
      <c r="E12" t="s">
        <v>79</v>
      </c>
      <c r="F12" t="s">
        <v>80</v>
      </c>
      <c r="G12" t="s">
        <v>81</v>
      </c>
      <c r="H12" s="4" t="s">
        <v>2254</v>
      </c>
      <c r="I12">
        <v>554151</v>
      </c>
      <c r="J12" s="8" t="s">
        <v>30</v>
      </c>
      <c r="K12" t="s">
        <v>82</v>
      </c>
      <c r="L12" t="s">
        <v>83</v>
      </c>
      <c r="M12" t="s">
        <v>77</v>
      </c>
      <c r="N12">
        <f t="shared" si="0"/>
        <v>5</v>
      </c>
      <c r="O12">
        <v>3</v>
      </c>
      <c r="P12" s="6">
        <v>134.09</v>
      </c>
      <c r="Q12">
        <v>13.41</v>
      </c>
      <c r="R12">
        <v>388.86</v>
      </c>
      <c r="S12">
        <v>19.440000000000001</v>
      </c>
      <c r="T12">
        <v>20</v>
      </c>
      <c r="U12">
        <v>0</v>
      </c>
      <c r="V12">
        <v>428.3</v>
      </c>
      <c r="W12" t="s">
        <v>84</v>
      </c>
      <c r="X12">
        <v>12</v>
      </c>
    </row>
    <row r="13" spans="1:26" ht="14.25" customHeight="1">
      <c r="A13" t="s">
        <v>85</v>
      </c>
      <c r="B13" t="s">
        <v>2272</v>
      </c>
      <c r="C13" s="6" t="str">
        <f t="shared" si="1"/>
        <v>January</v>
      </c>
      <c r="D13" s="6" t="str">
        <f t="shared" si="2"/>
        <v>11</v>
      </c>
      <c r="E13" t="s">
        <v>86</v>
      </c>
      <c r="F13" t="s">
        <v>21</v>
      </c>
      <c r="G13" t="s">
        <v>74</v>
      </c>
      <c r="H13" s="4" t="s">
        <v>2254</v>
      </c>
      <c r="I13">
        <v>554151</v>
      </c>
      <c r="J13" s="8" t="s">
        <v>30</v>
      </c>
      <c r="K13" t="s">
        <v>87</v>
      </c>
      <c r="L13" t="s">
        <v>88</v>
      </c>
      <c r="M13" t="s">
        <v>89</v>
      </c>
      <c r="N13">
        <f t="shared" ref="N13:N76" si="3">LEN(M13)</f>
        <v>7</v>
      </c>
      <c r="O13">
        <v>6</v>
      </c>
      <c r="P13" s="6">
        <v>86.17</v>
      </c>
      <c r="Q13">
        <v>0</v>
      </c>
      <c r="R13">
        <v>517.02</v>
      </c>
      <c r="S13">
        <v>25.85</v>
      </c>
      <c r="T13">
        <v>10</v>
      </c>
      <c r="U13">
        <v>5</v>
      </c>
      <c r="V13">
        <v>557.87</v>
      </c>
      <c r="W13" t="s">
        <v>27</v>
      </c>
      <c r="X13">
        <v>10</v>
      </c>
    </row>
    <row r="14" spans="1:26" ht="14.25" customHeight="1">
      <c r="A14" t="s">
        <v>90</v>
      </c>
      <c r="B14" t="s">
        <v>2272</v>
      </c>
      <c r="C14" s="6" t="str">
        <f t="shared" si="1"/>
        <v>January</v>
      </c>
      <c r="D14" s="6" t="str">
        <f t="shared" si="2"/>
        <v>11</v>
      </c>
      <c r="E14" t="s">
        <v>91</v>
      </c>
      <c r="F14" t="s">
        <v>21</v>
      </c>
      <c r="G14" t="s">
        <v>74</v>
      </c>
      <c r="H14" s="4" t="s">
        <v>2254</v>
      </c>
      <c r="I14">
        <v>554151</v>
      </c>
      <c r="J14" s="8" t="s">
        <v>2347</v>
      </c>
      <c r="K14" t="s">
        <v>92</v>
      </c>
      <c r="L14" t="s">
        <v>93</v>
      </c>
      <c r="M14" t="s">
        <v>45</v>
      </c>
      <c r="N14">
        <f t="shared" si="3"/>
        <v>6</v>
      </c>
      <c r="O14">
        <v>3</v>
      </c>
      <c r="P14" s="6">
        <v>104.71</v>
      </c>
      <c r="Q14">
        <v>5.24</v>
      </c>
      <c r="R14">
        <v>308.89</v>
      </c>
      <c r="S14">
        <v>15.44</v>
      </c>
      <c r="T14">
        <v>10</v>
      </c>
      <c r="U14">
        <v>20</v>
      </c>
      <c r="V14">
        <v>354.33</v>
      </c>
      <c r="W14" t="s">
        <v>27</v>
      </c>
      <c r="X14">
        <v>16</v>
      </c>
    </row>
    <row r="15" spans="1:26" ht="14.25" customHeight="1">
      <c r="A15" t="s">
        <v>94</v>
      </c>
      <c r="B15" t="s">
        <v>2273</v>
      </c>
      <c r="C15" s="6" t="str">
        <f t="shared" si="1"/>
        <v>January</v>
      </c>
      <c r="D15" s="6" t="str">
        <f t="shared" si="2"/>
        <v>24</v>
      </c>
      <c r="E15" t="s">
        <v>95</v>
      </c>
      <c r="F15" t="s">
        <v>21</v>
      </c>
      <c r="G15" t="s">
        <v>68</v>
      </c>
      <c r="H15" s="4" t="s">
        <v>2254</v>
      </c>
      <c r="I15">
        <v>554151</v>
      </c>
      <c r="J15" s="8" t="s">
        <v>30</v>
      </c>
      <c r="K15" t="s">
        <v>96</v>
      </c>
      <c r="L15" t="s">
        <v>97</v>
      </c>
      <c r="M15" t="s">
        <v>98</v>
      </c>
      <c r="N15">
        <f t="shared" si="3"/>
        <v>4</v>
      </c>
      <c r="O15">
        <v>4</v>
      </c>
      <c r="P15" s="6">
        <v>204.9</v>
      </c>
      <c r="Q15">
        <v>20.49</v>
      </c>
      <c r="R15">
        <v>799.11</v>
      </c>
      <c r="S15">
        <v>39.96</v>
      </c>
      <c r="T15">
        <v>0</v>
      </c>
      <c r="U15">
        <v>0</v>
      </c>
      <c r="V15">
        <v>839.07</v>
      </c>
      <c r="W15" t="s">
        <v>34</v>
      </c>
      <c r="X15">
        <v>16</v>
      </c>
    </row>
    <row r="16" spans="1:26" ht="14.25" customHeight="1">
      <c r="A16" t="s">
        <v>99</v>
      </c>
      <c r="B16" t="s">
        <v>2274</v>
      </c>
      <c r="C16" s="6" t="str">
        <f t="shared" si="1"/>
        <v>February</v>
      </c>
      <c r="D16" s="6" t="str">
        <f t="shared" si="2"/>
        <v>22</v>
      </c>
      <c r="E16" t="s">
        <v>100</v>
      </c>
      <c r="F16" t="s">
        <v>101</v>
      </c>
      <c r="G16" t="s">
        <v>81</v>
      </c>
      <c r="H16" s="4" t="s">
        <v>2254</v>
      </c>
      <c r="I16">
        <v>554151</v>
      </c>
      <c r="J16" s="8" t="s">
        <v>2345</v>
      </c>
      <c r="K16" t="s">
        <v>102</v>
      </c>
      <c r="L16" t="s">
        <v>103</v>
      </c>
      <c r="M16" t="s">
        <v>22</v>
      </c>
      <c r="N16">
        <f t="shared" si="3"/>
        <v>6</v>
      </c>
      <c r="O16">
        <v>3</v>
      </c>
      <c r="P16" s="6">
        <v>193.33</v>
      </c>
      <c r="Q16">
        <v>0</v>
      </c>
      <c r="R16">
        <v>579.99</v>
      </c>
      <c r="S16">
        <v>29</v>
      </c>
      <c r="T16">
        <v>30</v>
      </c>
      <c r="U16">
        <v>20</v>
      </c>
      <c r="V16">
        <v>658.99</v>
      </c>
      <c r="W16" t="s">
        <v>27</v>
      </c>
      <c r="X16">
        <v>3</v>
      </c>
    </row>
    <row r="17" spans="1:24" ht="14.25" customHeight="1">
      <c r="A17" t="s">
        <v>104</v>
      </c>
      <c r="B17" t="s">
        <v>2275</v>
      </c>
      <c r="C17" s="6" t="str">
        <f t="shared" si="1"/>
        <v>February</v>
      </c>
      <c r="D17" s="6" t="str">
        <f t="shared" si="2"/>
        <v>05</v>
      </c>
      <c r="E17" t="s">
        <v>105</v>
      </c>
      <c r="F17" t="s">
        <v>21</v>
      </c>
      <c r="G17" t="s">
        <v>106</v>
      </c>
      <c r="H17" s="4" t="s">
        <v>2254</v>
      </c>
      <c r="I17">
        <v>554151</v>
      </c>
      <c r="J17" s="8" t="s">
        <v>62</v>
      </c>
      <c r="K17" t="s">
        <v>107</v>
      </c>
      <c r="L17" t="s">
        <v>108</v>
      </c>
      <c r="M17" t="s">
        <v>40</v>
      </c>
      <c r="N17">
        <f t="shared" si="3"/>
        <v>6</v>
      </c>
      <c r="O17">
        <v>3</v>
      </c>
      <c r="P17" s="6">
        <v>35.35</v>
      </c>
      <c r="Q17">
        <v>3.54</v>
      </c>
      <c r="R17">
        <v>102.51</v>
      </c>
      <c r="S17">
        <v>5.13</v>
      </c>
      <c r="T17">
        <v>30</v>
      </c>
      <c r="U17">
        <v>0</v>
      </c>
      <c r="V17">
        <v>137.63999999999999</v>
      </c>
      <c r="W17" t="s">
        <v>27</v>
      </c>
      <c r="X17">
        <v>25</v>
      </c>
    </row>
    <row r="18" spans="1:24" ht="14.25" customHeight="1">
      <c r="A18" t="s">
        <v>109</v>
      </c>
      <c r="B18" t="s">
        <v>2276</v>
      </c>
      <c r="C18" s="6" t="str">
        <f t="shared" si="1"/>
        <v>February</v>
      </c>
      <c r="D18" s="6" t="str">
        <f t="shared" si="2"/>
        <v>09</v>
      </c>
      <c r="E18" t="s">
        <v>110</v>
      </c>
      <c r="F18" t="s">
        <v>21</v>
      </c>
      <c r="G18" t="s">
        <v>106</v>
      </c>
      <c r="H18" s="4" t="s">
        <v>2254</v>
      </c>
      <c r="I18" s="9">
        <v>554151</v>
      </c>
      <c r="J18" s="8" t="s">
        <v>30</v>
      </c>
      <c r="K18" t="s">
        <v>111</v>
      </c>
      <c r="L18" t="s">
        <v>112</v>
      </c>
      <c r="M18" t="s">
        <v>50</v>
      </c>
      <c r="N18">
        <f t="shared" si="3"/>
        <v>5</v>
      </c>
      <c r="O18">
        <v>2</v>
      </c>
      <c r="P18" s="6">
        <v>128.59</v>
      </c>
      <c r="Q18">
        <v>6.43</v>
      </c>
      <c r="R18">
        <v>250.75</v>
      </c>
      <c r="S18">
        <v>12.54</v>
      </c>
      <c r="T18">
        <v>0</v>
      </c>
      <c r="U18">
        <v>5</v>
      </c>
      <c r="V18">
        <v>268.29000000000002</v>
      </c>
      <c r="W18" t="s">
        <v>27</v>
      </c>
      <c r="X18">
        <v>34</v>
      </c>
    </row>
    <row r="19" spans="1:24" ht="14.25" customHeight="1">
      <c r="A19" t="s">
        <v>113</v>
      </c>
      <c r="B19" t="s">
        <v>2273</v>
      </c>
      <c r="C19" s="6" t="str">
        <f t="shared" si="1"/>
        <v>January</v>
      </c>
      <c r="D19" s="6" t="str">
        <f t="shared" si="2"/>
        <v>24</v>
      </c>
      <c r="E19" t="s">
        <v>114</v>
      </c>
      <c r="F19" t="s">
        <v>21</v>
      </c>
      <c r="G19" t="s">
        <v>106</v>
      </c>
      <c r="H19" s="4" t="s">
        <v>2254</v>
      </c>
      <c r="I19" s="9">
        <v>554151</v>
      </c>
      <c r="J19" s="8" t="s">
        <v>2348</v>
      </c>
      <c r="K19" t="s">
        <v>115</v>
      </c>
      <c r="L19" t="s">
        <v>116</v>
      </c>
      <c r="M19" t="s">
        <v>98</v>
      </c>
      <c r="N19">
        <f t="shared" si="3"/>
        <v>4</v>
      </c>
      <c r="O19">
        <v>5</v>
      </c>
      <c r="P19" s="6">
        <v>145.22</v>
      </c>
      <c r="Q19">
        <v>7.26</v>
      </c>
      <c r="R19">
        <v>718.84</v>
      </c>
      <c r="S19">
        <v>35.94</v>
      </c>
      <c r="T19">
        <v>20</v>
      </c>
      <c r="U19">
        <v>5</v>
      </c>
      <c r="V19">
        <v>779.78</v>
      </c>
      <c r="W19" t="s">
        <v>117</v>
      </c>
      <c r="X19">
        <v>25</v>
      </c>
    </row>
    <row r="20" spans="1:24" ht="14.25" customHeight="1">
      <c r="A20" t="s">
        <v>118</v>
      </c>
      <c r="B20" t="s">
        <v>2277</v>
      </c>
      <c r="C20" s="6" t="str">
        <f t="shared" si="1"/>
        <v>January</v>
      </c>
      <c r="D20" s="6" t="str">
        <f t="shared" si="2"/>
        <v>03</v>
      </c>
      <c r="E20" t="s">
        <v>119</v>
      </c>
      <c r="F20" t="s">
        <v>21</v>
      </c>
      <c r="G20" t="s">
        <v>22</v>
      </c>
      <c r="H20" s="4" t="s">
        <v>2254</v>
      </c>
      <c r="I20" s="9">
        <v>554151</v>
      </c>
      <c r="J20" s="8" t="s">
        <v>30</v>
      </c>
      <c r="K20" t="s">
        <v>120</v>
      </c>
      <c r="L20" t="s">
        <v>121</v>
      </c>
      <c r="M20" t="s">
        <v>33</v>
      </c>
      <c r="N20">
        <f t="shared" si="3"/>
        <v>10</v>
      </c>
      <c r="O20">
        <v>1</v>
      </c>
      <c r="P20" s="6">
        <v>156.96</v>
      </c>
      <c r="Q20">
        <v>23.54</v>
      </c>
      <c r="R20">
        <v>133.41999999999999</v>
      </c>
      <c r="S20">
        <v>6.67</v>
      </c>
      <c r="T20">
        <v>10</v>
      </c>
      <c r="U20">
        <v>5</v>
      </c>
      <c r="V20">
        <v>155.09</v>
      </c>
      <c r="W20" t="s">
        <v>27</v>
      </c>
      <c r="X20">
        <v>18</v>
      </c>
    </row>
    <row r="21" spans="1:24" ht="14.25" customHeight="1">
      <c r="A21" t="s">
        <v>122</v>
      </c>
      <c r="B21" t="s">
        <v>2278</v>
      </c>
      <c r="C21" s="6" t="str">
        <f t="shared" si="1"/>
        <v>January</v>
      </c>
      <c r="D21" s="6" t="str">
        <f t="shared" si="2"/>
        <v>22</v>
      </c>
      <c r="E21" t="s">
        <v>123</v>
      </c>
      <c r="F21" t="s">
        <v>21</v>
      </c>
      <c r="G21" t="s">
        <v>68</v>
      </c>
      <c r="H21" s="4" t="s">
        <v>2254</v>
      </c>
      <c r="I21" s="9">
        <v>554151</v>
      </c>
      <c r="J21" s="8" t="s">
        <v>30</v>
      </c>
      <c r="K21" t="s">
        <v>124</v>
      </c>
      <c r="L21" t="s">
        <v>125</v>
      </c>
      <c r="M21" t="s">
        <v>33</v>
      </c>
      <c r="N21">
        <f t="shared" si="3"/>
        <v>10</v>
      </c>
      <c r="O21">
        <v>2</v>
      </c>
      <c r="P21" s="6">
        <v>19.809999999999999</v>
      </c>
      <c r="Q21">
        <v>0</v>
      </c>
      <c r="R21">
        <v>39.619999999999997</v>
      </c>
      <c r="S21">
        <v>1.98</v>
      </c>
      <c r="T21">
        <v>20</v>
      </c>
      <c r="U21">
        <v>20</v>
      </c>
      <c r="V21">
        <v>81.599999999999994</v>
      </c>
      <c r="W21" t="s">
        <v>27</v>
      </c>
      <c r="X21">
        <v>42</v>
      </c>
    </row>
    <row r="22" spans="1:24" ht="14.25" customHeight="1">
      <c r="A22" t="s">
        <v>126</v>
      </c>
      <c r="B22" t="s">
        <v>2274</v>
      </c>
      <c r="C22" s="6" t="str">
        <f t="shared" si="1"/>
        <v>February</v>
      </c>
      <c r="D22" s="6" t="str">
        <f t="shared" si="2"/>
        <v>22</v>
      </c>
      <c r="E22" t="s">
        <v>127</v>
      </c>
      <c r="F22" t="s">
        <v>21</v>
      </c>
      <c r="G22" t="s">
        <v>37</v>
      </c>
      <c r="H22" s="4" t="s">
        <v>2254</v>
      </c>
      <c r="I22" s="9">
        <v>554151</v>
      </c>
      <c r="J22" s="8" t="s">
        <v>30</v>
      </c>
      <c r="K22" t="s">
        <v>128</v>
      </c>
      <c r="L22" t="s">
        <v>129</v>
      </c>
      <c r="M22" t="s">
        <v>130</v>
      </c>
      <c r="N22">
        <f t="shared" si="3"/>
        <v>7</v>
      </c>
      <c r="O22">
        <v>3</v>
      </c>
      <c r="P22" s="6">
        <v>164.88</v>
      </c>
      <c r="Q22">
        <v>16.489999999999998</v>
      </c>
      <c r="R22">
        <v>478.15</v>
      </c>
      <c r="S22">
        <v>23.91</v>
      </c>
      <c r="T22">
        <v>30</v>
      </c>
      <c r="U22">
        <v>10</v>
      </c>
      <c r="V22">
        <v>542.05999999999995</v>
      </c>
      <c r="W22" t="s">
        <v>84</v>
      </c>
      <c r="X22">
        <v>25</v>
      </c>
    </row>
    <row r="23" spans="1:24" ht="14.25" customHeight="1">
      <c r="A23" t="s">
        <v>131</v>
      </c>
      <c r="B23" t="s">
        <v>2279</v>
      </c>
      <c r="C23" s="6" t="str">
        <f t="shared" si="1"/>
        <v>January</v>
      </c>
      <c r="D23" s="6" t="str">
        <f t="shared" si="2"/>
        <v>02</v>
      </c>
      <c r="E23" t="s">
        <v>132</v>
      </c>
      <c r="F23" t="s">
        <v>21</v>
      </c>
      <c r="G23" t="s">
        <v>22</v>
      </c>
      <c r="H23" s="4" t="s">
        <v>2254</v>
      </c>
      <c r="I23" s="9">
        <v>554151</v>
      </c>
      <c r="J23" s="8" t="s">
        <v>2346</v>
      </c>
      <c r="K23" t="s">
        <v>133</v>
      </c>
      <c r="L23" t="s">
        <v>134</v>
      </c>
      <c r="M23" t="s">
        <v>135</v>
      </c>
      <c r="N23">
        <f t="shared" si="3"/>
        <v>9</v>
      </c>
      <c r="O23">
        <v>2</v>
      </c>
      <c r="P23" s="6">
        <v>185.31</v>
      </c>
      <c r="Q23">
        <v>27.8</v>
      </c>
      <c r="R23">
        <v>342.82</v>
      </c>
      <c r="S23">
        <v>17.14</v>
      </c>
      <c r="T23">
        <v>10</v>
      </c>
      <c r="U23">
        <v>0</v>
      </c>
      <c r="V23">
        <v>369.96</v>
      </c>
      <c r="W23" t="s">
        <v>27</v>
      </c>
      <c r="X23">
        <v>32</v>
      </c>
    </row>
    <row r="24" spans="1:24" ht="14.25" customHeight="1">
      <c r="A24" t="s">
        <v>136</v>
      </c>
      <c r="B24" t="s">
        <v>2273</v>
      </c>
      <c r="C24" s="6" t="str">
        <f t="shared" si="1"/>
        <v>January</v>
      </c>
      <c r="D24" s="6" t="str">
        <f t="shared" si="2"/>
        <v>24</v>
      </c>
      <c r="E24" t="s">
        <v>137</v>
      </c>
      <c r="F24" t="s">
        <v>21</v>
      </c>
      <c r="G24" t="s">
        <v>37</v>
      </c>
      <c r="H24" s="4" t="s">
        <v>2254</v>
      </c>
      <c r="I24" s="9">
        <v>554151</v>
      </c>
      <c r="J24" s="8" t="s">
        <v>30</v>
      </c>
      <c r="K24" t="s">
        <v>138</v>
      </c>
      <c r="L24" t="s">
        <v>139</v>
      </c>
      <c r="M24" t="s">
        <v>140</v>
      </c>
      <c r="N24">
        <f t="shared" si="3"/>
        <v>3</v>
      </c>
      <c r="O24">
        <v>1</v>
      </c>
      <c r="P24" s="6">
        <v>4.92</v>
      </c>
      <c r="Q24">
        <v>0.25</v>
      </c>
      <c r="R24">
        <v>4.67</v>
      </c>
      <c r="S24">
        <v>0.23</v>
      </c>
      <c r="T24">
        <v>10</v>
      </c>
      <c r="U24">
        <v>15</v>
      </c>
      <c r="V24">
        <v>29.9</v>
      </c>
      <c r="W24" t="s">
        <v>27</v>
      </c>
      <c r="X24">
        <v>41</v>
      </c>
    </row>
    <row r="25" spans="1:24" ht="14.25" customHeight="1">
      <c r="A25" t="s">
        <v>141</v>
      </c>
      <c r="B25" t="s">
        <v>2280</v>
      </c>
      <c r="C25" s="6" t="str">
        <f t="shared" si="1"/>
        <v>February</v>
      </c>
      <c r="D25" s="6" t="str">
        <f t="shared" si="2"/>
        <v>13</v>
      </c>
      <c r="E25" t="s">
        <v>142</v>
      </c>
      <c r="F25" t="s">
        <v>21</v>
      </c>
      <c r="G25" t="s">
        <v>22</v>
      </c>
      <c r="H25" s="4" t="s">
        <v>2254</v>
      </c>
      <c r="I25" s="9">
        <v>554151</v>
      </c>
      <c r="J25" s="8" t="s">
        <v>2349</v>
      </c>
      <c r="K25" t="s">
        <v>143</v>
      </c>
      <c r="L25" t="s">
        <v>144</v>
      </c>
      <c r="M25" t="s">
        <v>89</v>
      </c>
      <c r="N25">
        <f t="shared" si="3"/>
        <v>7</v>
      </c>
      <c r="O25">
        <v>1</v>
      </c>
      <c r="P25" s="6">
        <v>143.94999999999999</v>
      </c>
      <c r="Q25">
        <v>7.2</v>
      </c>
      <c r="R25">
        <v>136.75</v>
      </c>
      <c r="S25">
        <v>6.84</v>
      </c>
      <c r="T25">
        <v>30</v>
      </c>
      <c r="U25">
        <v>5</v>
      </c>
      <c r="V25">
        <v>178.59</v>
      </c>
      <c r="W25" t="s">
        <v>27</v>
      </c>
      <c r="X25">
        <v>27</v>
      </c>
    </row>
    <row r="26" spans="1:24" ht="14.25" customHeight="1">
      <c r="A26" t="s">
        <v>145</v>
      </c>
      <c r="B26" t="s">
        <v>2281</v>
      </c>
      <c r="C26" s="6" t="str">
        <f t="shared" si="1"/>
        <v>January</v>
      </c>
      <c r="D26" s="6" t="str">
        <f t="shared" si="2"/>
        <v>30</v>
      </c>
      <c r="E26" t="s">
        <v>146</v>
      </c>
      <c r="F26" t="s">
        <v>80</v>
      </c>
      <c r="G26" t="s">
        <v>81</v>
      </c>
      <c r="H26" s="4" t="s">
        <v>2254</v>
      </c>
      <c r="I26" s="9">
        <v>554151</v>
      </c>
      <c r="J26" s="8" t="s">
        <v>30</v>
      </c>
      <c r="K26" t="s">
        <v>147</v>
      </c>
      <c r="L26" t="s">
        <v>148</v>
      </c>
      <c r="M26" t="s">
        <v>135</v>
      </c>
      <c r="N26">
        <f t="shared" si="3"/>
        <v>9</v>
      </c>
      <c r="O26">
        <v>3</v>
      </c>
      <c r="P26" s="6">
        <v>99.86</v>
      </c>
      <c r="Q26">
        <v>14.98</v>
      </c>
      <c r="R26">
        <v>284.60000000000002</v>
      </c>
      <c r="S26">
        <v>14.23</v>
      </c>
      <c r="T26">
        <v>20</v>
      </c>
      <c r="U26">
        <v>5</v>
      </c>
      <c r="V26">
        <v>323.83</v>
      </c>
      <c r="W26" t="s">
        <v>27</v>
      </c>
      <c r="X26">
        <v>38</v>
      </c>
    </row>
    <row r="27" spans="1:24" ht="14.25" customHeight="1">
      <c r="A27" t="s">
        <v>149</v>
      </c>
      <c r="B27" t="s">
        <v>2282</v>
      </c>
      <c r="C27" s="6" t="str">
        <f t="shared" si="1"/>
        <v>February</v>
      </c>
      <c r="D27" s="6" t="str">
        <f t="shared" si="2"/>
        <v>07</v>
      </c>
      <c r="E27" t="s">
        <v>150</v>
      </c>
      <c r="F27" t="s">
        <v>21</v>
      </c>
      <c r="G27" t="s">
        <v>68</v>
      </c>
      <c r="H27" s="4" t="s">
        <v>2254</v>
      </c>
      <c r="I27" s="9">
        <v>554151</v>
      </c>
      <c r="J27" s="8" t="s">
        <v>30</v>
      </c>
      <c r="K27" t="s">
        <v>151</v>
      </c>
      <c r="L27" t="s">
        <v>152</v>
      </c>
      <c r="M27" t="s">
        <v>98</v>
      </c>
      <c r="N27">
        <f t="shared" si="3"/>
        <v>4</v>
      </c>
      <c r="O27">
        <v>3</v>
      </c>
      <c r="P27" s="6">
        <v>17.39</v>
      </c>
      <c r="Q27">
        <v>0</v>
      </c>
      <c r="R27">
        <v>52.17</v>
      </c>
      <c r="S27">
        <v>2.61</v>
      </c>
      <c r="T27">
        <v>0</v>
      </c>
      <c r="U27">
        <v>10</v>
      </c>
      <c r="V27">
        <v>64.78</v>
      </c>
      <c r="W27" t="s">
        <v>27</v>
      </c>
      <c r="X27">
        <v>11</v>
      </c>
    </row>
    <row r="28" spans="1:24" ht="14.25" customHeight="1">
      <c r="A28" t="s">
        <v>153</v>
      </c>
      <c r="B28" t="s">
        <v>2279</v>
      </c>
      <c r="C28" s="6" t="str">
        <f t="shared" si="1"/>
        <v>January</v>
      </c>
      <c r="D28" s="6" t="str">
        <f t="shared" si="2"/>
        <v>02</v>
      </c>
      <c r="E28" t="s">
        <v>154</v>
      </c>
      <c r="F28" t="s">
        <v>21</v>
      </c>
      <c r="G28" t="s">
        <v>106</v>
      </c>
      <c r="H28" s="4" t="s">
        <v>2254</v>
      </c>
      <c r="I28" s="9">
        <v>554151</v>
      </c>
      <c r="J28" s="8" t="s">
        <v>30</v>
      </c>
      <c r="K28" t="s">
        <v>155</v>
      </c>
      <c r="L28" t="s">
        <v>156</v>
      </c>
      <c r="M28" t="s">
        <v>130</v>
      </c>
      <c r="N28">
        <f t="shared" si="3"/>
        <v>7</v>
      </c>
      <c r="O28">
        <v>2</v>
      </c>
      <c r="P28" s="6">
        <v>42.69</v>
      </c>
      <c r="Q28">
        <v>0</v>
      </c>
      <c r="R28">
        <v>85.38</v>
      </c>
      <c r="S28">
        <v>4.2699999999999996</v>
      </c>
      <c r="T28">
        <v>10</v>
      </c>
      <c r="U28">
        <v>15</v>
      </c>
      <c r="V28">
        <v>114.65</v>
      </c>
      <c r="W28" t="s">
        <v>27</v>
      </c>
      <c r="X28">
        <v>26</v>
      </c>
    </row>
    <row r="29" spans="1:24" ht="14.25" customHeight="1">
      <c r="A29" t="s">
        <v>157</v>
      </c>
      <c r="B29" t="s">
        <v>2283</v>
      </c>
      <c r="C29" s="6" t="str">
        <f t="shared" si="1"/>
        <v>March</v>
      </c>
      <c r="D29" s="6" t="str">
        <f t="shared" si="2"/>
        <v>01</v>
      </c>
      <c r="E29" t="s">
        <v>158</v>
      </c>
      <c r="F29" t="s">
        <v>21</v>
      </c>
      <c r="G29" t="s">
        <v>22</v>
      </c>
      <c r="H29" s="4" t="s">
        <v>2254</v>
      </c>
      <c r="I29" s="9">
        <v>554151</v>
      </c>
      <c r="J29" s="8" t="s">
        <v>30</v>
      </c>
      <c r="K29" t="s">
        <v>159</v>
      </c>
      <c r="L29" t="s">
        <v>160</v>
      </c>
      <c r="M29" t="s">
        <v>33</v>
      </c>
      <c r="N29">
        <f t="shared" si="3"/>
        <v>10</v>
      </c>
      <c r="O29">
        <v>3</v>
      </c>
      <c r="P29" s="6">
        <v>61.3</v>
      </c>
      <c r="Q29">
        <v>0</v>
      </c>
      <c r="R29">
        <v>183.9</v>
      </c>
      <c r="S29">
        <v>9.19</v>
      </c>
      <c r="T29">
        <v>30</v>
      </c>
      <c r="U29">
        <v>15</v>
      </c>
      <c r="V29">
        <v>238.09</v>
      </c>
      <c r="W29" t="s">
        <v>27</v>
      </c>
      <c r="X29">
        <v>45</v>
      </c>
    </row>
    <row r="30" spans="1:24" ht="14.25" customHeight="1">
      <c r="A30" t="s">
        <v>161</v>
      </c>
      <c r="B30" t="s">
        <v>2268</v>
      </c>
      <c r="C30" s="6" t="str">
        <f t="shared" si="1"/>
        <v>January</v>
      </c>
      <c r="D30" s="6" t="str">
        <f t="shared" si="2"/>
        <v>21</v>
      </c>
      <c r="E30" t="s">
        <v>162</v>
      </c>
      <c r="F30" t="s">
        <v>21</v>
      </c>
      <c r="G30" t="s">
        <v>68</v>
      </c>
      <c r="H30" s="4" t="s">
        <v>2254</v>
      </c>
      <c r="I30">
        <v>816756</v>
      </c>
      <c r="J30" s="8" t="s">
        <v>2348</v>
      </c>
      <c r="K30" t="s">
        <v>163</v>
      </c>
      <c r="L30" t="s">
        <v>164</v>
      </c>
      <c r="M30" t="s">
        <v>89</v>
      </c>
      <c r="N30">
        <f t="shared" si="3"/>
        <v>7</v>
      </c>
      <c r="O30">
        <v>4</v>
      </c>
      <c r="P30" s="6">
        <v>86.32</v>
      </c>
      <c r="Q30">
        <v>4.32</v>
      </c>
      <c r="R30">
        <v>340.96</v>
      </c>
      <c r="S30">
        <v>17.05</v>
      </c>
      <c r="T30">
        <v>0</v>
      </c>
      <c r="U30">
        <v>0</v>
      </c>
      <c r="V30">
        <v>358.01</v>
      </c>
      <c r="W30" t="s">
        <v>27</v>
      </c>
      <c r="X30">
        <v>28</v>
      </c>
    </row>
    <row r="31" spans="1:24" ht="14.25" customHeight="1">
      <c r="A31" t="s">
        <v>165</v>
      </c>
      <c r="B31" t="s">
        <v>2284</v>
      </c>
      <c r="C31" s="6" t="str">
        <f t="shared" si="1"/>
        <v>February</v>
      </c>
      <c r="D31" s="6" t="str">
        <f t="shared" si="2"/>
        <v>02</v>
      </c>
      <c r="E31" t="s">
        <v>166</v>
      </c>
      <c r="F31" t="s">
        <v>21</v>
      </c>
      <c r="G31" t="s">
        <v>106</v>
      </c>
      <c r="H31" s="4" t="s">
        <v>2254</v>
      </c>
      <c r="I31">
        <v>672212</v>
      </c>
      <c r="J31" s="8" t="s">
        <v>62</v>
      </c>
      <c r="K31" t="s">
        <v>167</v>
      </c>
      <c r="L31" t="s">
        <v>168</v>
      </c>
      <c r="M31" t="s">
        <v>40</v>
      </c>
      <c r="N31">
        <f t="shared" si="3"/>
        <v>6</v>
      </c>
      <c r="O31">
        <v>1</v>
      </c>
      <c r="P31" s="6">
        <v>65.42</v>
      </c>
      <c r="Q31">
        <v>6.54</v>
      </c>
      <c r="R31">
        <v>58.88</v>
      </c>
      <c r="S31">
        <v>2.94</v>
      </c>
      <c r="T31">
        <v>0</v>
      </c>
      <c r="U31">
        <v>5</v>
      </c>
      <c r="V31">
        <v>66.819999999999993</v>
      </c>
      <c r="W31" t="s">
        <v>27</v>
      </c>
      <c r="X31">
        <v>41</v>
      </c>
    </row>
    <row r="32" spans="1:24" ht="14.25" customHeight="1">
      <c r="A32" t="s">
        <v>169</v>
      </c>
      <c r="B32" t="s">
        <v>2285</v>
      </c>
      <c r="C32" s="6" t="str">
        <f t="shared" si="1"/>
        <v>January</v>
      </c>
      <c r="D32" s="6" t="str">
        <f t="shared" si="2"/>
        <v>12</v>
      </c>
      <c r="E32" t="s">
        <v>170</v>
      </c>
      <c r="F32" t="s">
        <v>101</v>
      </c>
      <c r="G32" t="s">
        <v>81</v>
      </c>
      <c r="H32" s="4" t="s">
        <v>2254</v>
      </c>
      <c r="I32">
        <v>791757</v>
      </c>
      <c r="J32" s="8" t="s">
        <v>2348</v>
      </c>
      <c r="K32" t="s">
        <v>171</v>
      </c>
      <c r="L32" t="s">
        <v>172</v>
      </c>
      <c r="M32" t="s">
        <v>26</v>
      </c>
      <c r="N32">
        <f t="shared" si="3"/>
        <v>3</v>
      </c>
      <c r="O32">
        <v>6</v>
      </c>
      <c r="P32" s="6">
        <v>9.5500000000000007</v>
      </c>
      <c r="Q32">
        <v>1.43</v>
      </c>
      <c r="R32">
        <v>55.87</v>
      </c>
      <c r="S32">
        <v>2.79</v>
      </c>
      <c r="T32">
        <v>20</v>
      </c>
      <c r="U32">
        <v>10</v>
      </c>
      <c r="V32">
        <v>88.66</v>
      </c>
      <c r="W32" t="s">
        <v>27</v>
      </c>
      <c r="X32">
        <v>12</v>
      </c>
    </row>
    <row r="33" spans="1:24" ht="14.25" customHeight="1">
      <c r="A33" t="s">
        <v>173</v>
      </c>
      <c r="B33" t="s">
        <v>2269</v>
      </c>
      <c r="C33" s="6" t="str">
        <f t="shared" si="1"/>
        <v>February</v>
      </c>
      <c r="D33" s="6" t="str">
        <f t="shared" si="2"/>
        <v>27</v>
      </c>
      <c r="E33" t="s">
        <v>174</v>
      </c>
      <c r="F33" t="s">
        <v>21</v>
      </c>
      <c r="G33" t="s">
        <v>74</v>
      </c>
      <c r="H33" s="4" t="s">
        <v>2254</v>
      </c>
      <c r="I33">
        <v>322320</v>
      </c>
      <c r="J33" s="8" t="s">
        <v>2345</v>
      </c>
      <c r="K33" t="s">
        <v>175</v>
      </c>
      <c r="L33" t="s">
        <v>176</v>
      </c>
      <c r="M33" t="s">
        <v>177</v>
      </c>
      <c r="N33">
        <f t="shared" si="3"/>
        <v>5</v>
      </c>
      <c r="O33">
        <v>2</v>
      </c>
      <c r="P33" s="6">
        <v>131.91</v>
      </c>
      <c r="Q33">
        <v>13.19</v>
      </c>
      <c r="R33">
        <v>250.63</v>
      </c>
      <c r="S33">
        <v>12.53</v>
      </c>
      <c r="T33">
        <v>0</v>
      </c>
      <c r="U33">
        <v>15</v>
      </c>
      <c r="V33">
        <v>278.16000000000003</v>
      </c>
      <c r="W33" t="s">
        <v>27</v>
      </c>
      <c r="X33">
        <v>22</v>
      </c>
    </row>
    <row r="34" spans="1:24" ht="14.25" customHeight="1">
      <c r="A34" t="s">
        <v>178</v>
      </c>
      <c r="B34" t="s">
        <v>2278</v>
      </c>
      <c r="C34" s="6" t="str">
        <f t="shared" si="1"/>
        <v>January</v>
      </c>
      <c r="D34" s="6" t="str">
        <f t="shared" si="2"/>
        <v>22</v>
      </c>
      <c r="E34" t="s">
        <v>179</v>
      </c>
      <c r="F34" t="s">
        <v>21</v>
      </c>
      <c r="G34" t="s">
        <v>106</v>
      </c>
      <c r="H34" s="4" t="s">
        <v>2254</v>
      </c>
      <c r="I34">
        <v>808662</v>
      </c>
      <c r="J34" s="8" t="s">
        <v>2346</v>
      </c>
      <c r="K34" t="s">
        <v>180</v>
      </c>
      <c r="L34" t="s">
        <v>181</v>
      </c>
      <c r="M34" t="s">
        <v>135</v>
      </c>
      <c r="N34">
        <f t="shared" si="3"/>
        <v>9</v>
      </c>
      <c r="O34">
        <v>5</v>
      </c>
      <c r="P34" s="6">
        <v>164.88</v>
      </c>
      <c r="Q34">
        <v>16.489999999999998</v>
      </c>
      <c r="R34">
        <v>807.91</v>
      </c>
      <c r="S34">
        <v>40.4</v>
      </c>
      <c r="T34">
        <v>20</v>
      </c>
      <c r="U34">
        <v>20</v>
      </c>
      <c r="V34">
        <v>888.31</v>
      </c>
      <c r="W34" t="s">
        <v>84</v>
      </c>
      <c r="X34">
        <v>25</v>
      </c>
    </row>
    <row r="35" spans="1:24" ht="14.25" customHeight="1">
      <c r="A35" t="s">
        <v>182</v>
      </c>
      <c r="B35" t="s">
        <v>2280</v>
      </c>
      <c r="C35" s="6" t="str">
        <f t="shared" si="1"/>
        <v>February</v>
      </c>
      <c r="D35" s="6" t="str">
        <f t="shared" si="2"/>
        <v>13</v>
      </c>
      <c r="E35" t="s">
        <v>183</v>
      </c>
      <c r="F35" t="s">
        <v>101</v>
      </c>
      <c r="G35" t="s">
        <v>81</v>
      </c>
      <c r="H35" s="4" t="s">
        <v>2254</v>
      </c>
      <c r="I35">
        <v>582615</v>
      </c>
      <c r="J35" s="8" t="s">
        <v>30</v>
      </c>
      <c r="K35" t="s">
        <v>184</v>
      </c>
      <c r="L35" t="s">
        <v>185</v>
      </c>
      <c r="M35" t="s">
        <v>55</v>
      </c>
      <c r="N35">
        <f t="shared" si="3"/>
        <v>5</v>
      </c>
      <c r="O35">
        <v>6</v>
      </c>
      <c r="P35" s="6">
        <v>149.6</v>
      </c>
      <c r="Q35">
        <v>0</v>
      </c>
      <c r="R35">
        <v>897.59999999999991</v>
      </c>
      <c r="S35">
        <v>44.88</v>
      </c>
      <c r="T35">
        <v>0</v>
      </c>
      <c r="U35">
        <v>5</v>
      </c>
      <c r="V35">
        <v>947.4799999999999</v>
      </c>
      <c r="W35" t="s">
        <v>27</v>
      </c>
      <c r="X35">
        <v>26</v>
      </c>
    </row>
    <row r="36" spans="1:24" ht="14.25" customHeight="1">
      <c r="A36" t="s">
        <v>186</v>
      </c>
      <c r="B36" t="s">
        <v>2286</v>
      </c>
      <c r="C36" s="6" t="str">
        <f t="shared" si="1"/>
        <v>January</v>
      </c>
      <c r="D36" s="6" t="str">
        <f t="shared" si="2"/>
        <v>25</v>
      </c>
      <c r="E36" t="s">
        <v>187</v>
      </c>
      <c r="F36" t="s">
        <v>21</v>
      </c>
      <c r="G36" t="s">
        <v>22</v>
      </c>
      <c r="H36" s="4" t="s">
        <v>2254</v>
      </c>
      <c r="I36">
        <v>221789</v>
      </c>
      <c r="J36" s="8" t="s">
        <v>62</v>
      </c>
      <c r="K36" t="s">
        <v>188</v>
      </c>
      <c r="L36" t="s">
        <v>189</v>
      </c>
      <c r="M36" t="s">
        <v>26</v>
      </c>
      <c r="N36">
        <f t="shared" si="3"/>
        <v>3</v>
      </c>
      <c r="O36">
        <v>4</v>
      </c>
      <c r="P36" s="6">
        <v>28.85</v>
      </c>
      <c r="Q36">
        <v>4.33</v>
      </c>
      <c r="R36">
        <v>111.07</v>
      </c>
      <c r="S36">
        <v>5.55</v>
      </c>
      <c r="T36">
        <v>30</v>
      </c>
      <c r="U36">
        <v>0</v>
      </c>
      <c r="V36">
        <v>146.62</v>
      </c>
      <c r="W36" t="s">
        <v>117</v>
      </c>
      <c r="X36">
        <v>25</v>
      </c>
    </row>
    <row r="37" spans="1:24" ht="14.25" customHeight="1">
      <c r="A37" t="s">
        <v>190</v>
      </c>
      <c r="B37" t="s">
        <v>2287</v>
      </c>
      <c r="C37" s="6" t="str">
        <f t="shared" si="1"/>
        <v>February</v>
      </c>
      <c r="D37" s="6" t="str">
        <f t="shared" si="2"/>
        <v>18</v>
      </c>
      <c r="E37" t="s">
        <v>191</v>
      </c>
      <c r="F37" t="s">
        <v>80</v>
      </c>
      <c r="G37" t="s">
        <v>81</v>
      </c>
      <c r="H37" s="4" t="s">
        <v>2254</v>
      </c>
      <c r="I37">
        <v>901480</v>
      </c>
      <c r="J37" s="8" t="s">
        <v>30</v>
      </c>
      <c r="K37" t="s">
        <v>192</v>
      </c>
      <c r="L37" t="s">
        <v>193</v>
      </c>
      <c r="M37" t="s">
        <v>71</v>
      </c>
      <c r="N37">
        <f t="shared" si="3"/>
        <v>6</v>
      </c>
      <c r="O37">
        <v>2</v>
      </c>
      <c r="P37" s="6">
        <v>257.91000000000003</v>
      </c>
      <c r="Q37">
        <v>25.79</v>
      </c>
      <c r="R37">
        <v>490.03</v>
      </c>
      <c r="S37">
        <v>24.5</v>
      </c>
      <c r="T37">
        <v>0</v>
      </c>
      <c r="U37">
        <v>15</v>
      </c>
      <c r="V37">
        <v>529.53</v>
      </c>
      <c r="W37" t="s">
        <v>84</v>
      </c>
      <c r="X37">
        <v>25</v>
      </c>
    </row>
    <row r="38" spans="1:24" ht="14.25" customHeight="1">
      <c r="A38" t="s">
        <v>194</v>
      </c>
      <c r="B38" t="s">
        <v>2288</v>
      </c>
      <c r="C38" s="6" t="str">
        <f t="shared" si="1"/>
        <v>January</v>
      </c>
      <c r="D38" s="6" t="str">
        <f t="shared" si="2"/>
        <v>27</v>
      </c>
      <c r="E38" t="s">
        <v>195</v>
      </c>
      <c r="F38" t="s">
        <v>21</v>
      </c>
      <c r="G38" t="s">
        <v>74</v>
      </c>
      <c r="H38" s="4" t="s">
        <v>2254</v>
      </c>
      <c r="I38">
        <v>830026</v>
      </c>
      <c r="J38" s="8" t="s">
        <v>2347</v>
      </c>
      <c r="K38" t="s">
        <v>196</v>
      </c>
      <c r="L38" t="s">
        <v>197</v>
      </c>
      <c r="M38" t="s">
        <v>55</v>
      </c>
      <c r="N38">
        <f t="shared" si="3"/>
        <v>5</v>
      </c>
      <c r="O38">
        <v>1</v>
      </c>
      <c r="P38" s="6">
        <v>13.17</v>
      </c>
      <c r="Q38">
        <v>1.98</v>
      </c>
      <c r="R38">
        <v>11.19</v>
      </c>
      <c r="S38">
        <v>0.56000000000000005</v>
      </c>
      <c r="T38">
        <v>0</v>
      </c>
      <c r="U38">
        <v>0</v>
      </c>
      <c r="V38">
        <v>11.75</v>
      </c>
      <c r="W38" t="s">
        <v>34</v>
      </c>
      <c r="X38">
        <v>25</v>
      </c>
    </row>
    <row r="39" spans="1:24" ht="14.25" customHeight="1">
      <c r="A39" t="s">
        <v>198</v>
      </c>
      <c r="B39" t="s">
        <v>2289</v>
      </c>
      <c r="C39" s="6" t="str">
        <f t="shared" si="1"/>
        <v>February</v>
      </c>
      <c r="D39" s="6" t="str">
        <f t="shared" si="2"/>
        <v>28</v>
      </c>
      <c r="E39" t="s">
        <v>199</v>
      </c>
      <c r="F39" t="s">
        <v>21</v>
      </c>
      <c r="G39" t="s">
        <v>68</v>
      </c>
      <c r="H39" s="4" t="s">
        <v>2254</v>
      </c>
      <c r="I39">
        <v>599883</v>
      </c>
      <c r="J39" s="8" t="s">
        <v>30</v>
      </c>
      <c r="K39" t="s">
        <v>200</v>
      </c>
      <c r="L39" t="s">
        <v>201</v>
      </c>
      <c r="M39" t="s">
        <v>89</v>
      </c>
      <c r="N39">
        <f t="shared" si="3"/>
        <v>7</v>
      </c>
      <c r="O39">
        <v>1</v>
      </c>
      <c r="P39" s="6">
        <v>258.17</v>
      </c>
      <c r="Q39">
        <v>38.729999999999997</v>
      </c>
      <c r="R39">
        <v>219.44</v>
      </c>
      <c r="S39">
        <v>10.97</v>
      </c>
      <c r="T39">
        <v>10</v>
      </c>
      <c r="U39">
        <v>15</v>
      </c>
      <c r="V39">
        <v>255.41</v>
      </c>
      <c r="W39" t="s">
        <v>27</v>
      </c>
      <c r="X39">
        <v>29</v>
      </c>
    </row>
    <row r="40" spans="1:24" ht="14.25" customHeight="1">
      <c r="A40" t="s">
        <v>202</v>
      </c>
      <c r="B40" t="s">
        <v>2290</v>
      </c>
      <c r="C40" s="6" t="str">
        <f t="shared" si="1"/>
        <v>February</v>
      </c>
      <c r="D40" s="6" t="str">
        <f t="shared" si="2"/>
        <v>11</v>
      </c>
      <c r="E40" t="s">
        <v>203</v>
      </c>
      <c r="F40" t="s">
        <v>21</v>
      </c>
      <c r="G40" t="s">
        <v>68</v>
      </c>
      <c r="H40" s="4" t="s">
        <v>2254</v>
      </c>
      <c r="I40">
        <v>528988</v>
      </c>
      <c r="J40" s="8" t="s">
        <v>2345</v>
      </c>
      <c r="K40" t="s">
        <v>204</v>
      </c>
      <c r="L40" t="s">
        <v>205</v>
      </c>
      <c r="M40" t="s">
        <v>177</v>
      </c>
      <c r="N40">
        <f t="shared" si="3"/>
        <v>5</v>
      </c>
      <c r="O40">
        <v>4</v>
      </c>
      <c r="P40" s="6">
        <v>101.53</v>
      </c>
      <c r="Q40">
        <v>10.15</v>
      </c>
      <c r="R40">
        <v>395.97</v>
      </c>
      <c r="S40">
        <v>19.8</v>
      </c>
      <c r="T40">
        <v>30</v>
      </c>
      <c r="U40">
        <v>15</v>
      </c>
      <c r="V40">
        <v>460.77</v>
      </c>
      <c r="W40" t="s">
        <v>27</v>
      </c>
      <c r="X40">
        <v>18</v>
      </c>
    </row>
    <row r="41" spans="1:24" ht="14.25" customHeight="1">
      <c r="A41" t="s">
        <v>206</v>
      </c>
      <c r="B41" t="s">
        <v>2291</v>
      </c>
      <c r="C41" s="6" t="str">
        <f t="shared" si="1"/>
        <v>January</v>
      </c>
      <c r="D41" s="6" t="str">
        <f t="shared" si="2"/>
        <v>28</v>
      </c>
      <c r="E41" t="s">
        <v>207</v>
      </c>
      <c r="F41" t="s">
        <v>21</v>
      </c>
      <c r="G41" t="s">
        <v>22</v>
      </c>
      <c r="H41" s="4" t="s">
        <v>2254</v>
      </c>
      <c r="I41">
        <v>714615</v>
      </c>
      <c r="J41" s="8" t="s">
        <v>2349</v>
      </c>
      <c r="K41" t="s">
        <v>208</v>
      </c>
      <c r="L41" t="s">
        <v>209</v>
      </c>
      <c r="M41" t="s">
        <v>77</v>
      </c>
      <c r="N41">
        <f t="shared" si="3"/>
        <v>5</v>
      </c>
      <c r="O41">
        <v>4</v>
      </c>
      <c r="P41" s="6">
        <v>180.61</v>
      </c>
      <c r="Q41">
        <v>27.09</v>
      </c>
      <c r="R41">
        <v>695.35</v>
      </c>
      <c r="S41">
        <v>34.770000000000003</v>
      </c>
      <c r="T41">
        <v>30</v>
      </c>
      <c r="U41">
        <v>0</v>
      </c>
      <c r="V41">
        <v>760.12</v>
      </c>
      <c r="W41" t="s">
        <v>27</v>
      </c>
      <c r="X41">
        <v>26</v>
      </c>
    </row>
    <row r="42" spans="1:24" ht="14.25" customHeight="1">
      <c r="A42" t="s">
        <v>210</v>
      </c>
      <c r="B42" t="s">
        <v>2283</v>
      </c>
      <c r="C42" s="6" t="str">
        <f t="shared" si="1"/>
        <v>March</v>
      </c>
      <c r="D42" s="6" t="str">
        <f t="shared" si="2"/>
        <v>01</v>
      </c>
      <c r="E42" t="s">
        <v>211</v>
      </c>
      <c r="F42" t="s">
        <v>80</v>
      </c>
      <c r="G42" t="s">
        <v>81</v>
      </c>
      <c r="H42" s="4" t="s">
        <v>2254</v>
      </c>
      <c r="I42">
        <v>494966</v>
      </c>
      <c r="J42" s="8" t="s">
        <v>30</v>
      </c>
      <c r="K42" t="s">
        <v>212</v>
      </c>
      <c r="L42" t="s">
        <v>213</v>
      </c>
      <c r="M42" t="s">
        <v>40</v>
      </c>
      <c r="N42">
        <f t="shared" si="3"/>
        <v>6</v>
      </c>
      <c r="O42">
        <v>1</v>
      </c>
      <c r="P42" s="6">
        <v>161.5</v>
      </c>
      <c r="Q42">
        <v>24.22</v>
      </c>
      <c r="R42">
        <v>137.28</v>
      </c>
      <c r="S42">
        <v>6.86</v>
      </c>
      <c r="T42">
        <v>0</v>
      </c>
      <c r="U42">
        <v>0</v>
      </c>
      <c r="V42">
        <v>144.13999999999999</v>
      </c>
      <c r="W42" t="s">
        <v>27</v>
      </c>
      <c r="X42">
        <v>37</v>
      </c>
    </row>
    <row r="43" spans="1:24" ht="14.25" customHeight="1">
      <c r="A43" t="s">
        <v>214</v>
      </c>
      <c r="B43" t="s">
        <v>2292</v>
      </c>
      <c r="C43" s="6" t="str">
        <f t="shared" si="1"/>
        <v>January</v>
      </c>
      <c r="D43" s="6" t="str">
        <f t="shared" si="2"/>
        <v>16</v>
      </c>
      <c r="E43" t="s">
        <v>215</v>
      </c>
      <c r="F43" t="s">
        <v>21</v>
      </c>
      <c r="G43" t="s">
        <v>68</v>
      </c>
      <c r="H43" s="4" t="s">
        <v>2254</v>
      </c>
      <c r="I43">
        <v>177454</v>
      </c>
      <c r="J43" s="8" t="s">
        <v>30</v>
      </c>
      <c r="K43" t="s">
        <v>216</v>
      </c>
      <c r="L43" t="s">
        <v>217</v>
      </c>
      <c r="M43" t="s">
        <v>89</v>
      </c>
      <c r="N43">
        <f t="shared" si="3"/>
        <v>7</v>
      </c>
      <c r="O43">
        <v>4</v>
      </c>
      <c r="P43" s="6">
        <v>202.08</v>
      </c>
      <c r="Q43">
        <v>30.31</v>
      </c>
      <c r="R43">
        <v>778.0100000000001</v>
      </c>
      <c r="S43">
        <v>38.9</v>
      </c>
      <c r="T43">
        <v>20</v>
      </c>
      <c r="U43">
        <v>0</v>
      </c>
      <c r="V43">
        <v>836.91000000000008</v>
      </c>
      <c r="W43" t="s">
        <v>27</v>
      </c>
      <c r="X43">
        <v>24</v>
      </c>
    </row>
    <row r="44" spans="1:24" ht="14.25" customHeight="1">
      <c r="A44" t="s">
        <v>218</v>
      </c>
      <c r="B44" t="s">
        <v>2265</v>
      </c>
      <c r="C44" s="6" t="str">
        <f t="shared" si="1"/>
        <v>January</v>
      </c>
      <c r="D44" s="6" t="str">
        <f t="shared" si="2"/>
        <v>15</v>
      </c>
      <c r="E44" t="s">
        <v>219</v>
      </c>
      <c r="F44" t="s">
        <v>21</v>
      </c>
      <c r="G44" t="s">
        <v>22</v>
      </c>
      <c r="H44" s="4" t="s">
        <v>2254</v>
      </c>
      <c r="I44">
        <v>616142</v>
      </c>
      <c r="J44" s="8" t="s">
        <v>2346</v>
      </c>
      <c r="K44" t="s">
        <v>220</v>
      </c>
      <c r="L44" t="s">
        <v>221</v>
      </c>
      <c r="M44" t="s">
        <v>45</v>
      </c>
      <c r="N44">
        <f t="shared" si="3"/>
        <v>6</v>
      </c>
      <c r="O44">
        <v>1</v>
      </c>
      <c r="P44" s="6">
        <v>103</v>
      </c>
      <c r="Q44">
        <v>5.15</v>
      </c>
      <c r="R44">
        <v>97.85</v>
      </c>
      <c r="S44">
        <v>4.8899999999999997</v>
      </c>
      <c r="T44">
        <v>20</v>
      </c>
      <c r="U44">
        <v>20</v>
      </c>
      <c r="V44">
        <v>142.74</v>
      </c>
      <c r="W44" t="s">
        <v>27</v>
      </c>
      <c r="X44">
        <v>26</v>
      </c>
    </row>
    <row r="45" spans="1:24" ht="14.25" customHeight="1">
      <c r="A45" t="s">
        <v>222</v>
      </c>
      <c r="B45" t="s">
        <v>2293</v>
      </c>
      <c r="C45" s="6" t="str">
        <f t="shared" si="1"/>
        <v>February</v>
      </c>
      <c r="D45" s="6" t="str">
        <f t="shared" si="2"/>
        <v>16</v>
      </c>
      <c r="E45" t="s">
        <v>223</v>
      </c>
      <c r="F45" t="s">
        <v>80</v>
      </c>
      <c r="G45" t="s">
        <v>81</v>
      </c>
      <c r="H45" s="4" t="s">
        <v>2254</v>
      </c>
      <c r="I45">
        <v>767542</v>
      </c>
      <c r="J45" s="8" t="s">
        <v>2348</v>
      </c>
      <c r="K45" t="s">
        <v>224</v>
      </c>
      <c r="L45" t="s">
        <v>225</v>
      </c>
      <c r="M45" t="s">
        <v>50</v>
      </c>
      <c r="N45">
        <f t="shared" si="3"/>
        <v>5</v>
      </c>
      <c r="O45">
        <v>3</v>
      </c>
      <c r="P45" s="6">
        <v>87.94</v>
      </c>
      <c r="Q45">
        <v>0</v>
      </c>
      <c r="R45">
        <v>263.82</v>
      </c>
      <c r="S45">
        <v>13.19</v>
      </c>
      <c r="T45">
        <v>0</v>
      </c>
      <c r="U45">
        <v>15</v>
      </c>
      <c r="V45">
        <v>292.01</v>
      </c>
      <c r="W45" t="s">
        <v>34</v>
      </c>
      <c r="X45">
        <v>25</v>
      </c>
    </row>
    <row r="46" spans="1:24" ht="14.25" customHeight="1">
      <c r="A46" t="s">
        <v>226</v>
      </c>
      <c r="B46" t="s">
        <v>2294</v>
      </c>
      <c r="C46" s="6" t="str">
        <f t="shared" si="1"/>
        <v>February</v>
      </c>
      <c r="D46" s="6" t="str">
        <f t="shared" si="2"/>
        <v>20</v>
      </c>
      <c r="E46" t="s">
        <v>227</v>
      </c>
      <c r="F46" t="s">
        <v>21</v>
      </c>
      <c r="G46" t="s">
        <v>106</v>
      </c>
      <c r="H46" s="4" t="s">
        <v>2254</v>
      </c>
      <c r="I46">
        <v>576657</v>
      </c>
      <c r="J46" s="8" t="s">
        <v>30</v>
      </c>
      <c r="K46" t="s">
        <v>228</v>
      </c>
      <c r="L46" t="s">
        <v>229</v>
      </c>
      <c r="M46" t="s">
        <v>71</v>
      </c>
      <c r="N46">
        <f t="shared" si="3"/>
        <v>6</v>
      </c>
      <c r="O46">
        <v>1</v>
      </c>
      <c r="P46" s="6">
        <v>276.36</v>
      </c>
      <c r="Q46">
        <v>0</v>
      </c>
      <c r="R46">
        <v>276.36</v>
      </c>
      <c r="S46">
        <v>13.82</v>
      </c>
      <c r="T46">
        <v>30</v>
      </c>
      <c r="U46">
        <v>15</v>
      </c>
      <c r="V46">
        <v>335.18</v>
      </c>
      <c r="W46" t="s">
        <v>27</v>
      </c>
      <c r="X46">
        <v>29</v>
      </c>
    </row>
    <row r="47" spans="1:24" ht="14.25" customHeight="1">
      <c r="A47" t="s">
        <v>230</v>
      </c>
      <c r="B47" t="s">
        <v>2280</v>
      </c>
      <c r="C47" s="6" t="str">
        <f t="shared" si="1"/>
        <v>February</v>
      </c>
      <c r="D47" s="6" t="str">
        <f t="shared" si="2"/>
        <v>13</v>
      </c>
      <c r="E47" t="s">
        <v>231</v>
      </c>
      <c r="F47" t="s">
        <v>80</v>
      </c>
      <c r="G47" t="s">
        <v>81</v>
      </c>
      <c r="H47" s="4" t="s">
        <v>2254</v>
      </c>
      <c r="I47">
        <v>938003</v>
      </c>
      <c r="J47" s="8" t="s">
        <v>2346</v>
      </c>
      <c r="K47" t="s">
        <v>232</v>
      </c>
      <c r="L47" t="s">
        <v>233</v>
      </c>
      <c r="M47" t="s">
        <v>89</v>
      </c>
      <c r="N47">
        <f t="shared" si="3"/>
        <v>7</v>
      </c>
      <c r="O47">
        <v>2</v>
      </c>
      <c r="P47" s="6">
        <v>201.41</v>
      </c>
      <c r="Q47">
        <v>0</v>
      </c>
      <c r="R47">
        <v>402.82</v>
      </c>
      <c r="S47">
        <v>20.14</v>
      </c>
      <c r="T47">
        <v>30</v>
      </c>
      <c r="U47">
        <v>5</v>
      </c>
      <c r="V47">
        <v>457.96</v>
      </c>
      <c r="W47" t="s">
        <v>27</v>
      </c>
      <c r="X47">
        <v>21</v>
      </c>
    </row>
    <row r="48" spans="1:24" ht="14.25" customHeight="1">
      <c r="A48" t="s">
        <v>234</v>
      </c>
      <c r="B48" t="s">
        <v>2295</v>
      </c>
      <c r="C48" s="6" t="str">
        <f t="shared" si="1"/>
        <v>February</v>
      </c>
      <c r="D48" s="6" t="str">
        <f t="shared" si="2"/>
        <v>24</v>
      </c>
      <c r="E48" t="s">
        <v>235</v>
      </c>
      <c r="F48" t="s">
        <v>21</v>
      </c>
      <c r="G48" t="s">
        <v>74</v>
      </c>
      <c r="H48" s="4" t="s">
        <v>2254</v>
      </c>
      <c r="I48">
        <v>938807</v>
      </c>
      <c r="J48" s="8" t="s">
        <v>2346</v>
      </c>
      <c r="K48" t="s">
        <v>236</v>
      </c>
      <c r="L48" t="s">
        <v>237</v>
      </c>
      <c r="M48" t="s">
        <v>130</v>
      </c>
      <c r="N48">
        <f t="shared" si="3"/>
        <v>7</v>
      </c>
      <c r="O48">
        <v>2</v>
      </c>
      <c r="P48" s="6">
        <v>173.19</v>
      </c>
      <c r="Q48">
        <v>25.98</v>
      </c>
      <c r="R48">
        <v>320.39999999999998</v>
      </c>
      <c r="S48">
        <v>16.02</v>
      </c>
      <c r="T48">
        <v>0</v>
      </c>
      <c r="U48">
        <v>15</v>
      </c>
      <c r="V48">
        <v>351.42</v>
      </c>
      <c r="W48" t="s">
        <v>27</v>
      </c>
      <c r="X48">
        <v>38</v>
      </c>
    </row>
    <row r="49" spans="1:24" ht="14.25" customHeight="1">
      <c r="A49" t="s">
        <v>238</v>
      </c>
      <c r="B49" t="s">
        <v>2263</v>
      </c>
      <c r="C49" s="6" t="str">
        <f t="shared" si="1"/>
        <v>February</v>
      </c>
      <c r="D49" s="6" t="str">
        <f t="shared" si="2"/>
        <v>21</v>
      </c>
      <c r="E49" t="s">
        <v>239</v>
      </c>
      <c r="F49" t="s">
        <v>21</v>
      </c>
      <c r="G49" t="s">
        <v>106</v>
      </c>
      <c r="H49" s="4" t="s">
        <v>2254</v>
      </c>
      <c r="I49">
        <v>234055</v>
      </c>
      <c r="J49" s="8" t="s">
        <v>2348</v>
      </c>
      <c r="K49" t="s">
        <v>240</v>
      </c>
      <c r="L49" t="s">
        <v>241</v>
      </c>
      <c r="M49" t="s">
        <v>140</v>
      </c>
      <c r="N49">
        <f t="shared" si="3"/>
        <v>3</v>
      </c>
      <c r="O49">
        <v>5</v>
      </c>
      <c r="P49" s="6">
        <v>93.93</v>
      </c>
      <c r="Q49">
        <v>14.09</v>
      </c>
      <c r="R49">
        <v>455.56000000000012</v>
      </c>
      <c r="S49">
        <v>22.78</v>
      </c>
      <c r="T49">
        <v>0</v>
      </c>
      <c r="U49">
        <v>15</v>
      </c>
      <c r="V49">
        <v>493.34</v>
      </c>
      <c r="W49" t="s">
        <v>117</v>
      </c>
      <c r="X49">
        <v>25</v>
      </c>
    </row>
    <row r="50" spans="1:24" ht="14.25" customHeight="1">
      <c r="A50" t="s">
        <v>242</v>
      </c>
      <c r="B50" t="s">
        <v>2296</v>
      </c>
      <c r="C50" s="6" t="str">
        <f t="shared" si="1"/>
        <v>February</v>
      </c>
      <c r="D50" s="6" t="str">
        <f t="shared" si="2"/>
        <v>26</v>
      </c>
      <c r="E50" t="s">
        <v>243</v>
      </c>
      <c r="F50" t="s">
        <v>21</v>
      </c>
      <c r="G50" t="s">
        <v>106</v>
      </c>
      <c r="H50" s="4" t="s">
        <v>2254</v>
      </c>
      <c r="I50">
        <v>550062</v>
      </c>
      <c r="J50" s="8" t="s">
        <v>30</v>
      </c>
      <c r="K50" t="s">
        <v>244</v>
      </c>
      <c r="L50" t="s">
        <v>245</v>
      </c>
      <c r="M50" t="s">
        <v>89</v>
      </c>
      <c r="N50">
        <f t="shared" si="3"/>
        <v>7</v>
      </c>
      <c r="O50">
        <v>2</v>
      </c>
      <c r="P50" s="6">
        <v>4.8</v>
      </c>
      <c r="Q50">
        <v>0</v>
      </c>
      <c r="R50">
        <v>9.6</v>
      </c>
      <c r="S50">
        <v>0.48</v>
      </c>
      <c r="T50">
        <v>0</v>
      </c>
      <c r="U50">
        <v>5</v>
      </c>
      <c r="V50">
        <v>15.08</v>
      </c>
      <c r="W50" t="s">
        <v>27</v>
      </c>
      <c r="X50">
        <v>12</v>
      </c>
    </row>
    <row r="51" spans="1:24" ht="14.25" customHeight="1">
      <c r="A51" t="s">
        <v>246</v>
      </c>
      <c r="B51" t="s">
        <v>2277</v>
      </c>
      <c r="C51" s="6" t="str">
        <f t="shared" si="1"/>
        <v>January</v>
      </c>
      <c r="D51" s="6" t="str">
        <f t="shared" si="2"/>
        <v>03</v>
      </c>
      <c r="E51" t="s">
        <v>247</v>
      </c>
      <c r="F51" t="s">
        <v>21</v>
      </c>
      <c r="G51" t="s">
        <v>74</v>
      </c>
      <c r="H51" s="4" t="s">
        <v>2254</v>
      </c>
      <c r="I51">
        <v>703561</v>
      </c>
      <c r="J51" s="8" t="s">
        <v>30</v>
      </c>
      <c r="K51" t="s">
        <v>248</v>
      </c>
      <c r="L51" t="s">
        <v>249</v>
      </c>
      <c r="M51" t="s">
        <v>65</v>
      </c>
      <c r="N51">
        <f t="shared" si="3"/>
        <v>6</v>
      </c>
      <c r="O51">
        <v>3</v>
      </c>
      <c r="P51" s="6">
        <v>203.32</v>
      </c>
      <c r="Q51">
        <v>0</v>
      </c>
      <c r="R51">
        <v>609.96</v>
      </c>
      <c r="S51">
        <v>30.5</v>
      </c>
      <c r="T51">
        <v>0</v>
      </c>
      <c r="U51">
        <v>20</v>
      </c>
      <c r="V51">
        <v>660.46</v>
      </c>
      <c r="W51" t="s">
        <v>27</v>
      </c>
      <c r="X51">
        <v>33</v>
      </c>
    </row>
    <row r="52" spans="1:24" ht="14.25" customHeight="1">
      <c r="A52" t="s">
        <v>250</v>
      </c>
      <c r="B52" t="s">
        <v>2297</v>
      </c>
      <c r="C52" s="6" t="str">
        <f t="shared" si="1"/>
        <v>February</v>
      </c>
      <c r="D52" s="6" t="str">
        <f t="shared" si="2"/>
        <v>06</v>
      </c>
      <c r="E52" t="s">
        <v>251</v>
      </c>
      <c r="F52" t="s">
        <v>21</v>
      </c>
      <c r="G52" t="s">
        <v>22</v>
      </c>
      <c r="H52" s="4" t="s">
        <v>2255</v>
      </c>
      <c r="I52">
        <v>559297</v>
      </c>
      <c r="J52" s="8" t="s">
        <v>30</v>
      </c>
      <c r="K52" t="s">
        <v>252</v>
      </c>
      <c r="L52" t="s">
        <v>253</v>
      </c>
      <c r="M52" t="s">
        <v>135</v>
      </c>
      <c r="N52">
        <f t="shared" si="3"/>
        <v>9</v>
      </c>
      <c r="O52">
        <v>3</v>
      </c>
      <c r="P52" s="6">
        <v>106.91</v>
      </c>
      <c r="Q52">
        <v>5.35</v>
      </c>
      <c r="R52">
        <v>315.38</v>
      </c>
      <c r="S52">
        <v>15.77</v>
      </c>
      <c r="T52">
        <v>30</v>
      </c>
      <c r="U52">
        <v>10</v>
      </c>
      <c r="V52">
        <v>371.15</v>
      </c>
      <c r="W52" t="s">
        <v>27</v>
      </c>
      <c r="X52">
        <v>34</v>
      </c>
    </row>
    <row r="53" spans="1:24" ht="14.25" customHeight="1">
      <c r="A53" t="s">
        <v>254</v>
      </c>
      <c r="B53" t="s">
        <v>2294</v>
      </c>
      <c r="C53" s="6" t="str">
        <f t="shared" si="1"/>
        <v>February</v>
      </c>
      <c r="D53" s="6" t="str">
        <f t="shared" si="2"/>
        <v>20</v>
      </c>
      <c r="E53" t="s">
        <v>255</v>
      </c>
      <c r="F53" t="s">
        <v>21</v>
      </c>
      <c r="G53" t="s">
        <v>37</v>
      </c>
      <c r="H53" s="4" t="s">
        <v>2255</v>
      </c>
      <c r="I53">
        <v>919471</v>
      </c>
      <c r="J53" s="8" t="s">
        <v>62</v>
      </c>
      <c r="K53" t="s">
        <v>256</v>
      </c>
      <c r="L53" t="s">
        <v>257</v>
      </c>
      <c r="M53" t="s">
        <v>22</v>
      </c>
      <c r="N53">
        <f t="shared" si="3"/>
        <v>6</v>
      </c>
      <c r="O53">
        <v>4</v>
      </c>
      <c r="P53" s="6">
        <v>122.82</v>
      </c>
      <c r="Q53">
        <v>6.14</v>
      </c>
      <c r="R53">
        <v>485.14</v>
      </c>
      <c r="S53">
        <v>24.26</v>
      </c>
      <c r="T53">
        <v>20</v>
      </c>
      <c r="U53">
        <v>10</v>
      </c>
      <c r="V53">
        <v>539.4</v>
      </c>
      <c r="W53" t="s">
        <v>27</v>
      </c>
      <c r="X53">
        <v>24</v>
      </c>
    </row>
    <row r="54" spans="1:24" ht="14.25" customHeight="1">
      <c r="A54" t="s">
        <v>258</v>
      </c>
      <c r="B54" t="s">
        <v>2298</v>
      </c>
      <c r="C54" s="6" t="str">
        <f t="shared" si="1"/>
        <v>January</v>
      </c>
      <c r="D54" s="6" t="str">
        <f t="shared" si="2"/>
        <v>07</v>
      </c>
      <c r="E54" t="s">
        <v>259</v>
      </c>
      <c r="F54" t="s">
        <v>101</v>
      </c>
      <c r="G54" t="s">
        <v>81</v>
      </c>
      <c r="H54" s="4" t="s">
        <v>2255</v>
      </c>
      <c r="I54">
        <v>350195</v>
      </c>
      <c r="J54" s="8" t="s">
        <v>30</v>
      </c>
      <c r="K54" t="s">
        <v>260</v>
      </c>
      <c r="L54" t="s">
        <v>261</v>
      </c>
      <c r="M54" t="s">
        <v>33</v>
      </c>
      <c r="N54">
        <f t="shared" si="3"/>
        <v>10</v>
      </c>
      <c r="O54">
        <v>1</v>
      </c>
      <c r="P54" s="6">
        <v>93.27</v>
      </c>
      <c r="Q54">
        <v>13.99</v>
      </c>
      <c r="R54">
        <v>79.28</v>
      </c>
      <c r="S54">
        <v>3.96</v>
      </c>
      <c r="T54">
        <v>0</v>
      </c>
      <c r="U54">
        <v>20</v>
      </c>
      <c r="V54">
        <v>103.24</v>
      </c>
      <c r="W54" t="s">
        <v>27</v>
      </c>
      <c r="X54">
        <v>39</v>
      </c>
    </row>
    <row r="55" spans="1:24" ht="14.25" customHeight="1">
      <c r="A55" t="s">
        <v>262</v>
      </c>
      <c r="B55" t="s">
        <v>2268</v>
      </c>
      <c r="C55" s="6" t="str">
        <f t="shared" si="1"/>
        <v>January</v>
      </c>
      <c r="D55" s="6" t="str">
        <f t="shared" si="2"/>
        <v>21</v>
      </c>
      <c r="E55" t="s">
        <v>263</v>
      </c>
      <c r="F55" t="s">
        <v>21</v>
      </c>
      <c r="G55" t="s">
        <v>74</v>
      </c>
      <c r="H55" s="4" t="s">
        <v>2255</v>
      </c>
      <c r="I55">
        <v>265873</v>
      </c>
      <c r="J55" s="8" t="s">
        <v>2346</v>
      </c>
      <c r="K55" t="s">
        <v>264</v>
      </c>
      <c r="L55" t="s">
        <v>265</v>
      </c>
      <c r="M55" t="s">
        <v>22</v>
      </c>
      <c r="N55">
        <f t="shared" si="3"/>
        <v>6</v>
      </c>
      <c r="O55">
        <v>1</v>
      </c>
      <c r="P55" s="6">
        <v>167.62</v>
      </c>
      <c r="Q55">
        <v>8.3800000000000008</v>
      </c>
      <c r="R55">
        <v>159.24</v>
      </c>
      <c r="S55">
        <v>7.96</v>
      </c>
      <c r="T55">
        <v>0</v>
      </c>
      <c r="U55">
        <v>0</v>
      </c>
      <c r="V55">
        <v>167.2</v>
      </c>
      <c r="W55" t="s">
        <v>27</v>
      </c>
      <c r="X55">
        <v>6</v>
      </c>
    </row>
    <row r="56" spans="1:24" ht="14.25" customHeight="1">
      <c r="A56" t="s">
        <v>266</v>
      </c>
      <c r="B56" t="s">
        <v>2299</v>
      </c>
      <c r="C56" s="6" t="str">
        <f t="shared" si="1"/>
        <v>January</v>
      </c>
      <c r="D56" s="6" t="str">
        <f t="shared" si="2"/>
        <v>09</v>
      </c>
      <c r="E56" t="s">
        <v>267</v>
      </c>
      <c r="F56" t="s">
        <v>21</v>
      </c>
      <c r="G56" t="s">
        <v>37</v>
      </c>
      <c r="H56" s="4" t="s">
        <v>2255</v>
      </c>
      <c r="I56">
        <v>813135</v>
      </c>
      <c r="J56" s="8" t="s">
        <v>2346</v>
      </c>
      <c r="K56" t="s">
        <v>268</v>
      </c>
      <c r="L56" t="s">
        <v>269</v>
      </c>
      <c r="M56" t="s">
        <v>26</v>
      </c>
      <c r="N56">
        <f t="shared" si="3"/>
        <v>3</v>
      </c>
      <c r="O56">
        <v>2</v>
      </c>
      <c r="P56" s="6">
        <v>59.75</v>
      </c>
      <c r="Q56">
        <v>2.99</v>
      </c>
      <c r="R56">
        <v>116.51</v>
      </c>
      <c r="S56">
        <v>5.83</v>
      </c>
      <c r="T56">
        <v>0</v>
      </c>
      <c r="U56">
        <v>0</v>
      </c>
      <c r="V56">
        <v>122.34</v>
      </c>
      <c r="W56" t="s">
        <v>84</v>
      </c>
      <c r="X56">
        <v>25</v>
      </c>
    </row>
    <row r="57" spans="1:24" ht="14.25" customHeight="1">
      <c r="A57" t="s">
        <v>270</v>
      </c>
      <c r="B57" t="s">
        <v>2262</v>
      </c>
      <c r="C57" s="6" t="str">
        <f t="shared" si="1"/>
        <v>February</v>
      </c>
      <c r="D57" s="6" t="str">
        <f t="shared" si="2"/>
        <v>08</v>
      </c>
      <c r="E57" t="s">
        <v>271</v>
      </c>
      <c r="F57" t="s">
        <v>80</v>
      </c>
      <c r="G57" t="s">
        <v>81</v>
      </c>
      <c r="H57" s="4" t="s">
        <v>2255</v>
      </c>
      <c r="I57">
        <v>830051</v>
      </c>
      <c r="J57" s="8" t="s">
        <v>2345</v>
      </c>
      <c r="K57" t="s">
        <v>272</v>
      </c>
      <c r="L57" t="s">
        <v>273</v>
      </c>
      <c r="M57" t="s">
        <v>89</v>
      </c>
      <c r="N57">
        <f t="shared" si="3"/>
        <v>7</v>
      </c>
      <c r="O57">
        <v>1</v>
      </c>
      <c r="P57" s="6">
        <v>3.98</v>
      </c>
      <c r="Q57">
        <v>0.4</v>
      </c>
      <c r="R57">
        <v>3.58</v>
      </c>
      <c r="S57">
        <v>0.18</v>
      </c>
      <c r="T57">
        <v>20</v>
      </c>
      <c r="U57">
        <v>5</v>
      </c>
      <c r="V57">
        <v>28.76</v>
      </c>
      <c r="W57" t="s">
        <v>27</v>
      </c>
      <c r="X57">
        <v>12</v>
      </c>
    </row>
    <row r="58" spans="1:24" ht="14.25" customHeight="1">
      <c r="A58" t="s">
        <v>274</v>
      </c>
      <c r="B58" t="s">
        <v>2300</v>
      </c>
      <c r="C58" s="6" t="str">
        <f t="shared" si="1"/>
        <v>January</v>
      </c>
      <c r="D58" s="6" t="str">
        <f t="shared" si="2"/>
        <v>18</v>
      </c>
      <c r="E58" t="s">
        <v>275</v>
      </c>
      <c r="F58" t="s">
        <v>21</v>
      </c>
      <c r="G58" t="s">
        <v>74</v>
      </c>
      <c r="H58" s="4" t="s">
        <v>2255</v>
      </c>
      <c r="I58">
        <v>835457</v>
      </c>
      <c r="J58" s="8" t="s">
        <v>2347</v>
      </c>
      <c r="K58" t="s">
        <v>276</v>
      </c>
      <c r="L58" t="s">
        <v>277</v>
      </c>
      <c r="M58" t="s">
        <v>55</v>
      </c>
      <c r="N58">
        <f t="shared" si="3"/>
        <v>5</v>
      </c>
      <c r="O58">
        <v>4</v>
      </c>
      <c r="P58" s="6">
        <v>107.16</v>
      </c>
      <c r="Q58">
        <v>16.07</v>
      </c>
      <c r="R58">
        <v>412.57</v>
      </c>
      <c r="S58">
        <v>20.63</v>
      </c>
      <c r="T58">
        <v>0</v>
      </c>
      <c r="U58">
        <v>15</v>
      </c>
      <c r="V58">
        <v>448.2</v>
      </c>
      <c r="W58" t="s">
        <v>27</v>
      </c>
      <c r="X58">
        <v>33</v>
      </c>
    </row>
    <row r="59" spans="1:24" ht="14.25" customHeight="1">
      <c r="A59" t="s">
        <v>278</v>
      </c>
      <c r="B59" t="s">
        <v>2301</v>
      </c>
      <c r="C59" s="6" t="str">
        <f t="shared" si="1"/>
        <v>January</v>
      </c>
      <c r="D59" s="6" t="str">
        <f t="shared" si="2"/>
        <v>04</v>
      </c>
      <c r="E59" t="s">
        <v>279</v>
      </c>
      <c r="F59" t="s">
        <v>21</v>
      </c>
      <c r="G59" t="s">
        <v>37</v>
      </c>
      <c r="H59" s="4" t="s">
        <v>2255</v>
      </c>
      <c r="I59">
        <v>963561</v>
      </c>
      <c r="J59" s="8" t="s">
        <v>2347</v>
      </c>
      <c r="K59" t="s">
        <v>280</v>
      </c>
      <c r="L59" t="s">
        <v>281</v>
      </c>
      <c r="M59" t="s">
        <v>89</v>
      </c>
      <c r="N59">
        <f t="shared" si="3"/>
        <v>7</v>
      </c>
      <c r="O59">
        <v>3</v>
      </c>
      <c r="P59" s="6">
        <v>190.03</v>
      </c>
      <c r="Q59">
        <v>0</v>
      </c>
      <c r="R59">
        <v>570.09</v>
      </c>
      <c r="S59">
        <v>28.5</v>
      </c>
      <c r="T59">
        <v>10</v>
      </c>
      <c r="U59">
        <v>20</v>
      </c>
      <c r="V59">
        <v>628.59</v>
      </c>
      <c r="W59" t="s">
        <v>27</v>
      </c>
      <c r="X59">
        <v>41</v>
      </c>
    </row>
    <row r="60" spans="1:24" ht="14.25" customHeight="1">
      <c r="A60" t="s">
        <v>282</v>
      </c>
      <c r="B60" t="s">
        <v>2286</v>
      </c>
      <c r="C60" s="6" t="str">
        <f t="shared" si="1"/>
        <v>January</v>
      </c>
      <c r="D60" s="6" t="str">
        <f t="shared" si="2"/>
        <v>25</v>
      </c>
      <c r="E60" t="s">
        <v>283</v>
      </c>
      <c r="F60" t="s">
        <v>21</v>
      </c>
      <c r="G60" t="s">
        <v>106</v>
      </c>
      <c r="H60" s="4" t="s">
        <v>2255</v>
      </c>
      <c r="I60">
        <v>249369</v>
      </c>
      <c r="J60" s="8" t="s">
        <v>2345</v>
      </c>
      <c r="K60" t="s">
        <v>284</v>
      </c>
      <c r="L60" t="s">
        <v>285</v>
      </c>
      <c r="M60" t="s">
        <v>45</v>
      </c>
      <c r="N60">
        <f t="shared" si="3"/>
        <v>6</v>
      </c>
      <c r="O60">
        <v>2</v>
      </c>
      <c r="P60" s="6">
        <v>89.93</v>
      </c>
      <c r="Q60">
        <v>4.5</v>
      </c>
      <c r="R60">
        <v>175.36</v>
      </c>
      <c r="S60">
        <v>8.77</v>
      </c>
      <c r="T60">
        <v>10</v>
      </c>
      <c r="U60">
        <v>20</v>
      </c>
      <c r="V60">
        <v>214.13</v>
      </c>
      <c r="W60" t="s">
        <v>27</v>
      </c>
      <c r="X60">
        <v>30</v>
      </c>
    </row>
    <row r="61" spans="1:24" ht="14.25" customHeight="1">
      <c r="A61" t="s">
        <v>286</v>
      </c>
      <c r="B61" t="s">
        <v>2283</v>
      </c>
      <c r="C61" s="6" t="str">
        <f t="shared" si="1"/>
        <v>March</v>
      </c>
      <c r="D61" s="6" t="str">
        <f t="shared" si="2"/>
        <v>01</v>
      </c>
      <c r="E61" t="s">
        <v>287</v>
      </c>
      <c r="F61" t="s">
        <v>21</v>
      </c>
      <c r="G61" t="s">
        <v>68</v>
      </c>
      <c r="H61" s="4" t="s">
        <v>2255</v>
      </c>
      <c r="I61">
        <v>474999</v>
      </c>
      <c r="J61" s="8" t="s">
        <v>2347</v>
      </c>
      <c r="K61" t="s">
        <v>288</v>
      </c>
      <c r="L61" t="s">
        <v>289</v>
      </c>
      <c r="M61" t="s">
        <v>71</v>
      </c>
      <c r="N61">
        <f t="shared" si="3"/>
        <v>6</v>
      </c>
      <c r="O61">
        <v>5</v>
      </c>
      <c r="P61" s="6">
        <v>125.79</v>
      </c>
      <c r="Q61">
        <v>0</v>
      </c>
      <c r="R61">
        <v>628.95000000000005</v>
      </c>
      <c r="S61">
        <v>31.45</v>
      </c>
      <c r="T61">
        <v>30</v>
      </c>
      <c r="U61">
        <v>10</v>
      </c>
      <c r="V61">
        <v>700.40000000000009</v>
      </c>
      <c r="W61" t="s">
        <v>27</v>
      </c>
      <c r="X61">
        <v>10</v>
      </c>
    </row>
    <row r="62" spans="1:24" ht="14.25" customHeight="1">
      <c r="A62" t="s">
        <v>290</v>
      </c>
      <c r="B62" t="s">
        <v>2302</v>
      </c>
      <c r="C62" s="6" t="str">
        <f t="shared" si="1"/>
        <v>January</v>
      </c>
      <c r="D62" s="6" t="str">
        <f t="shared" si="2"/>
        <v>14</v>
      </c>
      <c r="E62" t="s">
        <v>291</v>
      </c>
      <c r="F62" t="s">
        <v>21</v>
      </c>
      <c r="G62" t="s">
        <v>37</v>
      </c>
      <c r="H62" s="4" t="s">
        <v>2255</v>
      </c>
      <c r="I62">
        <v>893719</v>
      </c>
      <c r="J62" s="8" t="s">
        <v>2345</v>
      </c>
      <c r="K62" t="s">
        <v>292</v>
      </c>
      <c r="L62" t="s">
        <v>293</v>
      </c>
      <c r="M62" t="s">
        <v>45</v>
      </c>
      <c r="N62">
        <f t="shared" si="3"/>
        <v>6</v>
      </c>
      <c r="O62">
        <v>1</v>
      </c>
      <c r="P62" s="6">
        <v>130.63999999999999</v>
      </c>
      <c r="Q62">
        <v>0</v>
      </c>
      <c r="R62">
        <v>130.63999999999999</v>
      </c>
      <c r="S62">
        <v>6.53</v>
      </c>
      <c r="T62">
        <v>10</v>
      </c>
      <c r="U62">
        <v>5</v>
      </c>
      <c r="V62">
        <v>152.16999999999999</v>
      </c>
      <c r="W62" t="s">
        <v>27</v>
      </c>
      <c r="X62">
        <v>32</v>
      </c>
    </row>
    <row r="63" spans="1:24" ht="14.25" customHeight="1">
      <c r="A63" t="s">
        <v>294</v>
      </c>
      <c r="B63" t="s">
        <v>2303</v>
      </c>
      <c r="C63" s="6" t="str">
        <f t="shared" si="1"/>
        <v>February</v>
      </c>
      <c r="D63" s="6" t="str">
        <f t="shared" si="2"/>
        <v>19</v>
      </c>
      <c r="E63" t="s">
        <v>295</v>
      </c>
      <c r="F63" t="s">
        <v>21</v>
      </c>
      <c r="G63" t="s">
        <v>68</v>
      </c>
      <c r="H63" s="4" t="s">
        <v>2255</v>
      </c>
      <c r="I63">
        <v>426916</v>
      </c>
      <c r="J63" s="8" t="s">
        <v>2346</v>
      </c>
      <c r="K63" t="s">
        <v>296</v>
      </c>
      <c r="L63" t="s">
        <v>297</v>
      </c>
      <c r="M63" t="s">
        <v>177</v>
      </c>
      <c r="N63">
        <f t="shared" si="3"/>
        <v>5</v>
      </c>
      <c r="O63">
        <v>5</v>
      </c>
      <c r="P63" s="6">
        <v>114.77</v>
      </c>
      <c r="Q63">
        <v>17.22</v>
      </c>
      <c r="R63">
        <v>556.63</v>
      </c>
      <c r="S63">
        <v>27.83</v>
      </c>
      <c r="T63">
        <v>0</v>
      </c>
      <c r="U63">
        <v>15</v>
      </c>
      <c r="V63">
        <v>599.46</v>
      </c>
      <c r="W63" t="s">
        <v>27</v>
      </c>
      <c r="X63">
        <v>34</v>
      </c>
    </row>
    <row r="64" spans="1:24" ht="14.25" customHeight="1">
      <c r="A64" t="s">
        <v>298</v>
      </c>
      <c r="B64" t="s">
        <v>2269</v>
      </c>
      <c r="C64" s="6" t="str">
        <f t="shared" si="1"/>
        <v>February</v>
      </c>
      <c r="D64" s="6" t="str">
        <f t="shared" si="2"/>
        <v>27</v>
      </c>
      <c r="E64" t="s">
        <v>299</v>
      </c>
      <c r="F64" t="s">
        <v>21</v>
      </c>
      <c r="G64" t="s">
        <v>74</v>
      </c>
      <c r="H64" s="4" t="s">
        <v>2255</v>
      </c>
      <c r="I64">
        <v>658030</v>
      </c>
      <c r="J64" s="8" t="s">
        <v>2347</v>
      </c>
      <c r="K64" t="s">
        <v>300</v>
      </c>
      <c r="L64" t="s">
        <v>301</v>
      </c>
      <c r="M64" t="s">
        <v>26</v>
      </c>
      <c r="N64">
        <f t="shared" si="3"/>
        <v>3</v>
      </c>
      <c r="O64">
        <v>1</v>
      </c>
      <c r="P64" s="6">
        <v>67.3</v>
      </c>
      <c r="Q64">
        <v>3.37</v>
      </c>
      <c r="R64">
        <v>63.93</v>
      </c>
      <c r="S64">
        <v>3.2</v>
      </c>
      <c r="T64">
        <v>10</v>
      </c>
      <c r="U64">
        <v>20</v>
      </c>
      <c r="V64">
        <v>97.13</v>
      </c>
      <c r="W64" t="s">
        <v>27</v>
      </c>
      <c r="X64">
        <v>30</v>
      </c>
    </row>
    <row r="65" spans="1:24" ht="14.25" customHeight="1">
      <c r="A65" t="s">
        <v>302</v>
      </c>
      <c r="B65" t="s">
        <v>2299</v>
      </c>
      <c r="C65" s="6" t="str">
        <f t="shared" si="1"/>
        <v>January</v>
      </c>
      <c r="D65" s="6" t="str">
        <f t="shared" si="2"/>
        <v>09</v>
      </c>
      <c r="E65" t="s">
        <v>303</v>
      </c>
      <c r="F65" t="s">
        <v>21</v>
      </c>
      <c r="G65" t="s">
        <v>106</v>
      </c>
      <c r="H65" s="4" t="s">
        <v>2255</v>
      </c>
      <c r="I65">
        <v>972388</v>
      </c>
      <c r="J65" s="8" t="s">
        <v>30</v>
      </c>
      <c r="K65" t="s">
        <v>304</v>
      </c>
      <c r="L65" t="s">
        <v>305</v>
      </c>
      <c r="M65" t="s">
        <v>140</v>
      </c>
      <c r="N65">
        <f t="shared" si="3"/>
        <v>3</v>
      </c>
      <c r="O65">
        <v>5</v>
      </c>
      <c r="P65" s="6">
        <v>65.64</v>
      </c>
      <c r="Q65">
        <v>0</v>
      </c>
      <c r="R65">
        <v>328.2</v>
      </c>
      <c r="S65">
        <v>16.41</v>
      </c>
      <c r="T65">
        <v>0</v>
      </c>
      <c r="U65">
        <v>0</v>
      </c>
      <c r="V65">
        <v>344.61</v>
      </c>
      <c r="W65" t="s">
        <v>27</v>
      </c>
      <c r="X65">
        <v>34</v>
      </c>
    </row>
    <row r="66" spans="1:24" ht="14.25" customHeight="1">
      <c r="A66" t="s">
        <v>306</v>
      </c>
      <c r="B66" t="s">
        <v>2304</v>
      </c>
      <c r="C66" s="6" t="str">
        <f t="shared" si="1"/>
        <v>January</v>
      </c>
      <c r="D66" s="6" t="str">
        <f t="shared" si="2"/>
        <v>26</v>
      </c>
      <c r="E66" t="s">
        <v>307</v>
      </c>
      <c r="F66" t="s">
        <v>21</v>
      </c>
      <c r="G66" t="s">
        <v>106</v>
      </c>
      <c r="H66" s="4" t="s">
        <v>2255</v>
      </c>
      <c r="I66">
        <v>228322</v>
      </c>
      <c r="J66" s="8" t="s">
        <v>2346</v>
      </c>
      <c r="K66" t="s">
        <v>308</v>
      </c>
      <c r="L66" t="s">
        <v>309</v>
      </c>
      <c r="M66" t="s">
        <v>177</v>
      </c>
      <c r="N66">
        <f t="shared" si="3"/>
        <v>5</v>
      </c>
      <c r="O66">
        <v>3</v>
      </c>
      <c r="P66" s="6">
        <v>82.14</v>
      </c>
      <c r="Q66">
        <v>12.32</v>
      </c>
      <c r="R66">
        <v>234.1</v>
      </c>
      <c r="S66">
        <v>11.71</v>
      </c>
      <c r="T66">
        <v>0</v>
      </c>
      <c r="U66">
        <v>0</v>
      </c>
      <c r="V66">
        <v>245.81</v>
      </c>
      <c r="W66" t="s">
        <v>27</v>
      </c>
      <c r="X66">
        <v>31</v>
      </c>
    </row>
    <row r="67" spans="1:24" ht="14.25" customHeight="1">
      <c r="A67" t="s">
        <v>310</v>
      </c>
      <c r="B67" t="s">
        <v>2274</v>
      </c>
      <c r="C67" s="6" t="str">
        <f t="shared" ref="C67:C130" si="4">TEXT(B67,"mmmm")</f>
        <v>February</v>
      </c>
      <c r="D67" s="6" t="str">
        <f t="shared" ref="D67:D130" si="5">TEXT(B67,"dd")</f>
        <v>22</v>
      </c>
      <c r="E67" t="s">
        <v>311</v>
      </c>
      <c r="F67" t="s">
        <v>21</v>
      </c>
      <c r="G67" t="s">
        <v>68</v>
      </c>
      <c r="H67" s="4" t="s">
        <v>2255</v>
      </c>
      <c r="I67">
        <v>186231</v>
      </c>
      <c r="J67" s="8" t="s">
        <v>2347</v>
      </c>
      <c r="K67" t="s">
        <v>312</v>
      </c>
      <c r="L67" t="s">
        <v>313</v>
      </c>
      <c r="M67" t="s">
        <v>89</v>
      </c>
      <c r="N67">
        <f t="shared" si="3"/>
        <v>7</v>
      </c>
      <c r="O67">
        <v>1</v>
      </c>
      <c r="P67" s="6">
        <v>122.6</v>
      </c>
      <c r="Q67">
        <v>0</v>
      </c>
      <c r="R67">
        <v>122.6</v>
      </c>
      <c r="S67">
        <v>6.13</v>
      </c>
      <c r="T67">
        <v>10</v>
      </c>
      <c r="U67">
        <v>10</v>
      </c>
      <c r="V67">
        <v>148.72999999999999</v>
      </c>
      <c r="W67" t="s">
        <v>27</v>
      </c>
      <c r="X67">
        <v>35</v>
      </c>
    </row>
    <row r="68" spans="1:24" ht="14.25" customHeight="1">
      <c r="A68" t="s">
        <v>314</v>
      </c>
      <c r="B68" t="s">
        <v>2279</v>
      </c>
      <c r="C68" s="6" t="str">
        <f t="shared" si="4"/>
        <v>January</v>
      </c>
      <c r="D68" s="6" t="str">
        <f t="shared" si="5"/>
        <v>02</v>
      </c>
      <c r="E68" t="s">
        <v>315</v>
      </c>
      <c r="F68" t="s">
        <v>21</v>
      </c>
      <c r="G68" t="s">
        <v>37</v>
      </c>
      <c r="H68" s="4" t="s">
        <v>2255</v>
      </c>
      <c r="I68">
        <v>590042</v>
      </c>
      <c r="J68" s="8" t="s">
        <v>62</v>
      </c>
      <c r="K68" t="s">
        <v>316</v>
      </c>
      <c r="L68" t="s">
        <v>317</v>
      </c>
      <c r="M68" t="s">
        <v>177</v>
      </c>
      <c r="N68">
        <f t="shared" si="3"/>
        <v>5</v>
      </c>
      <c r="O68">
        <v>5</v>
      </c>
      <c r="P68" s="6">
        <v>52.09</v>
      </c>
      <c r="Q68">
        <v>0</v>
      </c>
      <c r="R68">
        <v>260.45</v>
      </c>
      <c r="S68">
        <v>13.02</v>
      </c>
      <c r="T68">
        <v>10</v>
      </c>
      <c r="U68">
        <v>0</v>
      </c>
      <c r="V68">
        <v>283.47000000000003</v>
      </c>
      <c r="W68" t="s">
        <v>27</v>
      </c>
      <c r="X68">
        <v>29</v>
      </c>
    </row>
    <row r="69" spans="1:24" ht="14.25" customHeight="1">
      <c r="A69" t="s">
        <v>318</v>
      </c>
      <c r="B69" t="s">
        <v>2305</v>
      </c>
      <c r="C69" s="6" t="str">
        <f t="shared" si="4"/>
        <v>January</v>
      </c>
      <c r="D69" s="6" t="str">
        <f t="shared" si="5"/>
        <v>20</v>
      </c>
      <c r="E69" t="s">
        <v>319</v>
      </c>
      <c r="F69" t="s">
        <v>21</v>
      </c>
      <c r="G69" t="s">
        <v>74</v>
      </c>
      <c r="H69" s="4" t="s">
        <v>2255</v>
      </c>
      <c r="I69">
        <v>153947</v>
      </c>
      <c r="J69" s="8" t="s">
        <v>30</v>
      </c>
      <c r="K69" t="s">
        <v>320</v>
      </c>
      <c r="L69" t="s">
        <v>321</v>
      </c>
      <c r="M69" t="s">
        <v>33</v>
      </c>
      <c r="N69">
        <f t="shared" si="3"/>
        <v>10</v>
      </c>
      <c r="O69">
        <v>4</v>
      </c>
      <c r="P69" s="6">
        <v>155.44</v>
      </c>
      <c r="Q69">
        <v>0</v>
      </c>
      <c r="R69">
        <v>621.76</v>
      </c>
      <c r="S69">
        <v>31.09</v>
      </c>
      <c r="T69">
        <v>10</v>
      </c>
      <c r="U69">
        <v>15</v>
      </c>
      <c r="V69">
        <v>677.85</v>
      </c>
      <c r="W69" t="s">
        <v>27</v>
      </c>
      <c r="X69">
        <v>36</v>
      </c>
    </row>
    <row r="70" spans="1:24" ht="14.25" customHeight="1">
      <c r="A70" t="s">
        <v>322</v>
      </c>
      <c r="B70" t="s">
        <v>2291</v>
      </c>
      <c r="C70" s="6" t="str">
        <f t="shared" si="4"/>
        <v>January</v>
      </c>
      <c r="D70" s="6" t="str">
        <f t="shared" si="5"/>
        <v>28</v>
      </c>
      <c r="E70" t="s">
        <v>323</v>
      </c>
      <c r="F70" t="s">
        <v>21</v>
      </c>
      <c r="G70" t="s">
        <v>68</v>
      </c>
      <c r="H70" s="4" t="s">
        <v>2255</v>
      </c>
      <c r="I70">
        <v>716412</v>
      </c>
      <c r="J70" s="8" t="s">
        <v>2349</v>
      </c>
      <c r="K70" t="s">
        <v>324</v>
      </c>
      <c r="L70" t="s">
        <v>325</v>
      </c>
      <c r="M70" t="s">
        <v>22</v>
      </c>
      <c r="N70">
        <f t="shared" si="3"/>
        <v>6</v>
      </c>
      <c r="O70">
        <v>3</v>
      </c>
      <c r="P70" s="6">
        <v>162.9</v>
      </c>
      <c r="Q70">
        <v>16.29</v>
      </c>
      <c r="R70">
        <v>472.41</v>
      </c>
      <c r="S70">
        <v>23.62</v>
      </c>
      <c r="T70">
        <v>20</v>
      </c>
      <c r="U70">
        <v>5</v>
      </c>
      <c r="V70">
        <v>521.03</v>
      </c>
      <c r="W70" t="s">
        <v>27</v>
      </c>
      <c r="X70">
        <v>28</v>
      </c>
    </row>
    <row r="71" spans="1:24" ht="14.25" customHeight="1">
      <c r="A71" t="s">
        <v>326</v>
      </c>
      <c r="B71" t="s">
        <v>2293</v>
      </c>
      <c r="C71" s="6" t="str">
        <f t="shared" si="4"/>
        <v>February</v>
      </c>
      <c r="D71" s="6" t="str">
        <f t="shared" si="5"/>
        <v>16</v>
      </c>
      <c r="E71" t="s">
        <v>327</v>
      </c>
      <c r="F71" t="s">
        <v>21</v>
      </c>
      <c r="G71" t="s">
        <v>37</v>
      </c>
      <c r="H71" s="4" t="s">
        <v>2255</v>
      </c>
      <c r="I71">
        <v>175418</v>
      </c>
      <c r="J71" s="8" t="s">
        <v>2345</v>
      </c>
      <c r="K71" t="s">
        <v>328</v>
      </c>
      <c r="L71" t="s">
        <v>329</v>
      </c>
      <c r="M71" t="s">
        <v>98</v>
      </c>
      <c r="N71">
        <f t="shared" si="3"/>
        <v>4</v>
      </c>
      <c r="O71">
        <v>1</v>
      </c>
      <c r="P71" s="6">
        <v>109.97</v>
      </c>
      <c r="Q71">
        <v>5.5</v>
      </c>
      <c r="R71">
        <v>104.47</v>
      </c>
      <c r="S71">
        <v>5.22</v>
      </c>
      <c r="T71">
        <v>30</v>
      </c>
      <c r="U71">
        <v>5</v>
      </c>
      <c r="V71">
        <v>144.69</v>
      </c>
      <c r="W71" t="s">
        <v>27</v>
      </c>
      <c r="X71">
        <v>26</v>
      </c>
    </row>
    <row r="72" spans="1:24" ht="14.25" customHeight="1">
      <c r="A72" t="s">
        <v>330</v>
      </c>
      <c r="B72" t="s">
        <v>2283</v>
      </c>
      <c r="C72" s="6" t="str">
        <f t="shared" si="4"/>
        <v>March</v>
      </c>
      <c r="D72" s="6" t="str">
        <f t="shared" si="5"/>
        <v>01</v>
      </c>
      <c r="E72" t="s">
        <v>331</v>
      </c>
      <c r="F72" t="s">
        <v>21</v>
      </c>
      <c r="G72" t="s">
        <v>68</v>
      </c>
      <c r="H72" s="4" t="s">
        <v>2255</v>
      </c>
      <c r="I72">
        <v>700530</v>
      </c>
      <c r="J72" s="8" t="s">
        <v>30</v>
      </c>
      <c r="K72" t="s">
        <v>332</v>
      </c>
      <c r="L72" t="s">
        <v>333</v>
      </c>
      <c r="M72" t="s">
        <v>55</v>
      </c>
      <c r="N72">
        <f t="shared" si="3"/>
        <v>5</v>
      </c>
      <c r="O72">
        <v>3</v>
      </c>
      <c r="P72" s="6">
        <v>110.85</v>
      </c>
      <c r="Q72">
        <v>0</v>
      </c>
      <c r="R72">
        <v>332.55</v>
      </c>
      <c r="S72">
        <v>16.63</v>
      </c>
      <c r="T72">
        <v>30</v>
      </c>
      <c r="U72">
        <v>5</v>
      </c>
      <c r="V72">
        <v>384.17999999999989</v>
      </c>
      <c r="W72" t="s">
        <v>27</v>
      </c>
      <c r="X72">
        <v>29</v>
      </c>
    </row>
    <row r="73" spans="1:24" ht="14.25" customHeight="1">
      <c r="A73" t="s">
        <v>334</v>
      </c>
      <c r="B73" t="s">
        <v>2298</v>
      </c>
      <c r="C73" s="6" t="str">
        <f t="shared" si="4"/>
        <v>January</v>
      </c>
      <c r="D73" s="6" t="str">
        <f t="shared" si="5"/>
        <v>07</v>
      </c>
      <c r="E73" t="s">
        <v>335</v>
      </c>
      <c r="F73" t="s">
        <v>21</v>
      </c>
      <c r="G73" t="s">
        <v>106</v>
      </c>
      <c r="H73" s="4" t="s">
        <v>2255</v>
      </c>
      <c r="I73">
        <v>244353</v>
      </c>
      <c r="J73" s="8" t="s">
        <v>2349</v>
      </c>
      <c r="K73" t="s">
        <v>336</v>
      </c>
      <c r="L73" t="s">
        <v>337</v>
      </c>
      <c r="M73" t="s">
        <v>89</v>
      </c>
      <c r="N73">
        <f t="shared" si="3"/>
        <v>7</v>
      </c>
      <c r="O73">
        <v>3</v>
      </c>
      <c r="P73" s="6">
        <v>73.069999999999993</v>
      </c>
      <c r="Q73">
        <v>3.65</v>
      </c>
      <c r="R73">
        <v>215.56</v>
      </c>
      <c r="S73">
        <v>10.78</v>
      </c>
      <c r="T73">
        <v>20</v>
      </c>
      <c r="U73">
        <v>10</v>
      </c>
      <c r="V73">
        <v>256.33999999999997</v>
      </c>
      <c r="W73" t="s">
        <v>27</v>
      </c>
      <c r="X73">
        <v>18</v>
      </c>
    </row>
    <row r="74" spans="1:24" ht="14.25" customHeight="1">
      <c r="A74" t="s">
        <v>338</v>
      </c>
      <c r="B74" t="s">
        <v>2280</v>
      </c>
      <c r="C74" s="6" t="str">
        <f t="shared" si="4"/>
        <v>February</v>
      </c>
      <c r="D74" s="6" t="str">
        <f t="shared" si="5"/>
        <v>13</v>
      </c>
      <c r="E74" t="s">
        <v>339</v>
      </c>
      <c r="F74" t="s">
        <v>80</v>
      </c>
      <c r="G74" t="s">
        <v>81</v>
      </c>
      <c r="H74" s="4" t="s">
        <v>2255</v>
      </c>
      <c r="I74">
        <v>827955</v>
      </c>
      <c r="J74" s="8" t="s">
        <v>2349</v>
      </c>
      <c r="K74" t="s">
        <v>340</v>
      </c>
      <c r="L74" t="s">
        <v>341</v>
      </c>
      <c r="M74" t="s">
        <v>65</v>
      </c>
      <c r="N74">
        <f t="shared" si="3"/>
        <v>6</v>
      </c>
      <c r="O74">
        <v>3</v>
      </c>
      <c r="P74" s="6">
        <v>125.4</v>
      </c>
      <c r="Q74">
        <v>6.27</v>
      </c>
      <c r="R74">
        <v>369.93000000000012</v>
      </c>
      <c r="S74">
        <v>18.5</v>
      </c>
      <c r="T74">
        <v>0</v>
      </c>
      <c r="U74">
        <v>10</v>
      </c>
      <c r="V74">
        <v>398.43000000000012</v>
      </c>
      <c r="W74" t="s">
        <v>27</v>
      </c>
      <c r="X74">
        <v>22</v>
      </c>
    </row>
    <row r="75" spans="1:24" ht="14.25" customHeight="1">
      <c r="A75" t="s">
        <v>342</v>
      </c>
      <c r="B75" t="s">
        <v>2267</v>
      </c>
      <c r="C75" s="6" t="str">
        <f t="shared" si="4"/>
        <v>January</v>
      </c>
      <c r="D75" s="6" t="str">
        <f t="shared" si="5"/>
        <v>08</v>
      </c>
      <c r="E75" t="s">
        <v>343</v>
      </c>
      <c r="F75" t="s">
        <v>21</v>
      </c>
      <c r="G75" t="s">
        <v>37</v>
      </c>
      <c r="H75" s="4" t="s">
        <v>2255</v>
      </c>
      <c r="I75">
        <v>606047</v>
      </c>
      <c r="J75" s="8" t="s">
        <v>2346</v>
      </c>
      <c r="K75" t="s">
        <v>344</v>
      </c>
      <c r="L75" t="s">
        <v>345</v>
      </c>
      <c r="M75" t="s">
        <v>65</v>
      </c>
      <c r="N75">
        <f t="shared" si="3"/>
        <v>6</v>
      </c>
      <c r="O75">
        <v>3</v>
      </c>
      <c r="P75" s="6">
        <v>134.96</v>
      </c>
      <c r="Q75">
        <v>20.239999999999998</v>
      </c>
      <c r="R75">
        <v>384.64</v>
      </c>
      <c r="S75">
        <v>19.23</v>
      </c>
      <c r="T75">
        <v>30</v>
      </c>
      <c r="U75">
        <v>10</v>
      </c>
      <c r="V75">
        <v>443.87</v>
      </c>
      <c r="W75" t="s">
        <v>27</v>
      </c>
      <c r="X75">
        <v>40</v>
      </c>
    </row>
    <row r="76" spans="1:24" ht="14.25" customHeight="1">
      <c r="A76" t="s">
        <v>346</v>
      </c>
      <c r="B76" t="s">
        <v>2293</v>
      </c>
      <c r="C76" s="6" t="str">
        <f t="shared" si="4"/>
        <v>February</v>
      </c>
      <c r="D76" s="6" t="str">
        <f t="shared" si="5"/>
        <v>16</v>
      </c>
      <c r="E76" t="s">
        <v>347</v>
      </c>
      <c r="F76" t="s">
        <v>21</v>
      </c>
      <c r="G76" t="s">
        <v>74</v>
      </c>
      <c r="H76" s="4" t="s">
        <v>2255</v>
      </c>
      <c r="I76">
        <v>872800</v>
      </c>
      <c r="J76" s="8" t="s">
        <v>2348</v>
      </c>
      <c r="K76" t="s">
        <v>348</v>
      </c>
      <c r="L76" t="s">
        <v>349</v>
      </c>
      <c r="M76" t="s">
        <v>71</v>
      </c>
      <c r="N76">
        <f t="shared" si="3"/>
        <v>6</v>
      </c>
      <c r="O76">
        <v>5</v>
      </c>
      <c r="P76" s="6">
        <v>33.51</v>
      </c>
      <c r="Q76">
        <v>1.68</v>
      </c>
      <c r="R76">
        <v>165.87</v>
      </c>
      <c r="S76">
        <v>8.2899999999999991</v>
      </c>
      <c r="T76">
        <v>20</v>
      </c>
      <c r="U76">
        <v>20</v>
      </c>
      <c r="V76">
        <v>214.16</v>
      </c>
      <c r="W76" t="s">
        <v>27</v>
      </c>
      <c r="X76">
        <v>32</v>
      </c>
    </row>
    <row r="77" spans="1:24" ht="14.25" customHeight="1">
      <c r="A77" t="s">
        <v>350</v>
      </c>
      <c r="B77" t="s">
        <v>2306</v>
      </c>
      <c r="C77" s="6" t="str">
        <f t="shared" si="4"/>
        <v>February</v>
      </c>
      <c r="D77" s="6" t="str">
        <f t="shared" si="5"/>
        <v>04</v>
      </c>
      <c r="E77" t="s">
        <v>351</v>
      </c>
      <c r="F77" t="s">
        <v>21</v>
      </c>
      <c r="G77" t="s">
        <v>74</v>
      </c>
      <c r="H77" s="4" t="s">
        <v>2255</v>
      </c>
      <c r="I77">
        <v>842406</v>
      </c>
      <c r="J77" s="8" t="s">
        <v>30</v>
      </c>
      <c r="K77" t="s">
        <v>352</v>
      </c>
      <c r="L77" t="s">
        <v>353</v>
      </c>
      <c r="M77" t="s">
        <v>98</v>
      </c>
      <c r="N77">
        <f t="shared" ref="N77:N140" si="6">LEN(M77)</f>
        <v>4</v>
      </c>
      <c r="O77">
        <v>4</v>
      </c>
      <c r="P77" s="6">
        <v>93.21</v>
      </c>
      <c r="Q77">
        <v>9.32</v>
      </c>
      <c r="R77">
        <v>363.52</v>
      </c>
      <c r="S77">
        <v>18.18</v>
      </c>
      <c r="T77">
        <v>20</v>
      </c>
      <c r="U77">
        <v>10</v>
      </c>
      <c r="V77">
        <v>411.7</v>
      </c>
      <c r="W77" t="s">
        <v>84</v>
      </c>
      <c r="X77">
        <v>25</v>
      </c>
    </row>
    <row r="78" spans="1:24" ht="14.25" customHeight="1">
      <c r="A78" t="s">
        <v>354</v>
      </c>
      <c r="B78" t="s">
        <v>2302</v>
      </c>
      <c r="C78" s="6" t="str">
        <f t="shared" si="4"/>
        <v>January</v>
      </c>
      <c r="D78" s="6" t="str">
        <f t="shared" si="5"/>
        <v>14</v>
      </c>
      <c r="E78" t="s">
        <v>355</v>
      </c>
      <c r="F78" t="s">
        <v>80</v>
      </c>
      <c r="G78" t="s">
        <v>81</v>
      </c>
      <c r="H78" s="4" t="s">
        <v>2255</v>
      </c>
      <c r="I78">
        <v>713474</v>
      </c>
      <c r="J78" s="8" t="s">
        <v>30</v>
      </c>
      <c r="K78" t="s">
        <v>356</v>
      </c>
      <c r="L78" t="s">
        <v>357</v>
      </c>
      <c r="M78" t="s">
        <v>130</v>
      </c>
      <c r="N78">
        <f t="shared" si="6"/>
        <v>7</v>
      </c>
      <c r="O78">
        <v>3</v>
      </c>
      <c r="P78" s="6">
        <v>98.22</v>
      </c>
      <c r="Q78">
        <v>0</v>
      </c>
      <c r="R78">
        <v>294.66000000000003</v>
      </c>
      <c r="S78">
        <v>14.73</v>
      </c>
      <c r="T78">
        <v>20</v>
      </c>
      <c r="U78">
        <v>10</v>
      </c>
      <c r="V78">
        <v>339.39</v>
      </c>
      <c r="W78" t="s">
        <v>27</v>
      </c>
      <c r="X78">
        <v>26</v>
      </c>
    </row>
    <row r="79" spans="1:24" ht="14.25" customHeight="1">
      <c r="A79" t="s">
        <v>358</v>
      </c>
      <c r="B79" t="s">
        <v>2307</v>
      </c>
      <c r="C79" s="6" t="str">
        <f t="shared" si="4"/>
        <v>January</v>
      </c>
      <c r="D79" s="6" t="str">
        <f t="shared" si="5"/>
        <v>17</v>
      </c>
      <c r="E79" t="s">
        <v>359</v>
      </c>
      <c r="F79" t="s">
        <v>21</v>
      </c>
      <c r="G79" t="s">
        <v>106</v>
      </c>
      <c r="H79" s="4" t="s">
        <v>2255</v>
      </c>
      <c r="I79">
        <v>438076</v>
      </c>
      <c r="J79" s="8" t="s">
        <v>2346</v>
      </c>
      <c r="K79" t="s">
        <v>360</v>
      </c>
      <c r="L79" t="s">
        <v>361</v>
      </c>
      <c r="M79" t="s">
        <v>26</v>
      </c>
      <c r="N79">
        <f t="shared" si="6"/>
        <v>3</v>
      </c>
      <c r="O79">
        <v>1</v>
      </c>
      <c r="P79" s="6">
        <v>234.65</v>
      </c>
      <c r="Q79">
        <v>35.200000000000003</v>
      </c>
      <c r="R79">
        <v>199.45</v>
      </c>
      <c r="S79">
        <v>9.9700000000000006</v>
      </c>
      <c r="T79">
        <v>30</v>
      </c>
      <c r="U79">
        <v>20</v>
      </c>
      <c r="V79">
        <v>259.42</v>
      </c>
      <c r="W79" t="s">
        <v>27</v>
      </c>
      <c r="X79">
        <v>28</v>
      </c>
    </row>
    <row r="80" spans="1:24" ht="14.25" customHeight="1">
      <c r="A80" t="s">
        <v>362</v>
      </c>
      <c r="B80" t="s">
        <v>2275</v>
      </c>
      <c r="C80" s="6" t="str">
        <f t="shared" si="4"/>
        <v>February</v>
      </c>
      <c r="D80" s="6" t="str">
        <f t="shared" si="5"/>
        <v>05</v>
      </c>
      <c r="E80" t="s">
        <v>363</v>
      </c>
      <c r="F80" t="s">
        <v>21</v>
      </c>
      <c r="G80" t="s">
        <v>37</v>
      </c>
      <c r="H80" s="4" t="s">
        <v>2255</v>
      </c>
      <c r="I80">
        <v>440941</v>
      </c>
      <c r="J80" s="8" t="s">
        <v>30</v>
      </c>
      <c r="K80" t="s">
        <v>364</v>
      </c>
      <c r="L80" t="s">
        <v>365</v>
      </c>
      <c r="M80" t="s">
        <v>130</v>
      </c>
      <c r="N80">
        <f t="shared" si="6"/>
        <v>7</v>
      </c>
      <c r="O80">
        <v>1</v>
      </c>
      <c r="P80" s="6">
        <v>188.2</v>
      </c>
      <c r="Q80">
        <v>28.23</v>
      </c>
      <c r="R80">
        <v>159.97</v>
      </c>
      <c r="S80">
        <v>8</v>
      </c>
      <c r="T80">
        <v>30</v>
      </c>
      <c r="U80">
        <v>15</v>
      </c>
      <c r="V80">
        <v>212.97</v>
      </c>
      <c r="W80" t="s">
        <v>27</v>
      </c>
      <c r="X80">
        <v>20</v>
      </c>
    </row>
    <row r="81" spans="1:24" ht="14.25" customHeight="1">
      <c r="A81" t="s">
        <v>366</v>
      </c>
      <c r="B81" t="s">
        <v>2303</v>
      </c>
      <c r="C81" s="6" t="str">
        <f t="shared" si="4"/>
        <v>February</v>
      </c>
      <c r="D81" s="6" t="str">
        <f t="shared" si="5"/>
        <v>19</v>
      </c>
      <c r="E81" t="s">
        <v>367</v>
      </c>
      <c r="F81" t="s">
        <v>21</v>
      </c>
      <c r="G81" t="s">
        <v>68</v>
      </c>
      <c r="H81" s="4" t="s">
        <v>2255</v>
      </c>
      <c r="I81">
        <v>312943</v>
      </c>
      <c r="J81" s="8" t="s">
        <v>30</v>
      </c>
      <c r="K81" t="s">
        <v>368</v>
      </c>
      <c r="L81" t="s">
        <v>369</v>
      </c>
      <c r="M81" t="s">
        <v>71</v>
      </c>
      <c r="N81">
        <f t="shared" si="6"/>
        <v>6</v>
      </c>
      <c r="O81">
        <v>1</v>
      </c>
      <c r="P81" s="6">
        <v>232.87</v>
      </c>
      <c r="Q81">
        <v>11.64</v>
      </c>
      <c r="R81">
        <v>221.23</v>
      </c>
      <c r="S81">
        <v>11.06</v>
      </c>
      <c r="T81">
        <v>20</v>
      </c>
      <c r="U81">
        <v>5</v>
      </c>
      <c r="V81">
        <v>257.29000000000002</v>
      </c>
      <c r="W81" t="s">
        <v>27</v>
      </c>
      <c r="X81">
        <v>31</v>
      </c>
    </row>
    <row r="82" spans="1:24" ht="14.25" customHeight="1">
      <c r="A82" t="s">
        <v>370</v>
      </c>
      <c r="B82" t="s">
        <v>2276</v>
      </c>
      <c r="C82" s="6" t="str">
        <f t="shared" si="4"/>
        <v>February</v>
      </c>
      <c r="D82" s="6" t="str">
        <f t="shared" si="5"/>
        <v>09</v>
      </c>
      <c r="E82" t="s">
        <v>371</v>
      </c>
      <c r="F82" t="s">
        <v>21</v>
      </c>
      <c r="G82" t="s">
        <v>37</v>
      </c>
      <c r="H82" s="4" t="s">
        <v>2255</v>
      </c>
      <c r="I82">
        <v>762784</v>
      </c>
      <c r="J82" s="8" t="s">
        <v>62</v>
      </c>
      <c r="K82" t="s">
        <v>372</v>
      </c>
      <c r="L82" t="s">
        <v>373</v>
      </c>
      <c r="M82" t="s">
        <v>89</v>
      </c>
      <c r="N82">
        <f t="shared" si="6"/>
        <v>7</v>
      </c>
      <c r="O82">
        <v>2</v>
      </c>
      <c r="P82" s="6">
        <v>46.21</v>
      </c>
      <c r="Q82">
        <v>0</v>
      </c>
      <c r="R82">
        <v>92.42</v>
      </c>
      <c r="S82">
        <v>4.62</v>
      </c>
      <c r="T82">
        <v>20</v>
      </c>
      <c r="U82">
        <v>5</v>
      </c>
      <c r="V82">
        <v>122.04</v>
      </c>
      <c r="W82" t="s">
        <v>84</v>
      </c>
      <c r="X82">
        <v>25</v>
      </c>
    </row>
    <row r="83" spans="1:24" ht="14.25" customHeight="1">
      <c r="A83" t="s">
        <v>374</v>
      </c>
      <c r="B83" t="s">
        <v>2301</v>
      </c>
      <c r="C83" s="6" t="str">
        <f t="shared" si="4"/>
        <v>January</v>
      </c>
      <c r="D83" s="6" t="str">
        <f t="shared" si="5"/>
        <v>04</v>
      </c>
      <c r="E83" t="s">
        <v>375</v>
      </c>
      <c r="F83" t="s">
        <v>21</v>
      </c>
      <c r="G83" t="s">
        <v>37</v>
      </c>
      <c r="H83" s="4" t="s">
        <v>2255</v>
      </c>
      <c r="I83">
        <v>343373</v>
      </c>
      <c r="J83" s="8" t="s">
        <v>30</v>
      </c>
      <c r="K83" t="s">
        <v>376</v>
      </c>
      <c r="L83" t="s">
        <v>377</v>
      </c>
      <c r="M83" t="s">
        <v>98</v>
      </c>
      <c r="N83">
        <f t="shared" si="6"/>
        <v>4</v>
      </c>
      <c r="O83">
        <v>2</v>
      </c>
      <c r="P83" s="6">
        <v>170.05</v>
      </c>
      <c r="Q83">
        <v>0</v>
      </c>
      <c r="R83">
        <v>340.1</v>
      </c>
      <c r="S83">
        <v>17.010000000000002</v>
      </c>
      <c r="T83">
        <v>30</v>
      </c>
      <c r="U83">
        <v>15</v>
      </c>
      <c r="V83">
        <v>402.11</v>
      </c>
      <c r="W83" t="s">
        <v>27</v>
      </c>
      <c r="X83">
        <v>20</v>
      </c>
    </row>
    <row r="84" spans="1:24" ht="14.25" customHeight="1">
      <c r="A84" t="s">
        <v>378</v>
      </c>
      <c r="B84" t="s">
        <v>2279</v>
      </c>
      <c r="C84" s="6" t="str">
        <f t="shared" si="4"/>
        <v>January</v>
      </c>
      <c r="D84" s="6" t="str">
        <f t="shared" si="5"/>
        <v>02</v>
      </c>
      <c r="E84" t="s">
        <v>379</v>
      </c>
      <c r="F84" t="s">
        <v>80</v>
      </c>
      <c r="G84" t="s">
        <v>81</v>
      </c>
      <c r="H84" s="4" t="s">
        <v>2255</v>
      </c>
      <c r="I84">
        <v>707167</v>
      </c>
      <c r="J84" s="8" t="s">
        <v>2345</v>
      </c>
      <c r="K84" t="s">
        <v>380</v>
      </c>
      <c r="L84" t="s">
        <v>381</v>
      </c>
      <c r="M84" t="s">
        <v>55</v>
      </c>
      <c r="N84">
        <f t="shared" si="6"/>
        <v>5</v>
      </c>
      <c r="O84">
        <v>2</v>
      </c>
      <c r="P84" s="6">
        <v>98.72</v>
      </c>
      <c r="Q84">
        <v>4.9400000000000004</v>
      </c>
      <c r="R84">
        <v>192.5</v>
      </c>
      <c r="S84">
        <v>9.6199999999999992</v>
      </c>
      <c r="T84">
        <v>0</v>
      </c>
      <c r="U84">
        <v>5</v>
      </c>
      <c r="V84">
        <v>207.12</v>
      </c>
      <c r="W84" t="s">
        <v>27</v>
      </c>
      <c r="X84">
        <v>31</v>
      </c>
    </row>
    <row r="85" spans="1:24" ht="14.25" customHeight="1">
      <c r="A85" t="s">
        <v>382</v>
      </c>
      <c r="B85" t="s">
        <v>2308</v>
      </c>
      <c r="C85" s="6" t="str">
        <f t="shared" si="4"/>
        <v>January</v>
      </c>
      <c r="D85" s="6" t="str">
        <f t="shared" si="5"/>
        <v>06</v>
      </c>
      <c r="E85" t="s">
        <v>383</v>
      </c>
      <c r="F85" t="s">
        <v>21</v>
      </c>
      <c r="G85" t="s">
        <v>74</v>
      </c>
      <c r="H85" s="4" t="s">
        <v>2255</v>
      </c>
      <c r="I85">
        <v>430904</v>
      </c>
      <c r="J85" s="8" t="s">
        <v>30</v>
      </c>
      <c r="K85" t="s">
        <v>384</v>
      </c>
      <c r="L85" t="s">
        <v>385</v>
      </c>
      <c r="M85" t="s">
        <v>77</v>
      </c>
      <c r="N85">
        <f t="shared" si="6"/>
        <v>5</v>
      </c>
      <c r="O85">
        <v>2</v>
      </c>
      <c r="P85" s="6">
        <v>99.38</v>
      </c>
      <c r="Q85">
        <v>14.91</v>
      </c>
      <c r="R85">
        <v>183.85</v>
      </c>
      <c r="S85">
        <v>9.19</v>
      </c>
      <c r="T85">
        <v>10</v>
      </c>
      <c r="U85">
        <v>10</v>
      </c>
      <c r="V85">
        <v>213.04</v>
      </c>
      <c r="W85" t="s">
        <v>27</v>
      </c>
      <c r="X85">
        <v>40</v>
      </c>
    </row>
    <row r="86" spans="1:24" ht="14.25" customHeight="1">
      <c r="A86" t="s">
        <v>386</v>
      </c>
      <c r="B86" t="s">
        <v>2309</v>
      </c>
      <c r="C86" s="6" t="str">
        <f t="shared" si="4"/>
        <v>February</v>
      </c>
      <c r="D86" s="6" t="str">
        <f t="shared" si="5"/>
        <v>23</v>
      </c>
      <c r="E86" t="s">
        <v>387</v>
      </c>
      <c r="F86" t="s">
        <v>101</v>
      </c>
      <c r="G86" t="s">
        <v>81</v>
      </c>
      <c r="H86" s="4" t="s">
        <v>2255</v>
      </c>
      <c r="I86">
        <v>466245</v>
      </c>
      <c r="J86" s="8" t="s">
        <v>30</v>
      </c>
      <c r="K86" t="s">
        <v>388</v>
      </c>
      <c r="L86" t="s">
        <v>389</v>
      </c>
      <c r="M86" t="s">
        <v>55</v>
      </c>
      <c r="N86">
        <f t="shared" si="6"/>
        <v>5</v>
      </c>
      <c r="O86">
        <v>5</v>
      </c>
      <c r="P86" s="6">
        <v>64.239999999999995</v>
      </c>
      <c r="Q86">
        <v>0</v>
      </c>
      <c r="R86">
        <v>321.2</v>
      </c>
      <c r="S86">
        <v>16.059999999999999</v>
      </c>
      <c r="T86">
        <v>30</v>
      </c>
      <c r="U86">
        <v>10</v>
      </c>
      <c r="V86">
        <v>377.26</v>
      </c>
      <c r="W86" t="s">
        <v>27</v>
      </c>
      <c r="X86">
        <v>12</v>
      </c>
    </row>
    <row r="87" spans="1:24" ht="14.25" customHeight="1">
      <c r="A87" t="s">
        <v>390</v>
      </c>
      <c r="B87" t="s">
        <v>2290</v>
      </c>
      <c r="C87" s="6" t="str">
        <f t="shared" si="4"/>
        <v>February</v>
      </c>
      <c r="D87" s="6" t="str">
        <f t="shared" si="5"/>
        <v>11</v>
      </c>
      <c r="E87" t="s">
        <v>391</v>
      </c>
      <c r="F87" t="s">
        <v>101</v>
      </c>
      <c r="G87" t="s">
        <v>81</v>
      </c>
      <c r="H87" s="4" t="s">
        <v>2255</v>
      </c>
      <c r="I87">
        <v>891541</v>
      </c>
      <c r="J87" s="8" t="s">
        <v>2348</v>
      </c>
      <c r="K87" t="s">
        <v>392</v>
      </c>
      <c r="L87" t="s">
        <v>393</v>
      </c>
      <c r="M87" t="s">
        <v>130</v>
      </c>
      <c r="N87">
        <f t="shared" si="6"/>
        <v>7</v>
      </c>
      <c r="O87">
        <v>5</v>
      </c>
      <c r="P87" s="6">
        <v>115.07</v>
      </c>
      <c r="Q87">
        <v>0</v>
      </c>
      <c r="R87">
        <v>575.34999999999991</v>
      </c>
      <c r="S87">
        <v>28.77</v>
      </c>
      <c r="T87">
        <v>30</v>
      </c>
      <c r="U87">
        <v>0</v>
      </c>
      <c r="V87">
        <v>634.11999999999989</v>
      </c>
      <c r="W87" t="s">
        <v>27</v>
      </c>
      <c r="X87">
        <v>36</v>
      </c>
    </row>
    <row r="88" spans="1:24" ht="14.25" customHeight="1">
      <c r="A88" t="s">
        <v>394</v>
      </c>
      <c r="B88" t="s">
        <v>2301</v>
      </c>
      <c r="C88" s="6" t="str">
        <f t="shared" si="4"/>
        <v>January</v>
      </c>
      <c r="D88" s="6" t="str">
        <f t="shared" si="5"/>
        <v>04</v>
      </c>
      <c r="E88" t="s">
        <v>395</v>
      </c>
      <c r="F88" t="s">
        <v>21</v>
      </c>
      <c r="G88" t="s">
        <v>37</v>
      </c>
      <c r="H88" s="4" t="s">
        <v>2255</v>
      </c>
      <c r="I88">
        <v>726759</v>
      </c>
      <c r="J88" s="8" t="s">
        <v>2349</v>
      </c>
      <c r="K88" t="s">
        <v>396</v>
      </c>
      <c r="L88" t="s">
        <v>397</v>
      </c>
      <c r="M88" t="s">
        <v>135</v>
      </c>
      <c r="N88">
        <f t="shared" si="6"/>
        <v>9</v>
      </c>
      <c r="O88">
        <v>2</v>
      </c>
      <c r="P88" s="6">
        <v>91.09</v>
      </c>
      <c r="Q88">
        <v>4.55</v>
      </c>
      <c r="R88">
        <v>177.63</v>
      </c>
      <c r="S88">
        <v>8.8800000000000008</v>
      </c>
      <c r="T88">
        <v>30</v>
      </c>
      <c r="U88">
        <v>10</v>
      </c>
      <c r="V88">
        <v>226.51</v>
      </c>
      <c r="W88" t="s">
        <v>27</v>
      </c>
      <c r="X88">
        <v>32</v>
      </c>
    </row>
    <row r="89" spans="1:24" ht="14.25" customHeight="1">
      <c r="A89" t="s">
        <v>398</v>
      </c>
      <c r="B89" t="s">
        <v>2309</v>
      </c>
      <c r="C89" s="6" t="str">
        <f t="shared" si="4"/>
        <v>February</v>
      </c>
      <c r="D89" s="6" t="str">
        <f t="shared" si="5"/>
        <v>23</v>
      </c>
      <c r="E89" t="s">
        <v>399</v>
      </c>
      <c r="F89" t="s">
        <v>21</v>
      </c>
      <c r="G89" t="s">
        <v>106</v>
      </c>
      <c r="H89" s="4" t="s">
        <v>2255</v>
      </c>
      <c r="I89">
        <v>969741</v>
      </c>
      <c r="J89" s="8" t="s">
        <v>2349</v>
      </c>
      <c r="K89" t="s">
        <v>400</v>
      </c>
      <c r="L89" t="s">
        <v>401</v>
      </c>
      <c r="M89" t="s">
        <v>135</v>
      </c>
      <c r="N89">
        <f t="shared" si="6"/>
        <v>9</v>
      </c>
      <c r="O89">
        <v>4</v>
      </c>
      <c r="P89" s="6">
        <v>97.79</v>
      </c>
      <c r="Q89">
        <v>9.7799999999999994</v>
      </c>
      <c r="R89">
        <v>381.38000000000011</v>
      </c>
      <c r="S89">
        <v>19.07</v>
      </c>
      <c r="T89">
        <v>20</v>
      </c>
      <c r="U89">
        <v>10</v>
      </c>
      <c r="V89">
        <v>430.45</v>
      </c>
      <c r="W89" t="s">
        <v>27</v>
      </c>
      <c r="X89">
        <v>25</v>
      </c>
    </row>
    <row r="90" spans="1:24" ht="14.25" customHeight="1">
      <c r="A90" t="s">
        <v>402</v>
      </c>
      <c r="B90" t="s">
        <v>2264</v>
      </c>
      <c r="C90" s="6" t="str">
        <f t="shared" si="4"/>
        <v>January</v>
      </c>
      <c r="D90" s="6" t="str">
        <f t="shared" si="5"/>
        <v>29</v>
      </c>
      <c r="E90" t="s">
        <v>403</v>
      </c>
      <c r="F90" t="s">
        <v>21</v>
      </c>
      <c r="G90" t="s">
        <v>74</v>
      </c>
      <c r="H90" s="4" t="s">
        <v>2255</v>
      </c>
      <c r="I90">
        <v>693586</v>
      </c>
      <c r="J90" s="8" t="s">
        <v>2346</v>
      </c>
      <c r="K90" t="s">
        <v>404</v>
      </c>
      <c r="L90" t="s">
        <v>405</v>
      </c>
      <c r="M90" t="s">
        <v>26</v>
      </c>
      <c r="N90">
        <f t="shared" si="6"/>
        <v>3</v>
      </c>
      <c r="O90">
        <v>4</v>
      </c>
      <c r="P90" s="6">
        <v>104.59</v>
      </c>
      <c r="Q90">
        <v>10.46</v>
      </c>
      <c r="R90">
        <v>407.9</v>
      </c>
      <c r="S90">
        <v>20.399999999999999</v>
      </c>
      <c r="T90">
        <v>10</v>
      </c>
      <c r="U90">
        <v>0</v>
      </c>
      <c r="V90">
        <v>438.3</v>
      </c>
      <c r="W90" t="s">
        <v>27</v>
      </c>
      <c r="X90">
        <v>37</v>
      </c>
    </row>
    <row r="91" spans="1:24" ht="14.25" customHeight="1">
      <c r="A91" t="s">
        <v>406</v>
      </c>
      <c r="B91" t="s">
        <v>2300</v>
      </c>
      <c r="C91" s="6" t="str">
        <f t="shared" si="4"/>
        <v>January</v>
      </c>
      <c r="D91" s="6" t="str">
        <f t="shared" si="5"/>
        <v>18</v>
      </c>
      <c r="E91" t="s">
        <v>407</v>
      </c>
      <c r="F91" t="s">
        <v>21</v>
      </c>
      <c r="G91" t="s">
        <v>37</v>
      </c>
      <c r="H91" s="4" t="s">
        <v>2255</v>
      </c>
      <c r="I91">
        <v>545485</v>
      </c>
      <c r="J91" s="8" t="s">
        <v>2345</v>
      </c>
      <c r="K91" t="s">
        <v>408</v>
      </c>
      <c r="L91" t="s">
        <v>409</v>
      </c>
      <c r="M91" t="s">
        <v>77</v>
      </c>
      <c r="N91">
        <f t="shared" si="6"/>
        <v>5</v>
      </c>
      <c r="O91">
        <v>3</v>
      </c>
      <c r="P91" s="6">
        <v>34.43</v>
      </c>
      <c r="Q91">
        <v>5.16</v>
      </c>
      <c r="R91">
        <v>98.13</v>
      </c>
      <c r="S91">
        <v>4.91</v>
      </c>
      <c r="T91">
        <v>30</v>
      </c>
      <c r="U91">
        <v>15</v>
      </c>
      <c r="V91">
        <v>148.04</v>
      </c>
      <c r="W91" t="s">
        <v>27</v>
      </c>
      <c r="X91">
        <v>31</v>
      </c>
    </row>
    <row r="92" spans="1:24" ht="14.25" customHeight="1">
      <c r="A92" t="s">
        <v>410</v>
      </c>
      <c r="B92" t="s">
        <v>2304</v>
      </c>
      <c r="C92" s="6" t="str">
        <f t="shared" si="4"/>
        <v>January</v>
      </c>
      <c r="D92" s="6" t="str">
        <f t="shared" si="5"/>
        <v>26</v>
      </c>
      <c r="E92" t="s">
        <v>411</v>
      </c>
      <c r="F92" t="s">
        <v>21</v>
      </c>
      <c r="G92" t="s">
        <v>106</v>
      </c>
      <c r="H92" s="4" t="s">
        <v>2255</v>
      </c>
      <c r="I92">
        <v>830023</v>
      </c>
      <c r="J92" s="8" t="s">
        <v>2348</v>
      </c>
      <c r="K92" t="s">
        <v>412</v>
      </c>
      <c r="L92" t="s">
        <v>413</v>
      </c>
      <c r="M92" t="s">
        <v>33</v>
      </c>
      <c r="N92">
        <f t="shared" si="6"/>
        <v>10</v>
      </c>
      <c r="O92">
        <v>1</v>
      </c>
      <c r="P92" s="6">
        <v>92.14</v>
      </c>
      <c r="Q92">
        <v>9.2100000000000009</v>
      </c>
      <c r="R92">
        <v>82.93</v>
      </c>
      <c r="S92">
        <v>4.1500000000000004</v>
      </c>
      <c r="T92">
        <v>30</v>
      </c>
      <c r="U92">
        <v>5</v>
      </c>
      <c r="V92">
        <v>122.08</v>
      </c>
      <c r="W92" t="s">
        <v>84</v>
      </c>
      <c r="X92">
        <v>25</v>
      </c>
    </row>
    <row r="93" spans="1:24" ht="14.25" customHeight="1">
      <c r="A93" t="s">
        <v>414</v>
      </c>
      <c r="B93" t="s">
        <v>2280</v>
      </c>
      <c r="C93" s="6" t="str">
        <f t="shared" si="4"/>
        <v>February</v>
      </c>
      <c r="D93" s="6" t="str">
        <f t="shared" si="5"/>
        <v>13</v>
      </c>
      <c r="E93" t="s">
        <v>415</v>
      </c>
      <c r="F93" t="s">
        <v>21</v>
      </c>
      <c r="G93" t="s">
        <v>22</v>
      </c>
      <c r="H93" s="4" t="s">
        <v>2255</v>
      </c>
      <c r="I93">
        <v>999187</v>
      </c>
      <c r="J93" s="8" t="s">
        <v>2346</v>
      </c>
      <c r="K93" t="s">
        <v>416</v>
      </c>
      <c r="L93" t="s">
        <v>417</v>
      </c>
      <c r="M93" t="s">
        <v>177</v>
      </c>
      <c r="N93">
        <f t="shared" si="6"/>
        <v>5</v>
      </c>
      <c r="O93">
        <v>4</v>
      </c>
      <c r="P93" s="6">
        <v>16.93</v>
      </c>
      <c r="Q93">
        <v>0</v>
      </c>
      <c r="R93">
        <v>67.72</v>
      </c>
      <c r="S93">
        <v>3.39</v>
      </c>
      <c r="T93">
        <v>30</v>
      </c>
      <c r="U93">
        <v>10</v>
      </c>
      <c r="V93">
        <v>111.11</v>
      </c>
      <c r="W93" t="s">
        <v>27</v>
      </c>
      <c r="X93">
        <v>20</v>
      </c>
    </row>
    <row r="94" spans="1:24" ht="14.25" customHeight="1">
      <c r="A94" t="s">
        <v>418</v>
      </c>
      <c r="B94" t="s">
        <v>2310</v>
      </c>
      <c r="C94" s="6" t="str">
        <f t="shared" si="4"/>
        <v>February</v>
      </c>
      <c r="D94" s="6" t="str">
        <f t="shared" si="5"/>
        <v>03</v>
      </c>
      <c r="E94" t="s">
        <v>419</v>
      </c>
      <c r="F94" t="s">
        <v>101</v>
      </c>
      <c r="G94" t="s">
        <v>81</v>
      </c>
      <c r="H94" s="4" t="s">
        <v>2255</v>
      </c>
      <c r="I94">
        <v>312977</v>
      </c>
      <c r="J94" s="8" t="s">
        <v>2348</v>
      </c>
      <c r="K94" t="s">
        <v>420</v>
      </c>
      <c r="L94" t="s">
        <v>421</v>
      </c>
      <c r="M94" t="s">
        <v>89</v>
      </c>
      <c r="N94">
        <f t="shared" si="6"/>
        <v>7</v>
      </c>
      <c r="O94">
        <v>1</v>
      </c>
      <c r="P94" s="6">
        <v>237.77</v>
      </c>
      <c r="Q94">
        <v>35.67</v>
      </c>
      <c r="R94">
        <v>202.1</v>
      </c>
      <c r="S94">
        <v>10.11</v>
      </c>
      <c r="T94">
        <v>30</v>
      </c>
      <c r="U94">
        <v>5</v>
      </c>
      <c r="V94">
        <v>247.21</v>
      </c>
      <c r="W94" t="s">
        <v>27</v>
      </c>
      <c r="X94">
        <v>21</v>
      </c>
    </row>
    <row r="95" spans="1:24" ht="14.25" customHeight="1">
      <c r="A95" t="s">
        <v>422</v>
      </c>
      <c r="B95" t="s">
        <v>2311</v>
      </c>
      <c r="C95" s="6" t="str">
        <f t="shared" si="4"/>
        <v>January</v>
      </c>
      <c r="D95" s="6" t="str">
        <f t="shared" si="5"/>
        <v>10</v>
      </c>
      <c r="E95" t="s">
        <v>423</v>
      </c>
      <c r="F95" t="s">
        <v>21</v>
      </c>
      <c r="G95" t="s">
        <v>106</v>
      </c>
      <c r="H95" s="4" t="s">
        <v>2255</v>
      </c>
      <c r="I95">
        <v>859746</v>
      </c>
      <c r="J95" s="8" t="s">
        <v>2349</v>
      </c>
      <c r="K95" t="s">
        <v>424</v>
      </c>
      <c r="L95" t="s">
        <v>425</v>
      </c>
      <c r="M95" t="s">
        <v>33</v>
      </c>
      <c r="N95">
        <f t="shared" si="6"/>
        <v>10</v>
      </c>
      <c r="O95">
        <v>5</v>
      </c>
      <c r="P95" s="6">
        <v>164.53</v>
      </c>
      <c r="Q95">
        <v>16.45</v>
      </c>
      <c r="R95">
        <v>806.19999999999993</v>
      </c>
      <c r="S95">
        <v>40.31</v>
      </c>
      <c r="T95">
        <v>30</v>
      </c>
      <c r="U95">
        <v>15</v>
      </c>
      <c r="V95">
        <v>891.51</v>
      </c>
      <c r="W95" t="s">
        <v>27</v>
      </c>
      <c r="X95">
        <v>27</v>
      </c>
    </row>
    <row r="96" spans="1:24" ht="14.25" customHeight="1">
      <c r="A96" t="s">
        <v>426</v>
      </c>
      <c r="B96" t="s">
        <v>2275</v>
      </c>
      <c r="C96" s="6" t="str">
        <f t="shared" si="4"/>
        <v>February</v>
      </c>
      <c r="D96" s="6" t="str">
        <f t="shared" si="5"/>
        <v>05</v>
      </c>
      <c r="E96" t="s">
        <v>427</v>
      </c>
      <c r="F96" t="s">
        <v>21</v>
      </c>
      <c r="G96" t="s">
        <v>37</v>
      </c>
      <c r="H96" s="4" t="s">
        <v>2255</v>
      </c>
      <c r="I96">
        <v>427025</v>
      </c>
      <c r="J96" s="8" t="s">
        <v>62</v>
      </c>
      <c r="K96" t="s">
        <v>428</v>
      </c>
      <c r="L96" t="s">
        <v>429</v>
      </c>
      <c r="M96" t="s">
        <v>33</v>
      </c>
      <c r="N96">
        <f t="shared" si="6"/>
        <v>10</v>
      </c>
      <c r="O96">
        <v>3</v>
      </c>
      <c r="P96" s="6">
        <v>104.2</v>
      </c>
      <c r="Q96">
        <v>15.63</v>
      </c>
      <c r="R96">
        <v>296.97000000000003</v>
      </c>
      <c r="S96">
        <v>14.85</v>
      </c>
      <c r="T96">
        <v>10</v>
      </c>
      <c r="U96">
        <v>5</v>
      </c>
      <c r="V96">
        <v>326.82000000000011</v>
      </c>
      <c r="W96" t="s">
        <v>27</v>
      </c>
      <c r="X96">
        <v>20</v>
      </c>
    </row>
    <row r="97" spans="1:24" ht="14.25" customHeight="1">
      <c r="A97" t="s">
        <v>430</v>
      </c>
      <c r="B97" t="s">
        <v>2302</v>
      </c>
      <c r="C97" s="6" t="str">
        <f t="shared" si="4"/>
        <v>January</v>
      </c>
      <c r="D97" s="6" t="str">
        <f t="shared" si="5"/>
        <v>14</v>
      </c>
      <c r="E97" t="s">
        <v>431</v>
      </c>
      <c r="F97" t="s">
        <v>101</v>
      </c>
      <c r="G97" t="s">
        <v>81</v>
      </c>
      <c r="H97" s="4" t="s">
        <v>2255</v>
      </c>
      <c r="I97">
        <v>649114</v>
      </c>
      <c r="J97" s="8" t="s">
        <v>2348</v>
      </c>
      <c r="K97" t="s">
        <v>432</v>
      </c>
      <c r="L97" t="s">
        <v>433</v>
      </c>
      <c r="M97" t="s">
        <v>77</v>
      </c>
      <c r="N97">
        <f t="shared" si="6"/>
        <v>5</v>
      </c>
      <c r="O97">
        <v>2</v>
      </c>
      <c r="P97" s="6">
        <v>50.5</v>
      </c>
      <c r="Q97">
        <v>0</v>
      </c>
      <c r="R97">
        <v>101</v>
      </c>
      <c r="S97">
        <v>5.05</v>
      </c>
      <c r="T97">
        <v>20</v>
      </c>
      <c r="U97">
        <v>0</v>
      </c>
      <c r="V97">
        <v>126.05</v>
      </c>
      <c r="W97" t="s">
        <v>27</v>
      </c>
      <c r="X97">
        <v>18</v>
      </c>
    </row>
    <row r="98" spans="1:24" ht="14.25" customHeight="1">
      <c r="A98" t="s">
        <v>434</v>
      </c>
      <c r="B98" t="s">
        <v>2312</v>
      </c>
      <c r="C98" s="6" t="str">
        <f t="shared" si="4"/>
        <v>January</v>
      </c>
      <c r="D98" s="6" t="str">
        <f t="shared" si="5"/>
        <v>31</v>
      </c>
      <c r="E98" t="s">
        <v>435</v>
      </c>
      <c r="F98" t="s">
        <v>21</v>
      </c>
      <c r="G98" t="s">
        <v>106</v>
      </c>
      <c r="H98" s="4" t="s">
        <v>2255</v>
      </c>
      <c r="I98">
        <v>920094</v>
      </c>
      <c r="J98" s="8" t="s">
        <v>30</v>
      </c>
      <c r="K98" t="s">
        <v>436</v>
      </c>
      <c r="L98" t="s">
        <v>437</v>
      </c>
      <c r="M98" t="s">
        <v>98</v>
      </c>
      <c r="N98">
        <f t="shared" si="6"/>
        <v>4</v>
      </c>
      <c r="O98">
        <v>1</v>
      </c>
      <c r="P98" s="6">
        <v>67.42</v>
      </c>
      <c r="Q98">
        <v>3.37</v>
      </c>
      <c r="R98">
        <v>64.05</v>
      </c>
      <c r="S98">
        <v>3.2</v>
      </c>
      <c r="T98">
        <v>10</v>
      </c>
      <c r="U98">
        <v>5</v>
      </c>
      <c r="V98">
        <v>82.25</v>
      </c>
      <c r="W98" t="s">
        <v>27</v>
      </c>
      <c r="X98">
        <v>25</v>
      </c>
    </row>
    <row r="99" spans="1:24" ht="14.25" customHeight="1">
      <c r="A99" t="s">
        <v>438</v>
      </c>
      <c r="B99" t="s">
        <v>2313</v>
      </c>
      <c r="C99" s="6" t="str">
        <f t="shared" si="4"/>
        <v>February</v>
      </c>
      <c r="D99" s="6" t="str">
        <f t="shared" si="5"/>
        <v>17</v>
      </c>
      <c r="E99" t="s">
        <v>439</v>
      </c>
      <c r="F99" t="s">
        <v>21</v>
      </c>
      <c r="G99" t="s">
        <v>106</v>
      </c>
      <c r="H99" s="4" t="s">
        <v>2255</v>
      </c>
      <c r="I99">
        <v>172715</v>
      </c>
      <c r="J99" s="8" t="s">
        <v>30</v>
      </c>
      <c r="K99" t="s">
        <v>440</v>
      </c>
      <c r="L99" t="s">
        <v>441</v>
      </c>
      <c r="M99" t="s">
        <v>65</v>
      </c>
      <c r="N99">
        <f t="shared" si="6"/>
        <v>6</v>
      </c>
      <c r="O99">
        <v>1</v>
      </c>
      <c r="P99" s="6">
        <v>53.56</v>
      </c>
      <c r="Q99">
        <v>0</v>
      </c>
      <c r="R99">
        <v>53.56</v>
      </c>
      <c r="S99">
        <v>2.68</v>
      </c>
      <c r="T99">
        <v>20</v>
      </c>
      <c r="U99">
        <v>5</v>
      </c>
      <c r="V99">
        <v>81.240000000000009</v>
      </c>
      <c r="W99" t="s">
        <v>27</v>
      </c>
      <c r="X99">
        <v>42</v>
      </c>
    </row>
    <row r="100" spans="1:24" ht="14.25" customHeight="1">
      <c r="A100" t="s">
        <v>442</v>
      </c>
      <c r="B100" t="s">
        <v>2265</v>
      </c>
      <c r="C100" s="6" t="str">
        <f t="shared" si="4"/>
        <v>January</v>
      </c>
      <c r="D100" s="6" t="str">
        <f t="shared" si="5"/>
        <v>15</v>
      </c>
      <c r="E100" t="s">
        <v>443</v>
      </c>
      <c r="F100" t="s">
        <v>21</v>
      </c>
      <c r="G100" t="s">
        <v>106</v>
      </c>
      <c r="H100" s="4" t="s">
        <v>2255</v>
      </c>
      <c r="I100">
        <v>183186</v>
      </c>
      <c r="J100" s="8" t="s">
        <v>30</v>
      </c>
      <c r="K100" t="s">
        <v>444</v>
      </c>
      <c r="L100" t="s">
        <v>445</v>
      </c>
      <c r="M100" t="s">
        <v>130</v>
      </c>
      <c r="N100">
        <f t="shared" si="6"/>
        <v>7</v>
      </c>
      <c r="O100">
        <v>4</v>
      </c>
      <c r="P100" s="6">
        <v>141.11000000000001</v>
      </c>
      <c r="Q100">
        <v>7.06</v>
      </c>
      <c r="R100">
        <v>557.38000000000011</v>
      </c>
      <c r="S100">
        <v>27.87</v>
      </c>
      <c r="T100">
        <v>10</v>
      </c>
      <c r="U100">
        <v>10</v>
      </c>
      <c r="V100">
        <v>605.25000000000011</v>
      </c>
      <c r="W100" t="s">
        <v>27</v>
      </c>
      <c r="X100">
        <v>26</v>
      </c>
    </row>
    <row r="101" spans="1:24" ht="14.25" customHeight="1">
      <c r="A101" t="s">
        <v>446</v>
      </c>
      <c r="B101" t="s">
        <v>2267</v>
      </c>
      <c r="C101" s="6" t="str">
        <f t="shared" si="4"/>
        <v>January</v>
      </c>
      <c r="D101" s="6" t="str">
        <f t="shared" si="5"/>
        <v>08</v>
      </c>
      <c r="E101" t="s">
        <v>447</v>
      </c>
      <c r="F101" t="s">
        <v>101</v>
      </c>
      <c r="G101" t="s">
        <v>81</v>
      </c>
      <c r="H101" s="4" t="s">
        <v>2255</v>
      </c>
      <c r="I101">
        <v>320971</v>
      </c>
      <c r="J101" s="8" t="s">
        <v>30</v>
      </c>
      <c r="K101" t="s">
        <v>448</v>
      </c>
      <c r="L101" t="s">
        <v>449</v>
      </c>
      <c r="M101" t="s">
        <v>135</v>
      </c>
      <c r="N101">
        <f t="shared" si="6"/>
        <v>9</v>
      </c>
      <c r="O101">
        <v>3</v>
      </c>
      <c r="P101" s="6">
        <v>172.82</v>
      </c>
      <c r="Q101">
        <v>17.28</v>
      </c>
      <c r="R101">
        <v>501.18000000000012</v>
      </c>
      <c r="S101">
        <v>25.06</v>
      </c>
      <c r="T101">
        <v>30</v>
      </c>
      <c r="U101">
        <v>20</v>
      </c>
      <c r="V101">
        <v>576.24</v>
      </c>
      <c r="W101" t="s">
        <v>27</v>
      </c>
      <c r="X101">
        <v>25</v>
      </c>
    </row>
    <row r="102" spans="1:24" ht="14.25" customHeight="1">
      <c r="A102" t="s">
        <v>450</v>
      </c>
      <c r="B102" t="s">
        <v>2302</v>
      </c>
      <c r="C102" s="6" t="str">
        <f t="shared" si="4"/>
        <v>January</v>
      </c>
      <c r="D102" s="6" t="str">
        <f t="shared" si="5"/>
        <v>14</v>
      </c>
      <c r="E102" t="s">
        <v>451</v>
      </c>
      <c r="F102" t="s">
        <v>21</v>
      </c>
      <c r="G102" t="s">
        <v>68</v>
      </c>
      <c r="H102" s="4" t="s">
        <v>2255</v>
      </c>
      <c r="I102">
        <v>268484</v>
      </c>
      <c r="J102" s="8" t="s">
        <v>30</v>
      </c>
      <c r="K102" t="s">
        <v>452</v>
      </c>
      <c r="L102" t="s">
        <v>453</v>
      </c>
      <c r="M102" t="s">
        <v>65</v>
      </c>
      <c r="N102">
        <f t="shared" si="6"/>
        <v>6</v>
      </c>
      <c r="O102">
        <v>1</v>
      </c>
      <c r="P102" s="6">
        <v>195.91</v>
      </c>
      <c r="Q102">
        <v>29.39</v>
      </c>
      <c r="R102">
        <v>166.52</v>
      </c>
      <c r="S102">
        <v>8.33</v>
      </c>
      <c r="T102">
        <v>20</v>
      </c>
      <c r="U102">
        <v>15</v>
      </c>
      <c r="V102">
        <v>209.85</v>
      </c>
      <c r="W102" t="s">
        <v>84</v>
      </c>
      <c r="X102">
        <v>25</v>
      </c>
    </row>
    <row r="103" spans="1:24" ht="14.25" customHeight="1">
      <c r="A103" t="s">
        <v>454</v>
      </c>
      <c r="B103" t="s">
        <v>2271</v>
      </c>
      <c r="C103" s="6" t="str">
        <f t="shared" si="4"/>
        <v>January</v>
      </c>
      <c r="D103" s="6" t="str">
        <f t="shared" si="5"/>
        <v>23</v>
      </c>
      <c r="E103" t="s">
        <v>455</v>
      </c>
      <c r="F103" t="s">
        <v>21</v>
      </c>
      <c r="G103" t="s">
        <v>37</v>
      </c>
      <c r="H103" s="4" t="s">
        <v>2255</v>
      </c>
      <c r="I103">
        <v>538716</v>
      </c>
      <c r="J103" s="8" t="s">
        <v>2348</v>
      </c>
      <c r="K103" t="s">
        <v>456</v>
      </c>
      <c r="L103" t="s">
        <v>457</v>
      </c>
      <c r="M103" t="s">
        <v>135</v>
      </c>
      <c r="N103">
        <f t="shared" si="6"/>
        <v>9</v>
      </c>
      <c r="O103">
        <v>4</v>
      </c>
      <c r="P103" s="6">
        <v>246.95</v>
      </c>
      <c r="Q103">
        <v>0</v>
      </c>
      <c r="R103">
        <v>987.8</v>
      </c>
      <c r="S103">
        <v>49.39</v>
      </c>
      <c r="T103">
        <v>20</v>
      </c>
      <c r="U103">
        <v>5</v>
      </c>
      <c r="V103">
        <v>1062.19</v>
      </c>
      <c r="W103" t="s">
        <v>27</v>
      </c>
      <c r="X103">
        <v>22</v>
      </c>
    </row>
    <row r="104" spans="1:24" ht="14.25" customHeight="1">
      <c r="A104" t="s">
        <v>458</v>
      </c>
      <c r="B104" t="s">
        <v>2283</v>
      </c>
      <c r="C104" s="6" t="str">
        <f t="shared" si="4"/>
        <v>March</v>
      </c>
      <c r="D104" s="6" t="str">
        <f t="shared" si="5"/>
        <v>01</v>
      </c>
      <c r="E104" t="s">
        <v>459</v>
      </c>
      <c r="F104" t="s">
        <v>21</v>
      </c>
      <c r="G104" t="s">
        <v>106</v>
      </c>
      <c r="H104" s="4" t="s">
        <v>2255</v>
      </c>
      <c r="I104">
        <v>331447</v>
      </c>
      <c r="J104" s="8" t="s">
        <v>30</v>
      </c>
      <c r="K104" t="s">
        <v>460</v>
      </c>
      <c r="L104" t="s">
        <v>461</v>
      </c>
      <c r="M104" t="s">
        <v>140</v>
      </c>
      <c r="N104">
        <f t="shared" si="6"/>
        <v>3</v>
      </c>
      <c r="O104">
        <v>5</v>
      </c>
      <c r="P104" s="6">
        <v>131.86000000000001</v>
      </c>
      <c r="Q104">
        <v>6.59</v>
      </c>
      <c r="R104">
        <v>652.71</v>
      </c>
      <c r="S104">
        <v>32.64</v>
      </c>
      <c r="T104">
        <v>0</v>
      </c>
      <c r="U104">
        <v>15</v>
      </c>
      <c r="V104">
        <v>700.35</v>
      </c>
      <c r="W104" t="s">
        <v>34</v>
      </c>
      <c r="X104">
        <v>25</v>
      </c>
    </row>
    <row r="105" spans="1:24" ht="14.25" customHeight="1">
      <c r="A105" t="s">
        <v>462</v>
      </c>
      <c r="B105" t="s">
        <v>2296</v>
      </c>
      <c r="C105" s="6" t="str">
        <f t="shared" si="4"/>
        <v>February</v>
      </c>
      <c r="D105" s="6" t="str">
        <f t="shared" si="5"/>
        <v>26</v>
      </c>
      <c r="E105" t="s">
        <v>463</v>
      </c>
      <c r="F105" t="s">
        <v>21</v>
      </c>
      <c r="G105" t="s">
        <v>37</v>
      </c>
      <c r="H105" s="4" t="s">
        <v>2255</v>
      </c>
      <c r="I105">
        <v>726045</v>
      </c>
      <c r="J105" s="8" t="s">
        <v>2349</v>
      </c>
      <c r="K105" t="s">
        <v>464</v>
      </c>
      <c r="L105" t="s">
        <v>465</v>
      </c>
      <c r="M105" t="s">
        <v>135</v>
      </c>
      <c r="N105">
        <f t="shared" si="6"/>
        <v>9</v>
      </c>
      <c r="O105">
        <v>3</v>
      </c>
      <c r="P105" s="6">
        <v>250.95</v>
      </c>
      <c r="Q105">
        <v>25.09</v>
      </c>
      <c r="R105">
        <v>727.75999999999988</v>
      </c>
      <c r="S105">
        <v>36.39</v>
      </c>
      <c r="T105">
        <v>20</v>
      </c>
      <c r="U105">
        <v>5</v>
      </c>
      <c r="V105">
        <v>789.14999999999986</v>
      </c>
      <c r="W105" t="s">
        <v>27</v>
      </c>
      <c r="X105">
        <v>41</v>
      </c>
    </row>
    <row r="106" spans="1:24" ht="14.25" customHeight="1">
      <c r="A106" t="s">
        <v>466</v>
      </c>
      <c r="B106" t="s">
        <v>2276</v>
      </c>
      <c r="C106" s="6" t="str">
        <f t="shared" si="4"/>
        <v>February</v>
      </c>
      <c r="D106" s="6" t="str">
        <f t="shared" si="5"/>
        <v>09</v>
      </c>
      <c r="E106" t="s">
        <v>467</v>
      </c>
      <c r="F106" t="s">
        <v>21</v>
      </c>
      <c r="G106" t="s">
        <v>74</v>
      </c>
      <c r="H106" s="4" t="s">
        <v>2255</v>
      </c>
      <c r="I106">
        <v>667873</v>
      </c>
      <c r="J106" s="8" t="s">
        <v>30</v>
      </c>
      <c r="K106" t="s">
        <v>468</v>
      </c>
      <c r="L106" t="s">
        <v>469</v>
      </c>
      <c r="M106" t="s">
        <v>130</v>
      </c>
      <c r="N106">
        <f t="shared" si="6"/>
        <v>7</v>
      </c>
      <c r="O106">
        <v>2</v>
      </c>
      <c r="P106" s="6">
        <v>80.91</v>
      </c>
      <c r="Q106">
        <v>4.05</v>
      </c>
      <c r="R106">
        <v>157.77000000000001</v>
      </c>
      <c r="S106">
        <v>7.89</v>
      </c>
      <c r="T106">
        <v>0</v>
      </c>
      <c r="U106">
        <v>15</v>
      </c>
      <c r="V106">
        <v>180.66</v>
      </c>
      <c r="W106" t="s">
        <v>27</v>
      </c>
      <c r="X106">
        <v>20</v>
      </c>
    </row>
    <row r="107" spans="1:24" ht="14.25" customHeight="1">
      <c r="A107" t="s">
        <v>470</v>
      </c>
      <c r="B107" t="s">
        <v>2268</v>
      </c>
      <c r="C107" s="6" t="str">
        <f t="shared" si="4"/>
        <v>January</v>
      </c>
      <c r="D107" s="6" t="str">
        <f t="shared" si="5"/>
        <v>21</v>
      </c>
      <c r="E107" t="s">
        <v>471</v>
      </c>
      <c r="F107" t="s">
        <v>21</v>
      </c>
      <c r="G107" t="s">
        <v>74</v>
      </c>
      <c r="H107" s="4" t="s">
        <v>2255</v>
      </c>
      <c r="I107">
        <v>915858</v>
      </c>
      <c r="J107" s="8" t="s">
        <v>2347</v>
      </c>
      <c r="K107" t="s">
        <v>472</v>
      </c>
      <c r="L107" t="s">
        <v>473</v>
      </c>
      <c r="M107" t="s">
        <v>45</v>
      </c>
      <c r="N107">
        <f t="shared" si="6"/>
        <v>6</v>
      </c>
      <c r="O107">
        <v>1</v>
      </c>
      <c r="P107" s="6">
        <v>88.24</v>
      </c>
      <c r="Q107">
        <v>8.82</v>
      </c>
      <c r="R107">
        <v>79.419999999999987</v>
      </c>
      <c r="S107">
        <v>3.97</v>
      </c>
      <c r="T107">
        <v>0</v>
      </c>
      <c r="U107">
        <v>5</v>
      </c>
      <c r="V107">
        <v>88.389999999999986</v>
      </c>
      <c r="W107" t="s">
        <v>27</v>
      </c>
      <c r="X107">
        <v>19</v>
      </c>
    </row>
    <row r="108" spans="1:24" ht="14.25" customHeight="1">
      <c r="A108" t="s">
        <v>474</v>
      </c>
      <c r="B108" t="s">
        <v>2292</v>
      </c>
      <c r="C108" s="6" t="str">
        <f t="shared" si="4"/>
        <v>January</v>
      </c>
      <c r="D108" s="6" t="str">
        <f t="shared" si="5"/>
        <v>16</v>
      </c>
      <c r="E108" t="s">
        <v>475</v>
      </c>
      <c r="F108" t="s">
        <v>21</v>
      </c>
      <c r="G108" t="s">
        <v>106</v>
      </c>
      <c r="H108" s="4" t="s">
        <v>2255</v>
      </c>
      <c r="I108">
        <v>360116</v>
      </c>
      <c r="J108" s="8" t="s">
        <v>30</v>
      </c>
      <c r="K108" t="s">
        <v>476</v>
      </c>
      <c r="L108" t="s">
        <v>477</v>
      </c>
      <c r="M108" t="s">
        <v>40</v>
      </c>
      <c r="N108">
        <f t="shared" si="6"/>
        <v>6</v>
      </c>
      <c r="O108">
        <v>2</v>
      </c>
      <c r="P108" s="6">
        <v>223.65</v>
      </c>
      <c r="Q108">
        <v>33.549999999999997</v>
      </c>
      <c r="R108">
        <v>413.75</v>
      </c>
      <c r="S108">
        <v>20.69</v>
      </c>
      <c r="T108">
        <v>0</v>
      </c>
      <c r="U108">
        <v>15</v>
      </c>
      <c r="V108">
        <v>449.44</v>
      </c>
      <c r="W108" t="s">
        <v>34</v>
      </c>
      <c r="X108">
        <v>25</v>
      </c>
    </row>
    <row r="109" spans="1:24" ht="14.25" customHeight="1">
      <c r="A109" t="s">
        <v>478</v>
      </c>
      <c r="B109" t="s">
        <v>2314</v>
      </c>
      <c r="C109" s="6" t="str">
        <f t="shared" si="4"/>
        <v>February</v>
      </c>
      <c r="D109" s="6" t="str">
        <f t="shared" si="5"/>
        <v>14</v>
      </c>
      <c r="E109" t="s">
        <v>479</v>
      </c>
      <c r="F109" t="s">
        <v>21</v>
      </c>
      <c r="G109" t="s">
        <v>37</v>
      </c>
      <c r="H109" s="4" t="s">
        <v>2255</v>
      </c>
      <c r="I109">
        <v>257795</v>
      </c>
      <c r="J109" s="8" t="s">
        <v>62</v>
      </c>
      <c r="K109" t="s">
        <v>480</v>
      </c>
      <c r="L109" t="s">
        <v>481</v>
      </c>
      <c r="M109" t="s">
        <v>65</v>
      </c>
      <c r="N109">
        <f t="shared" si="6"/>
        <v>6</v>
      </c>
      <c r="O109">
        <v>3</v>
      </c>
      <c r="P109" s="6">
        <v>52.33</v>
      </c>
      <c r="Q109">
        <v>7.85</v>
      </c>
      <c r="R109">
        <v>149.13999999999999</v>
      </c>
      <c r="S109">
        <v>7.46</v>
      </c>
      <c r="T109">
        <v>20</v>
      </c>
      <c r="U109">
        <v>0</v>
      </c>
      <c r="V109">
        <v>176.6</v>
      </c>
      <c r="W109" t="s">
        <v>27</v>
      </c>
      <c r="X109">
        <v>30</v>
      </c>
    </row>
    <row r="110" spans="1:24" ht="14.25" customHeight="1">
      <c r="A110" t="s">
        <v>482</v>
      </c>
      <c r="B110" t="s">
        <v>2300</v>
      </c>
      <c r="C110" s="6" t="str">
        <f t="shared" si="4"/>
        <v>January</v>
      </c>
      <c r="D110" s="6" t="str">
        <f t="shared" si="5"/>
        <v>18</v>
      </c>
      <c r="E110" t="s">
        <v>483</v>
      </c>
      <c r="F110" t="s">
        <v>21</v>
      </c>
      <c r="G110" t="s">
        <v>74</v>
      </c>
      <c r="H110" s="4" t="s">
        <v>2255</v>
      </c>
      <c r="I110">
        <v>722605</v>
      </c>
      <c r="J110" s="8" t="s">
        <v>2349</v>
      </c>
      <c r="K110" t="s">
        <v>484</v>
      </c>
      <c r="L110" t="s">
        <v>485</v>
      </c>
      <c r="M110" t="s">
        <v>135</v>
      </c>
      <c r="N110">
        <f t="shared" si="6"/>
        <v>9</v>
      </c>
      <c r="O110">
        <v>2</v>
      </c>
      <c r="P110" s="6">
        <v>19.88</v>
      </c>
      <c r="Q110">
        <v>2.98</v>
      </c>
      <c r="R110">
        <v>36.78</v>
      </c>
      <c r="S110">
        <v>1.84</v>
      </c>
      <c r="T110">
        <v>0</v>
      </c>
      <c r="U110">
        <v>5</v>
      </c>
      <c r="V110">
        <v>43.62</v>
      </c>
      <c r="W110" t="s">
        <v>27</v>
      </c>
      <c r="X110">
        <v>24</v>
      </c>
    </row>
    <row r="111" spans="1:24" ht="14.25" customHeight="1">
      <c r="A111" t="s">
        <v>486</v>
      </c>
      <c r="B111" t="s">
        <v>2293</v>
      </c>
      <c r="C111" s="6" t="str">
        <f t="shared" si="4"/>
        <v>February</v>
      </c>
      <c r="D111" s="6" t="str">
        <f t="shared" si="5"/>
        <v>16</v>
      </c>
      <c r="E111" t="s">
        <v>487</v>
      </c>
      <c r="F111" t="s">
        <v>21</v>
      </c>
      <c r="G111" t="s">
        <v>22</v>
      </c>
      <c r="H111" s="4" t="s">
        <v>2255</v>
      </c>
      <c r="I111">
        <v>300422</v>
      </c>
      <c r="J111" s="8" t="s">
        <v>2346</v>
      </c>
      <c r="K111" t="s">
        <v>488</v>
      </c>
      <c r="L111" t="s">
        <v>489</v>
      </c>
      <c r="M111" t="s">
        <v>140</v>
      </c>
      <c r="N111">
        <f t="shared" si="6"/>
        <v>3</v>
      </c>
      <c r="O111">
        <v>4</v>
      </c>
      <c r="P111" s="6">
        <v>8.14</v>
      </c>
      <c r="Q111">
        <v>1.22</v>
      </c>
      <c r="R111">
        <v>31.34</v>
      </c>
      <c r="S111">
        <v>1.57</v>
      </c>
      <c r="T111">
        <v>20</v>
      </c>
      <c r="U111">
        <v>15</v>
      </c>
      <c r="V111">
        <v>67.91</v>
      </c>
      <c r="W111" t="s">
        <v>27</v>
      </c>
      <c r="X111">
        <v>15</v>
      </c>
    </row>
    <row r="112" spans="1:24" ht="14.25" customHeight="1">
      <c r="A112" t="s">
        <v>490</v>
      </c>
      <c r="B112" t="s">
        <v>2274</v>
      </c>
      <c r="C112" s="6" t="str">
        <f t="shared" si="4"/>
        <v>February</v>
      </c>
      <c r="D112" s="6" t="str">
        <f t="shared" si="5"/>
        <v>22</v>
      </c>
      <c r="E112" t="s">
        <v>491</v>
      </c>
      <c r="F112" t="s">
        <v>21</v>
      </c>
      <c r="G112" t="s">
        <v>22</v>
      </c>
      <c r="H112" s="4" t="s">
        <v>2256</v>
      </c>
      <c r="I112">
        <v>244832</v>
      </c>
      <c r="J112" s="8" t="s">
        <v>2348</v>
      </c>
      <c r="K112" t="s">
        <v>492</v>
      </c>
      <c r="L112" t="s">
        <v>493</v>
      </c>
      <c r="M112" t="s">
        <v>98</v>
      </c>
      <c r="N112">
        <f t="shared" si="6"/>
        <v>4</v>
      </c>
      <c r="O112">
        <v>3</v>
      </c>
      <c r="P112" s="6">
        <v>182.83</v>
      </c>
      <c r="Q112">
        <v>27.42</v>
      </c>
      <c r="R112">
        <v>521.07000000000005</v>
      </c>
      <c r="S112">
        <v>26.05</v>
      </c>
      <c r="T112">
        <v>20</v>
      </c>
      <c r="U112">
        <v>0</v>
      </c>
      <c r="V112">
        <v>567.12</v>
      </c>
      <c r="W112" t="s">
        <v>27</v>
      </c>
      <c r="X112">
        <v>24</v>
      </c>
    </row>
    <row r="113" spans="1:24" ht="14.25" customHeight="1">
      <c r="A113" t="s">
        <v>494</v>
      </c>
      <c r="B113" t="s">
        <v>2273</v>
      </c>
      <c r="C113" s="6" t="str">
        <f t="shared" si="4"/>
        <v>January</v>
      </c>
      <c r="D113" s="6" t="str">
        <f t="shared" si="5"/>
        <v>24</v>
      </c>
      <c r="E113" t="s">
        <v>495</v>
      </c>
      <c r="F113" t="s">
        <v>21</v>
      </c>
      <c r="G113" t="s">
        <v>37</v>
      </c>
      <c r="H113" s="4" t="s">
        <v>2256</v>
      </c>
      <c r="I113">
        <v>857038</v>
      </c>
      <c r="J113" s="8" t="s">
        <v>30</v>
      </c>
      <c r="K113" t="s">
        <v>496</v>
      </c>
      <c r="L113" t="s">
        <v>497</v>
      </c>
      <c r="M113" t="s">
        <v>89</v>
      </c>
      <c r="N113">
        <f t="shared" si="6"/>
        <v>7</v>
      </c>
      <c r="O113">
        <v>2</v>
      </c>
      <c r="P113" s="6">
        <v>199.02</v>
      </c>
      <c r="Q113">
        <v>19.899999999999999</v>
      </c>
      <c r="R113">
        <v>378.14</v>
      </c>
      <c r="S113">
        <v>18.91</v>
      </c>
      <c r="T113">
        <v>30</v>
      </c>
      <c r="U113">
        <v>20</v>
      </c>
      <c r="V113">
        <v>447.05000000000013</v>
      </c>
      <c r="W113" t="s">
        <v>27</v>
      </c>
      <c r="X113">
        <v>29</v>
      </c>
    </row>
    <row r="114" spans="1:24" ht="14.25" customHeight="1">
      <c r="A114" t="s">
        <v>498</v>
      </c>
      <c r="B114" t="s">
        <v>2304</v>
      </c>
      <c r="C114" s="6" t="str">
        <f t="shared" si="4"/>
        <v>January</v>
      </c>
      <c r="D114" s="6" t="str">
        <f t="shared" si="5"/>
        <v>26</v>
      </c>
      <c r="E114" t="s">
        <v>499</v>
      </c>
      <c r="F114" t="s">
        <v>101</v>
      </c>
      <c r="G114" t="s">
        <v>81</v>
      </c>
      <c r="H114" s="4" t="s">
        <v>2256</v>
      </c>
      <c r="I114">
        <v>482729</v>
      </c>
      <c r="J114" s="8" t="s">
        <v>30</v>
      </c>
      <c r="K114" t="s">
        <v>500</v>
      </c>
      <c r="L114" t="s">
        <v>501</v>
      </c>
      <c r="M114" t="s">
        <v>98</v>
      </c>
      <c r="N114">
        <f t="shared" si="6"/>
        <v>4</v>
      </c>
      <c r="O114">
        <v>4</v>
      </c>
      <c r="P114" s="6">
        <v>130.76</v>
      </c>
      <c r="Q114">
        <v>19.61</v>
      </c>
      <c r="R114">
        <v>503.42999999999989</v>
      </c>
      <c r="S114">
        <v>25.17</v>
      </c>
      <c r="T114">
        <v>30</v>
      </c>
      <c r="U114">
        <v>0</v>
      </c>
      <c r="V114">
        <v>558.59999999999991</v>
      </c>
      <c r="W114" t="s">
        <v>27</v>
      </c>
      <c r="X114">
        <v>18</v>
      </c>
    </row>
    <row r="115" spans="1:24" ht="14.25" customHeight="1">
      <c r="A115" t="s">
        <v>502</v>
      </c>
      <c r="B115" t="s">
        <v>2286</v>
      </c>
      <c r="C115" s="6" t="str">
        <f t="shared" si="4"/>
        <v>January</v>
      </c>
      <c r="D115" s="6" t="str">
        <f t="shared" si="5"/>
        <v>25</v>
      </c>
      <c r="E115" t="s">
        <v>503</v>
      </c>
      <c r="F115" t="s">
        <v>101</v>
      </c>
      <c r="G115" t="s">
        <v>81</v>
      </c>
      <c r="H115" s="4" t="s">
        <v>2256</v>
      </c>
      <c r="I115">
        <v>869299</v>
      </c>
      <c r="J115" s="8" t="s">
        <v>62</v>
      </c>
      <c r="K115" t="s">
        <v>504</v>
      </c>
      <c r="L115" t="s">
        <v>505</v>
      </c>
      <c r="M115" t="s">
        <v>40</v>
      </c>
      <c r="N115">
        <f t="shared" si="6"/>
        <v>6</v>
      </c>
      <c r="O115">
        <v>1</v>
      </c>
      <c r="P115" s="6">
        <v>82.47</v>
      </c>
      <c r="Q115">
        <v>8.25</v>
      </c>
      <c r="R115">
        <v>74.22</v>
      </c>
      <c r="S115">
        <v>3.71</v>
      </c>
      <c r="T115">
        <v>0</v>
      </c>
      <c r="U115">
        <v>10</v>
      </c>
      <c r="V115">
        <v>87.929999999999993</v>
      </c>
      <c r="W115" t="s">
        <v>27</v>
      </c>
      <c r="X115">
        <v>28</v>
      </c>
    </row>
    <row r="116" spans="1:24" ht="14.25" customHeight="1">
      <c r="A116" t="s">
        <v>506</v>
      </c>
      <c r="B116" t="s">
        <v>2283</v>
      </c>
      <c r="C116" s="6" t="str">
        <f t="shared" si="4"/>
        <v>March</v>
      </c>
      <c r="D116" s="6" t="str">
        <f t="shared" si="5"/>
        <v>01</v>
      </c>
      <c r="E116" t="s">
        <v>507</v>
      </c>
      <c r="F116" t="s">
        <v>21</v>
      </c>
      <c r="G116" t="s">
        <v>22</v>
      </c>
      <c r="H116" s="4" t="s">
        <v>2256</v>
      </c>
      <c r="I116">
        <v>316184</v>
      </c>
      <c r="J116" s="8" t="s">
        <v>2346</v>
      </c>
      <c r="K116" t="s">
        <v>508</v>
      </c>
      <c r="L116" t="s">
        <v>509</v>
      </c>
      <c r="M116" t="s">
        <v>50</v>
      </c>
      <c r="N116">
        <f t="shared" si="6"/>
        <v>5</v>
      </c>
      <c r="O116">
        <v>3</v>
      </c>
      <c r="P116" s="6">
        <v>102.51</v>
      </c>
      <c r="Q116">
        <v>0</v>
      </c>
      <c r="R116">
        <v>307.52999999999997</v>
      </c>
      <c r="S116">
        <v>15.38</v>
      </c>
      <c r="T116">
        <v>20</v>
      </c>
      <c r="U116">
        <v>20</v>
      </c>
      <c r="V116">
        <v>362.91</v>
      </c>
      <c r="W116" t="s">
        <v>27</v>
      </c>
      <c r="X116">
        <v>30</v>
      </c>
    </row>
    <row r="117" spans="1:24" ht="14.25" customHeight="1">
      <c r="A117" t="s">
        <v>510</v>
      </c>
      <c r="B117" t="s">
        <v>2283</v>
      </c>
      <c r="C117" s="6" t="str">
        <f t="shared" si="4"/>
        <v>March</v>
      </c>
      <c r="D117" s="6" t="str">
        <f t="shared" si="5"/>
        <v>01</v>
      </c>
      <c r="E117" t="s">
        <v>511</v>
      </c>
      <c r="F117" t="s">
        <v>21</v>
      </c>
      <c r="G117" t="s">
        <v>74</v>
      </c>
      <c r="H117" s="4" t="s">
        <v>2256</v>
      </c>
      <c r="I117">
        <v>192324</v>
      </c>
      <c r="J117" s="8" t="s">
        <v>30</v>
      </c>
      <c r="K117" t="s">
        <v>512</v>
      </c>
      <c r="L117" t="s">
        <v>513</v>
      </c>
      <c r="M117" t="s">
        <v>65</v>
      </c>
      <c r="N117">
        <f t="shared" si="6"/>
        <v>6</v>
      </c>
      <c r="O117">
        <v>2</v>
      </c>
      <c r="P117" s="6">
        <v>14.07</v>
      </c>
      <c r="Q117">
        <v>0.7</v>
      </c>
      <c r="R117">
        <v>27.44</v>
      </c>
      <c r="S117">
        <v>1.37</v>
      </c>
      <c r="T117">
        <v>30</v>
      </c>
      <c r="U117">
        <v>10</v>
      </c>
      <c r="V117">
        <v>68.81</v>
      </c>
      <c r="W117" t="s">
        <v>27</v>
      </c>
      <c r="X117">
        <v>27</v>
      </c>
    </row>
    <row r="118" spans="1:24" ht="14.25" customHeight="1">
      <c r="A118" t="s">
        <v>514</v>
      </c>
      <c r="B118" t="s">
        <v>2283</v>
      </c>
      <c r="C118" s="6" t="str">
        <f t="shared" si="4"/>
        <v>March</v>
      </c>
      <c r="D118" s="6" t="str">
        <f t="shared" si="5"/>
        <v>01</v>
      </c>
      <c r="E118" t="s">
        <v>515</v>
      </c>
      <c r="F118" t="s">
        <v>21</v>
      </c>
      <c r="G118" t="s">
        <v>106</v>
      </c>
      <c r="H118" s="4" t="s">
        <v>2256</v>
      </c>
      <c r="I118">
        <v>741179</v>
      </c>
      <c r="J118" s="8" t="s">
        <v>30</v>
      </c>
      <c r="K118" t="s">
        <v>516</v>
      </c>
      <c r="L118" t="s">
        <v>517</v>
      </c>
      <c r="M118" t="s">
        <v>135</v>
      </c>
      <c r="N118">
        <f t="shared" si="6"/>
        <v>9</v>
      </c>
      <c r="O118">
        <v>2</v>
      </c>
      <c r="P118" s="6">
        <v>52.82</v>
      </c>
      <c r="Q118">
        <v>0</v>
      </c>
      <c r="R118">
        <v>105.64</v>
      </c>
      <c r="S118">
        <v>5.28</v>
      </c>
      <c r="T118">
        <v>10</v>
      </c>
      <c r="U118">
        <v>20</v>
      </c>
      <c r="V118">
        <v>140.91999999999999</v>
      </c>
      <c r="W118" t="s">
        <v>27</v>
      </c>
      <c r="X118">
        <v>33</v>
      </c>
    </row>
    <row r="119" spans="1:24" ht="14.25" customHeight="1">
      <c r="A119" t="s">
        <v>518</v>
      </c>
      <c r="B119" t="s">
        <v>2314</v>
      </c>
      <c r="C119" s="6" t="str">
        <f t="shared" si="4"/>
        <v>February</v>
      </c>
      <c r="D119" s="6" t="str">
        <f t="shared" si="5"/>
        <v>14</v>
      </c>
      <c r="E119" t="s">
        <v>519</v>
      </c>
      <c r="F119" t="s">
        <v>21</v>
      </c>
      <c r="G119" t="s">
        <v>106</v>
      </c>
      <c r="H119" s="4" t="s">
        <v>2256</v>
      </c>
      <c r="I119">
        <v>543324</v>
      </c>
      <c r="J119" s="8" t="s">
        <v>2348</v>
      </c>
      <c r="K119" t="s">
        <v>520</v>
      </c>
      <c r="L119" t="s">
        <v>521</v>
      </c>
      <c r="M119" t="s">
        <v>22</v>
      </c>
      <c r="N119">
        <f t="shared" si="6"/>
        <v>6</v>
      </c>
      <c r="O119">
        <v>1</v>
      </c>
      <c r="P119" s="6">
        <v>91.94</v>
      </c>
      <c r="Q119">
        <v>13.79</v>
      </c>
      <c r="R119">
        <v>78.150000000000006</v>
      </c>
      <c r="S119">
        <v>3.91</v>
      </c>
      <c r="T119">
        <v>20</v>
      </c>
      <c r="U119">
        <v>10</v>
      </c>
      <c r="V119">
        <v>112.06</v>
      </c>
      <c r="W119" t="s">
        <v>27</v>
      </c>
      <c r="X119">
        <v>28</v>
      </c>
    </row>
    <row r="120" spans="1:24" ht="14.25" customHeight="1">
      <c r="A120" t="s">
        <v>522</v>
      </c>
      <c r="B120" t="s">
        <v>2315</v>
      </c>
      <c r="C120" s="6" t="str">
        <f t="shared" si="4"/>
        <v>February</v>
      </c>
      <c r="D120" s="6" t="str">
        <f t="shared" si="5"/>
        <v>10</v>
      </c>
      <c r="E120" t="s">
        <v>523</v>
      </c>
      <c r="F120" t="s">
        <v>21</v>
      </c>
      <c r="G120" t="s">
        <v>22</v>
      </c>
      <c r="H120" s="4" t="s">
        <v>2256</v>
      </c>
      <c r="I120">
        <v>260928</v>
      </c>
      <c r="J120" s="8" t="s">
        <v>2346</v>
      </c>
      <c r="K120" t="s">
        <v>524</v>
      </c>
      <c r="L120" t="s">
        <v>525</v>
      </c>
      <c r="M120" t="s">
        <v>55</v>
      </c>
      <c r="N120">
        <f t="shared" si="6"/>
        <v>5</v>
      </c>
      <c r="O120">
        <v>3</v>
      </c>
      <c r="P120" s="6">
        <v>102.03</v>
      </c>
      <c r="Q120">
        <v>15.3</v>
      </c>
      <c r="R120">
        <v>290.79000000000002</v>
      </c>
      <c r="S120">
        <v>14.54</v>
      </c>
      <c r="T120">
        <v>0</v>
      </c>
      <c r="U120">
        <v>0</v>
      </c>
      <c r="V120">
        <v>305.33</v>
      </c>
      <c r="W120" t="s">
        <v>27</v>
      </c>
      <c r="X120">
        <v>25</v>
      </c>
    </row>
    <row r="121" spans="1:24" ht="14.25" customHeight="1">
      <c r="A121" t="s">
        <v>526</v>
      </c>
      <c r="B121" t="s">
        <v>2264</v>
      </c>
      <c r="C121" s="6" t="str">
        <f t="shared" si="4"/>
        <v>January</v>
      </c>
      <c r="D121" s="6" t="str">
        <f t="shared" si="5"/>
        <v>29</v>
      </c>
      <c r="E121" t="s">
        <v>527</v>
      </c>
      <c r="F121" t="s">
        <v>101</v>
      </c>
      <c r="G121" t="s">
        <v>81</v>
      </c>
      <c r="H121" s="4" t="s">
        <v>2256</v>
      </c>
      <c r="I121">
        <v>796595</v>
      </c>
      <c r="J121" s="8" t="s">
        <v>62</v>
      </c>
      <c r="K121" t="s">
        <v>528</v>
      </c>
      <c r="L121" t="s">
        <v>529</v>
      </c>
      <c r="M121" t="s">
        <v>135</v>
      </c>
      <c r="N121">
        <f t="shared" si="6"/>
        <v>9</v>
      </c>
      <c r="O121">
        <v>1</v>
      </c>
      <c r="P121" s="6">
        <v>66.78</v>
      </c>
      <c r="Q121">
        <v>3.34</v>
      </c>
      <c r="R121">
        <v>63.44</v>
      </c>
      <c r="S121">
        <v>3.17</v>
      </c>
      <c r="T121">
        <v>20</v>
      </c>
      <c r="U121">
        <v>10</v>
      </c>
      <c r="V121">
        <v>96.61</v>
      </c>
      <c r="W121" t="s">
        <v>27</v>
      </c>
      <c r="X121">
        <v>29</v>
      </c>
    </row>
    <row r="122" spans="1:24" ht="14.25" customHeight="1">
      <c r="A122" t="s">
        <v>530</v>
      </c>
      <c r="B122" t="s">
        <v>2265</v>
      </c>
      <c r="C122" s="6" t="str">
        <f t="shared" si="4"/>
        <v>January</v>
      </c>
      <c r="D122" s="6" t="str">
        <f t="shared" si="5"/>
        <v>15</v>
      </c>
      <c r="E122" t="s">
        <v>531</v>
      </c>
      <c r="F122" t="s">
        <v>21</v>
      </c>
      <c r="G122" t="s">
        <v>68</v>
      </c>
      <c r="H122" s="4" t="s">
        <v>2256</v>
      </c>
      <c r="I122">
        <v>633398</v>
      </c>
      <c r="J122" s="8" t="s">
        <v>2349</v>
      </c>
      <c r="K122" t="s">
        <v>532</v>
      </c>
      <c r="L122" t="s">
        <v>533</v>
      </c>
      <c r="M122" t="s">
        <v>45</v>
      </c>
      <c r="N122">
        <f t="shared" si="6"/>
        <v>6</v>
      </c>
      <c r="O122">
        <v>4</v>
      </c>
      <c r="P122" s="6">
        <v>126.91</v>
      </c>
      <c r="Q122">
        <v>0</v>
      </c>
      <c r="R122">
        <v>507.64</v>
      </c>
      <c r="S122">
        <v>25.38</v>
      </c>
      <c r="T122">
        <v>30</v>
      </c>
      <c r="U122">
        <v>20</v>
      </c>
      <c r="V122">
        <v>583.02</v>
      </c>
      <c r="W122" t="s">
        <v>27</v>
      </c>
      <c r="X122">
        <v>21</v>
      </c>
    </row>
    <row r="123" spans="1:24" ht="14.25" customHeight="1">
      <c r="A123" t="s">
        <v>534</v>
      </c>
      <c r="B123" t="s">
        <v>2314</v>
      </c>
      <c r="C123" s="6" t="str">
        <f t="shared" si="4"/>
        <v>February</v>
      </c>
      <c r="D123" s="6" t="str">
        <f t="shared" si="5"/>
        <v>14</v>
      </c>
      <c r="E123" t="s">
        <v>535</v>
      </c>
      <c r="F123" t="s">
        <v>21</v>
      </c>
      <c r="G123" t="s">
        <v>74</v>
      </c>
      <c r="H123" s="4" t="s">
        <v>2256</v>
      </c>
      <c r="I123">
        <v>728349</v>
      </c>
      <c r="J123" s="8" t="s">
        <v>30</v>
      </c>
      <c r="K123" t="s">
        <v>536</v>
      </c>
      <c r="L123" t="s">
        <v>537</v>
      </c>
      <c r="M123" t="s">
        <v>40</v>
      </c>
      <c r="N123">
        <f t="shared" si="6"/>
        <v>6</v>
      </c>
      <c r="O123">
        <v>2</v>
      </c>
      <c r="P123" s="6">
        <v>21.8</v>
      </c>
      <c r="Q123">
        <v>0</v>
      </c>
      <c r="R123">
        <v>43.6</v>
      </c>
      <c r="S123">
        <v>2.1800000000000002</v>
      </c>
      <c r="T123">
        <v>20</v>
      </c>
      <c r="U123">
        <v>10</v>
      </c>
      <c r="V123">
        <v>75.78</v>
      </c>
      <c r="W123" t="s">
        <v>84</v>
      </c>
      <c r="X123">
        <v>25</v>
      </c>
    </row>
    <row r="124" spans="1:24" ht="14.25" customHeight="1">
      <c r="A124" t="s">
        <v>538</v>
      </c>
      <c r="B124" t="s">
        <v>2316</v>
      </c>
      <c r="C124" s="6" t="str">
        <f t="shared" si="4"/>
        <v>January</v>
      </c>
      <c r="D124" s="6" t="str">
        <f t="shared" si="5"/>
        <v>01</v>
      </c>
      <c r="E124" t="s">
        <v>539</v>
      </c>
      <c r="F124" t="s">
        <v>21</v>
      </c>
      <c r="G124" t="s">
        <v>106</v>
      </c>
      <c r="H124" s="4" t="s">
        <v>2256</v>
      </c>
      <c r="I124">
        <v>601076</v>
      </c>
      <c r="J124" s="8" t="s">
        <v>30</v>
      </c>
      <c r="K124" t="s">
        <v>540</v>
      </c>
      <c r="L124" t="s">
        <v>541</v>
      </c>
      <c r="M124" t="s">
        <v>89</v>
      </c>
      <c r="N124">
        <f t="shared" si="6"/>
        <v>7</v>
      </c>
      <c r="O124">
        <v>5</v>
      </c>
      <c r="P124" s="6">
        <v>162.43</v>
      </c>
      <c r="Q124">
        <v>24.36</v>
      </c>
      <c r="R124">
        <v>787.79000000000008</v>
      </c>
      <c r="S124">
        <v>39.39</v>
      </c>
      <c r="T124">
        <v>0</v>
      </c>
      <c r="U124">
        <v>5</v>
      </c>
      <c r="V124">
        <v>832.18000000000006</v>
      </c>
      <c r="W124" t="s">
        <v>27</v>
      </c>
      <c r="X124">
        <v>34</v>
      </c>
    </row>
    <row r="125" spans="1:24" ht="14.25" customHeight="1">
      <c r="A125" t="s">
        <v>542</v>
      </c>
      <c r="B125" t="s">
        <v>2286</v>
      </c>
      <c r="C125" s="6" t="str">
        <f t="shared" si="4"/>
        <v>January</v>
      </c>
      <c r="D125" s="6" t="str">
        <f t="shared" si="5"/>
        <v>25</v>
      </c>
      <c r="E125" t="s">
        <v>543</v>
      </c>
      <c r="F125" t="s">
        <v>101</v>
      </c>
      <c r="G125" t="s">
        <v>81</v>
      </c>
      <c r="H125" s="4" t="s">
        <v>2256</v>
      </c>
      <c r="I125">
        <v>900101</v>
      </c>
      <c r="J125" s="8" t="s">
        <v>30</v>
      </c>
      <c r="K125" t="s">
        <v>544</v>
      </c>
      <c r="L125" t="s">
        <v>545</v>
      </c>
      <c r="M125" t="s">
        <v>55</v>
      </c>
      <c r="N125">
        <f t="shared" si="6"/>
        <v>5</v>
      </c>
      <c r="O125">
        <v>3</v>
      </c>
      <c r="P125" s="6">
        <v>185.37</v>
      </c>
      <c r="Q125">
        <v>0</v>
      </c>
      <c r="R125">
        <v>556.11</v>
      </c>
      <c r="S125">
        <v>27.81</v>
      </c>
      <c r="T125">
        <v>30</v>
      </c>
      <c r="U125">
        <v>5</v>
      </c>
      <c r="V125">
        <v>618.91999999999996</v>
      </c>
      <c r="W125" t="s">
        <v>84</v>
      </c>
      <c r="X125">
        <v>25</v>
      </c>
    </row>
    <row r="126" spans="1:24" ht="14.25" customHeight="1">
      <c r="A126" t="s">
        <v>546</v>
      </c>
      <c r="B126" t="s">
        <v>2298</v>
      </c>
      <c r="C126" s="6" t="str">
        <f t="shared" si="4"/>
        <v>January</v>
      </c>
      <c r="D126" s="6" t="str">
        <f t="shared" si="5"/>
        <v>07</v>
      </c>
      <c r="E126" t="s">
        <v>547</v>
      </c>
      <c r="F126" t="s">
        <v>80</v>
      </c>
      <c r="G126" t="s">
        <v>81</v>
      </c>
      <c r="H126" s="4" t="s">
        <v>2256</v>
      </c>
      <c r="I126">
        <v>128625</v>
      </c>
      <c r="J126" s="8" t="s">
        <v>30</v>
      </c>
      <c r="K126" t="s">
        <v>548</v>
      </c>
      <c r="L126" t="s">
        <v>549</v>
      </c>
      <c r="M126" t="s">
        <v>55</v>
      </c>
      <c r="N126">
        <f t="shared" si="6"/>
        <v>5</v>
      </c>
      <c r="O126">
        <v>2</v>
      </c>
      <c r="P126" s="6">
        <v>92.94</v>
      </c>
      <c r="Q126">
        <v>9.2899999999999991</v>
      </c>
      <c r="R126">
        <v>176.59</v>
      </c>
      <c r="S126">
        <v>8.83</v>
      </c>
      <c r="T126">
        <v>20</v>
      </c>
      <c r="U126">
        <v>20</v>
      </c>
      <c r="V126">
        <v>225.42</v>
      </c>
      <c r="W126" t="s">
        <v>27</v>
      </c>
      <c r="X126">
        <v>32</v>
      </c>
    </row>
    <row r="127" spans="1:24" ht="14.25" customHeight="1">
      <c r="A127" t="s">
        <v>550</v>
      </c>
      <c r="B127" t="s">
        <v>2299</v>
      </c>
      <c r="C127" s="6" t="str">
        <f t="shared" si="4"/>
        <v>January</v>
      </c>
      <c r="D127" s="6" t="str">
        <f t="shared" si="5"/>
        <v>09</v>
      </c>
      <c r="E127" t="s">
        <v>551</v>
      </c>
      <c r="F127" t="s">
        <v>101</v>
      </c>
      <c r="G127" t="s">
        <v>81</v>
      </c>
      <c r="H127" s="4" t="s">
        <v>2256</v>
      </c>
      <c r="I127">
        <v>996880</v>
      </c>
      <c r="J127" s="8" t="s">
        <v>2346</v>
      </c>
      <c r="K127" t="s">
        <v>552</v>
      </c>
      <c r="L127" t="s">
        <v>553</v>
      </c>
      <c r="M127" t="s">
        <v>22</v>
      </c>
      <c r="N127">
        <f t="shared" si="6"/>
        <v>6</v>
      </c>
      <c r="O127">
        <v>2</v>
      </c>
      <c r="P127" s="6">
        <v>84.67</v>
      </c>
      <c r="Q127">
        <v>0</v>
      </c>
      <c r="R127">
        <v>169.34</v>
      </c>
      <c r="S127">
        <v>8.4700000000000006</v>
      </c>
      <c r="T127">
        <v>20</v>
      </c>
      <c r="U127">
        <v>20</v>
      </c>
      <c r="V127">
        <v>217.81</v>
      </c>
      <c r="W127" t="s">
        <v>27</v>
      </c>
      <c r="X127">
        <v>25</v>
      </c>
    </row>
    <row r="128" spans="1:24" ht="14.25" customHeight="1">
      <c r="A128" t="s">
        <v>554</v>
      </c>
      <c r="B128" t="s">
        <v>2273</v>
      </c>
      <c r="C128" s="6" t="str">
        <f t="shared" si="4"/>
        <v>January</v>
      </c>
      <c r="D128" s="6" t="str">
        <f t="shared" si="5"/>
        <v>24</v>
      </c>
      <c r="E128" t="s">
        <v>555</v>
      </c>
      <c r="F128" t="s">
        <v>21</v>
      </c>
      <c r="G128" t="s">
        <v>106</v>
      </c>
      <c r="H128" s="4" t="s">
        <v>2256</v>
      </c>
      <c r="I128">
        <v>894557</v>
      </c>
      <c r="J128" s="8" t="s">
        <v>30</v>
      </c>
      <c r="K128" t="s">
        <v>556</v>
      </c>
      <c r="L128" t="s">
        <v>557</v>
      </c>
      <c r="M128" t="s">
        <v>45</v>
      </c>
      <c r="N128">
        <f t="shared" si="6"/>
        <v>6</v>
      </c>
      <c r="O128">
        <v>4</v>
      </c>
      <c r="P128" s="6">
        <v>140.79</v>
      </c>
      <c r="Q128">
        <v>7.04</v>
      </c>
      <c r="R128">
        <v>556.12</v>
      </c>
      <c r="S128">
        <v>27.81</v>
      </c>
      <c r="T128">
        <v>0</v>
      </c>
      <c r="U128">
        <v>15</v>
      </c>
      <c r="V128">
        <v>598.92999999999995</v>
      </c>
      <c r="W128" t="s">
        <v>27</v>
      </c>
      <c r="X128">
        <v>26</v>
      </c>
    </row>
    <row r="129" spans="1:24" ht="14.25" customHeight="1">
      <c r="A129" t="s">
        <v>558</v>
      </c>
      <c r="B129" t="s">
        <v>2316</v>
      </c>
      <c r="C129" s="6" t="str">
        <f t="shared" si="4"/>
        <v>January</v>
      </c>
      <c r="D129" s="6" t="str">
        <f t="shared" si="5"/>
        <v>01</v>
      </c>
      <c r="E129" t="s">
        <v>559</v>
      </c>
      <c r="F129" t="s">
        <v>21</v>
      </c>
      <c r="G129" t="s">
        <v>22</v>
      </c>
      <c r="H129" s="4" t="s">
        <v>2256</v>
      </c>
      <c r="I129">
        <v>742804</v>
      </c>
      <c r="J129" s="8" t="s">
        <v>2348</v>
      </c>
      <c r="K129" t="s">
        <v>560</v>
      </c>
      <c r="L129" t="s">
        <v>561</v>
      </c>
      <c r="M129" t="s">
        <v>65</v>
      </c>
      <c r="N129">
        <f t="shared" si="6"/>
        <v>6</v>
      </c>
      <c r="O129">
        <v>1</v>
      </c>
      <c r="P129" s="6">
        <v>67.73</v>
      </c>
      <c r="Q129">
        <v>6.77</v>
      </c>
      <c r="R129">
        <v>60.960000000000008</v>
      </c>
      <c r="S129">
        <v>3.05</v>
      </c>
      <c r="T129">
        <v>20</v>
      </c>
      <c r="U129">
        <v>15</v>
      </c>
      <c r="V129">
        <v>99.01</v>
      </c>
      <c r="W129" t="s">
        <v>27</v>
      </c>
      <c r="X129">
        <v>29</v>
      </c>
    </row>
    <row r="130" spans="1:24" ht="14.25" customHeight="1">
      <c r="A130" t="s">
        <v>562</v>
      </c>
      <c r="B130" t="s">
        <v>2280</v>
      </c>
      <c r="C130" s="6" t="str">
        <f t="shared" si="4"/>
        <v>February</v>
      </c>
      <c r="D130" s="6" t="str">
        <f t="shared" si="5"/>
        <v>13</v>
      </c>
      <c r="E130" t="s">
        <v>563</v>
      </c>
      <c r="F130" t="s">
        <v>21</v>
      </c>
      <c r="G130" t="s">
        <v>106</v>
      </c>
      <c r="H130" s="4" t="s">
        <v>2256</v>
      </c>
      <c r="I130">
        <v>619777</v>
      </c>
      <c r="J130" s="8" t="s">
        <v>30</v>
      </c>
      <c r="K130" t="s">
        <v>564</v>
      </c>
      <c r="L130" t="s">
        <v>565</v>
      </c>
      <c r="M130" t="s">
        <v>71</v>
      </c>
      <c r="N130">
        <f t="shared" si="6"/>
        <v>6</v>
      </c>
      <c r="O130">
        <v>5</v>
      </c>
      <c r="P130" s="6">
        <v>57.61</v>
      </c>
      <c r="Q130">
        <v>8.64</v>
      </c>
      <c r="R130">
        <v>279.41000000000003</v>
      </c>
      <c r="S130">
        <v>13.97</v>
      </c>
      <c r="T130">
        <v>20</v>
      </c>
      <c r="U130">
        <v>20</v>
      </c>
      <c r="V130">
        <v>333.38000000000011</v>
      </c>
      <c r="W130" t="s">
        <v>27</v>
      </c>
      <c r="X130">
        <v>17</v>
      </c>
    </row>
    <row r="131" spans="1:24" ht="14.25" customHeight="1">
      <c r="A131" t="s">
        <v>566</v>
      </c>
      <c r="B131" t="s">
        <v>2267</v>
      </c>
      <c r="C131" s="6" t="str">
        <f t="shared" ref="C131:C194" si="7">TEXT(B131,"mmmm")</f>
        <v>January</v>
      </c>
      <c r="D131" s="6" t="str">
        <f t="shared" ref="D131:D194" si="8">TEXT(B131,"dd")</f>
        <v>08</v>
      </c>
      <c r="E131" t="s">
        <v>567</v>
      </c>
      <c r="F131" t="s">
        <v>21</v>
      </c>
      <c r="G131" t="s">
        <v>74</v>
      </c>
      <c r="H131" s="4" t="s">
        <v>2256</v>
      </c>
      <c r="I131">
        <v>983084</v>
      </c>
      <c r="J131" s="8" t="s">
        <v>30</v>
      </c>
      <c r="K131" t="s">
        <v>568</v>
      </c>
      <c r="L131" t="s">
        <v>569</v>
      </c>
      <c r="M131" t="s">
        <v>55</v>
      </c>
      <c r="N131">
        <f t="shared" si="6"/>
        <v>5</v>
      </c>
      <c r="O131">
        <v>4</v>
      </c>
      <c r="P131" s="6">
        <v>136.59</v>
      </c>
      <c r="Q131">
        <v>13.66</v>
      </c>
      <c r="R131">
        <v>532.70000000000005</v>
      </c>
      <c r="S131">
        <v>26.64</v>
      </c>
      <c r="T131">
        <v>10</v>
      </c>
      <c r="U131">
        <v>20</v>
      </c>
      <c r="V131">
        <v>589.34</v>
      </c>
      <c r="W131" t="s">
        <v>27</v>
      </c>
      <c r="X131">
        <v>18</v>
      </c>
    </row>
    <row r="132" spans="1:24" ht="14.25" customHeight="1">
      <c r="A132" t="s">
        <v>570</v>
      </c>
      <c r="B132" t="s">
        <v>2273</v>
      </c>
      <c r="C132" s="6" t="str">
        <f t="shared" si="7"/>
        <v>January</v>
      </c>
      <c r="D132" s="6" t="str">
        <f t="shared" si="8"/>
        <v>24</v>
      </c>
      <c r="E132" t="s">
        <v>571</v>
      </c>
      <c r="F132" t="s">
        <v>21</v>
      </c>
      <c r="G132" t="s">
        <v>37</v>
      </c>
      <c r="H132" s="4" t="s">
        <v>2256</v>
      </c>
      <c r="I132">
        <v>890144</v>
      </c>
      <c r="J132" s="8" t="s">
        <v>2345</v>
      </c>
      <c r="K132" t="s">
        <v>572</v>
      </c>
      <c r="L132" t="s">
        <v>573</v>
      </c>
      <c r="M132" t="s">
        <v>130</v>
      </c>
      <c r="N132">
        <f t="shared" si="6"/>
        <v>7</v>
      </c>
      <c r="O132">
        <v>2</v>
      </c>
      <c r="P132" s="6">
        <v>133.05000000000001</v>
      </c>
      <c r="Q132">
        <v>6.65</v>
      </c>
      <c r="R132">
        <v>259.45</v>
      </c>
      <c r="S132">
        <v>12.97</v>
      </c>
      <c r="T132">
        <v>10</v>
      </c>
      <c r="U132">
        <v>5</v>
      </c>
      <c r="V132">
        <v>287.42000000000007</v>
      </c>
      <c r="W132" t="s">
        <v>27</v>
      </c>
      <c r="X132">
        <v>23</v>
      </c>
    </row>
    <row r="133" spans="1:24" ht="14.25" customHeight="1">
      <c r="A133" t="s">
        <v>574</v>
      </c>
      <c r="B133" t="s">
        <v>2272</v>
      </c>
      <c r="C133" s="6" t="str">
        <f t="shared" si="7"/>
        <v>January</v>
      </c>
      <c r="D133" s="6" t="str">
        <f t="shared" si="8"/>
        <v>11</v>
      </c>
      <c r="E133" t="s">
        <v>575</v>
      </c>
      <c r="F133" t="s">
        <v>21</v>
      </c>
      <c r="G133" t="s">
        <v>106</v>
      </c>
      <c r="H133" s="4" t="s">
        <v>2256</v>
      </c>
      <c r="I133">
        <v>858470</v>
      </c>
      <c r="J133" s="8" t="s">
        <v>2349</v>
      </c>
      <c r="K133" t="s">
        <v>576</v>
      </c>
      <c r="L133" t="s">
        <v>577</v>
      </c>
      <c r="M133" t="s">
        <v>135</v>
      </c>
      <c r="N133">
        <f t="shared" si="6"/>
        <v>9</v>
      </c>
      <c r="O133">
        <v>2</v>
      </c>
      <c r="P133" s="6">
        <v>177.78</v>
      </c>
      <c r="Q133">
        <v>0</v>
      </c>
      <c r="R133">
        <v>355.56</v>
      </c>
      <c r="S133">
        <v>17.78</v>
      </c>
      <c r="T133">
        <v>20</v>
      </c>
      <c r="U133">
        <v>15</v>
      </c>
      <c r="V133">
        <v>408.34</v>
      </c>
      <c r="W133" t="s">
        <v>27</v>
      </c>
      <c r="X133">
        <v>28</v>
      </c>
    </row>
    <row r="134" spans="1:24" ht="14.25" customHeight="1">
      <c r="A134" t="s">
        <v>578</v>
      </c>
      <c r="B134" t="s">
        <v>2294</v>
      </c>
      <c r="C134" s="6" t="str">
        <f t="shared" si="7"/>
        <v>February</v>
      </c>
      <c r="D134" s="6" t="str">
        <f t="shared" si="8"/>
        <v>20</v>
      </c>
      <c r="E134" t="s">
        <v>579</v>
      </c>
      <c r="F134" t="s">
        <v>21</v>
      </c>
      <c r="G134" t="s">
        <v>68</v>
      </c>
      <c r="H134" s="4" t="s">
        <v>2256</v>
      </c>
      <c r="I134">
        <v>990328</v>
      </c>
      <c r="J134" s="8" t="s">
        <v>30</v>
      </c>
      <c r="K134" t="s">
        <v>580</v>
      </c>
      <c r="L134" t="s">
        <v>581</v>
      </c>
      <c r="M134" t="s">
        <v>135</v>
      </c>
      <c r="N134">
        <f t="shared" si="6"/>
        <v>9</v>
      </c>
      <c r="O134">
        <v>5</v>
      </c>
      <c r="P134" s="6">
        <v>191.22</v>
      </c>
      <c r="Q134">
        <v>9.56</v>
      </c>
      <c r="R134">
        <v>946.54000000000008</v>
      </c>
      <c r="S134">
        <v>47.33</v>
      </c>
      <c r="T134">
        <v>20</v>
      </c>
      <c r="U134">
        <v>15</v>
      </c>
      <c r="V134">
        <v>1028.8699999999999</v>
      </c>
      <c r="W134" t="s">
        <v>27</v>
      </c>
      <c r="X134">
        <v>33</v>
      </c>
    </row>
    <row r="135" spans="1:24" ht="14.25" customHeight="1">
      <c r="A135" t="s">
        <v>582</v>
      </c>
      <c r="B135" t="s">
        <v>2307</v>
      </c>
      <c r="C135" s="6" t="str">
        <f t="shared" si="7"/>
        <v>January</v>
      </c>
      <c r="D135" s="6" t="str">
        <f t="shared" si="8"/>
        <v>17</v>
      </c>
      <c r="E135" t="s">
        <v>583</v>
      </c>
      <c r="F135" t="s">
        <v>21</v>
      </c>
      <c r="G135" t="s">
        <v>22</v>
      </c>
      <c r="H135" s="4" t="s">
        <v>2256</v>
      </c>
      <c r="I135">
        <v>553449</v>
      </c>
      <c r="J135" s="8" t="s">
        <v>30</v>
      </c>
      <c r="K135" t="s">
        <v>584</v>
      </c>
      <c r="L135" t="s">
        <v>585</v>
      </c>
      <c r="M135" t="s">
        <v>26</v>
      </c>
      <c r="N135">
        <f t="shared" si="6"/>
        <v>3</v>
      </c>
      <c r="O135">
        <v>6</v>
      </c>
      <c r="P135" s="6">
        <v>180.31</v>
      </c>
      <c r="Q135">
        <v>18.03</v>
      </c>
      <c r="R135">
        <v>1063.83</v>
      </c>
      <c r="S135">
        <v>53.19</v>
      </c>
      <c r="T135">
        <v>30</v>
      </c>
      <c r="U135">
        <v>0</v>
      </c>
      <c r="V135">
        <v>1147.02</v>
      </c>
      <c r="W135" t="s">
        <v>27</v>
      </c>
      <c r="X135">
        <v>22</v>
      </c>
    </row>
    <row r="136" spans="1:24" ht="14.25" customHeight="1">
      <c r="A136" t="s">
        <v>586</v>
      </c>
      <c r="B136" t="s">
        <v>2267</v>
      </c>
      <c r="C136" s="6" t="str">
        <f t="shared" si="7"/>
        <v>January</v>
      </c>
      <c r="D136" s="6" t="str">
        <f t="shared" si="8"/>
        <v>08</v>
      </c>
      <c r="E136" t="s">
        <v>587</v>
      </c>
      <c r="F136" t="s">
        <v>21</v>
      </c>
      <c r="G136" t="s">
        <v>37</v>
      </c>
      <c r="H136" s="4" t="s">
        <v>2256</v>
      </c>
      <c r="I136">
        <v>325049</v>
      </c>
      <c r="J136" s="8" t="s">
        <v>62</v>
      </c>
      <c r="K136" t="s">
        <v>588</v>
      </c>
      <c r="L136" t="s">
        <v>589</v>
      </c>
      <c r="M136" t="s">
        <v>65</v>
      </c>
      <c r="N136">
        <f t="shared" si="6"/>
        <v>6</v>
      </c>
      <c r="O136">
        <v>6</v>
      </c>
      <c r="P136" s="6">
        <v>147.21</v>
      </c>
      <c r="Q136">
        <v>22.08</v>
      </c>
      <c r="R136">
        <v>861.18</v>
      </c>
      <c r="S136">
        <v>43.06</v>
      </c>
      <c r="T136">
        <v>20</v>
      </c>
      <c r="U136">
        <v>5</v>
      </c>
      <c r="V136">
        <v>929.24</v>
      </c>
      <c r="W136" t="s">
        <v>34</v>
      </c>
      <c r="X136">
        <v>25</v>
      </c>
    </row>
    <row r="137" spans="1:24" ht="14.25" customHeight="1">
      <c r="A137" t="s">
        <v>590</v>
      </c>
      <c r="B137" t="s">
        <v>2306</v>
      </c>
      <c r="C137" s="6" t="str">
        <f t="shared" si="7"/>
        <v>February</v>
      </c>
      <c r="D137" s="6" t="str">
        <f t="shared" si="8"/>
        <v>04</v>
      </c>
      <c r="E137" t="s">
        <v>591</v>
      </c>
      <c r="F137" t="s">
        <v>21</v>
      </c>
      <c r="G137" t="s">
        <v>68</v>
      </c>
      <c r="H137" s="4" t="s">
        <v>2256</v>
      </c>
      <c r="I137">
        <v>312781</v>
      </c>
      <c r="J137" s="8" t="s">
        <v>2347</v>
      </c>
      <c r="K137" t="s">
        <v>592</v>
      </c>
      <c r="L137" t="s">
        <v>593</v>
      </c>
      <c r="M137" t="s">
        <v>98</v>
      </c>
      <c r="N137">
        <f t="shared" si="6"/>
        <v>4</v>
      </c>
      <c r="O137">
        <v>1</v>
      </c>
      <c r="P137" s="6">
        <v>63.98</v>
      </c>
      <c r="Q137">
        <v>6.4</v>
      </c>
      <c r="R137">
        <v>57.58</v>
      </c>
      <c r="S137">
        <v>2.88</v>
      </c>
      <c r="T137">
        <v>0</v>
      </c>
      <c r="U137">
        <v>5</v>
      </c>
      <c r="V137">
        <v>65.460000000000008</v>
      </c>
      <c r="W137" t="s">
        <v>27</v>
      </c>
      <c r="X137">
        <v>34</v>
      </c>
    </row>
    <row r="138" spans="1:24" ht="14.25" customHeight="1">
      <c r="A138" t="s">
        <v>594</v>
      </c>
      <c r="B138" t="s">
        <v>2306</v>
      </c>
      <c r="C138" s="6" t="str">
        <f t="shared" si="7"/>
        <v>February</v>
      </c>
      <c r="D138" s="6" t="str">
        <f t="shared" si="8"/>
        <v>04</v>
      </c>
      <c r="E138" t="s">
        <v>595</v>
      </c>
      <c r="F138" t="s">
        <v>21</v>
      </c>
      <c r="G138" t="s">
        <v>74</v>
      </c>
      <c r="H138" s="4" t="s">
        <v>2256</v>
      </c>
      <c r="I138">
        <v>923346</v>
      </c>
      <c r="J138" s="8" t="s">
        <v>2347</v>
      </c>
      <c r="K138" t="s">
        <v>596</v>
      </c>
      <c r="L138" t="s">
        <v>597</v>
      </c>
      <c r="M138" t="s">
        <v>135</v>
      </c>
      <c r="N138">
        <f t="shared" si="6"/>
        <v>9</v>
      </c>
      <c r="O138">
        <v>2</v>
      </c>
      <c r="P138" s="6">
        <v>102.15</v>
      </c>
      <c r="Q138">
        <v>10.220000000000001</v>
      </c>
      <c r="R138">
        <v>194.08</v>
      </c>
      <c r="S138">
        <v>9.6999999999999993</v>
      </c>
      <c r="T138">
        <v>10</v>
      </c>
      <c r="U138">
        <v>5</v>
      </c>
      <c r="V138">
        <v>218.78</v>
      </c>
      <c r="W138" t="s">
        <v>27</v>
      </c>
      <c r="X138">
        <v>38</v>
      </c>
    </row>
    <row r="139" spans="1:24" ht="14.25" customHeight="1">
      <c r="A139" t="s">
        <v>598</v>
      </c>
      <c r="B139" t="s">
        <v>2284</v>
      </c>
      <c r="C139" s="6" t="str">
        <f t="shared" si="7"/>
        <v>February</v>
      </c>
      <c r="D139" s="6" t="str">
        <f t="shared" si="8"/>
        <v>02</v>
      </c>
      <c r="E139" t="s">
        <v>599</v>
      </c>
      <c r="F139" t="s">
        <v>21</v>
      </c>
      <c r="G139" t="s">
        <v>68</v>
      </c>
      <c r="H139" s="4" t="s">
        <v>2256</v>
      </c>
      <c r="I139">
        <v>848013</v>
      </c>
      <c r="J139" s="8" t="s">
        <v>30</v>
      </c>
      <c r="K139" t="s">
        <v>600</v>
      </c>
      <c r="L139" t="s">
        <v>601</v>
      </c>
      <c r="M139" t="s">
        <v>89</v>
      </c>
      <c r="N139">
        <f t="shared" si="6"/>
        <v>7</v>
      </c>
      <c r="O139">
        <v>3</v>
      </c>
      <c r="P139" s="6">
        <v>58.28</v>
      </c>
      <c r="Q139">
        <v>2.91</v>
      </c>
      <c r="R139">
        <v>171.93</v>
      </c>
      <c r="S139">
        <v>8.6</v>
      </c>
      <c r="T139">
        <v>20</v>
      </c>
      <c r="U139">
        <v>0</v>
      </c>
      <c r="V139">
        <v>200.53</v>
      </c>
      <c r="W139" t="s">
        <v>27</v>
      </c>
      <c r="X139">
        <v>36</v>
      </c>
    </row>
    <row r="140" spans="1:24" ht="14.25" customHeight="1">
      <c r="A140" t="s">
        <v>602</v>
      </c>
      <c r="B140" t="s">
        <v>2289</v>
      </c>
      <c r="C140" s="6" t="str">
        <f t="shared" si="7"/>
        <v>February</v>
      </c>
      <c r="D140" s="6" t="str">
        <f t="shared" si="8"/>
        <v>28</v>
      </c>
      <c r="E140" t="s">
        <v>603</v>
      </c>
      <c r="F140" t="s">
        <v>101</v>
      </c>
      <c r="G140" t="s">
        <v>81</v>
      </c>
      <c r="H140" s="4" t="s">
        <v>2256</v>
      </c>
      <c r="I140">
        <v>621863</v>
      </c>
      <c r="J140" s="8" t="s">
        <v>30</v>
      </c>
      <c r="K140" t="s">
        <v>604</v>
      </c>
      <c r="L140" t="s">
        <v>605</v>
      </c>
      <c r="M140" t="s">
        <v>130</v>
      </c>
      <c r="N140">
        <f t="shared" si="6"/>
        <v>7</v>
      </c>
      <c r="O140">
        <v>1</v>
      </c>
      <c r="P140" s="6">
        <v>1.17</v>
      </c>
      <c r="Q140">
        <v>0</v>
      </c>
      <c r="R140">
        <v>1.17</v>
      </c>
      <c r="S140">
        <v>0.06</v>
      </c>
      <c r="T140">
        <v>0</v>
      </c>
      <c r="U140">
        <v>0</v>
      </c>
      <c r="V140">
        <v>1.23</v>
      </c>
      <c r="W140" t="s">
        <v>27</v>
      </c>
      <c r="X140">
        <v>35</v>
      </c>
    </row>
    <row r="141" spans="1:24" ht="14.25" customHeight="1">
      <c r="A141" t="s">
        <v>606</v>
      </c>
      <c r="B141" t="s">
        <v>2317</v>
      </c>
      <c r="C141" s="6" t="str">
        <f t="shared" si="7"/>
        <v>January</v>
      </c>
      <c r="D141" s="6" t="str">
        <f t="shared" si="8"/>
        <v>05</v>
      </c>
      <c r="E141" t="s">
        <v>607</v>
      </c>
      <c r="F141" t="s">
        <v>21</v>
      </c>
      <c r="G141" t="s">
        <v>68</v>
      </c>
      <c r="H141" s="4" t="s">
        <v>2256</v>
      </c>
      <c r="I141">
        <v>855801</v>
      </c>
      <c r="J141" s="8" t="s">
        <v>30</v>
      </c>
      <c r="K141" t="s">
        <v>608</v>
      </c>
      <c r="L141" t="s">
        <v>609</v>
      </c>
      <c r="M141" t="s">
        <v>40</v>
      </c>
      <c r="N141">
        <f t="shared" ref="N141:N204" si="9">LEN(M141)</f>
        <v>6</v>
      </c>
      <c r="O141">
        <v>5</v>
      </c>
      <c r="P141" s="6">
        <v>254.77</v>
      </c>
      <c r="Q141">
        <v>12.74</v>
      </c>
      <c r="R141">
        <v>1261.1099999999999</v>
      </c>
      <c r="S141">
        <v>63.06</v>
      </c>
      <c r="T141">
        <v>20</v>
      </c>
      <c r="U141">
        <v>20</v>
      </c>
      <c r="V141">
        <v>1364.17</v>
      </c>
      <c r="W141" t="s">
        <v>27</v>
      </c>
      <c r="X141">
        <v>41</v>
      </c>
    </row>
    <row r="142" spans="1:24" ht="14.25" customHeight="1">
      <c r="A142" t="s">
        <v>610</v>
      </c>
      <c r="B142" t="s">
        <v>2290</v>
      </c>
      <c r="C142" s="6" t="str">
        <f t="shared" si="7"/>
        <v>February</v>
      </c>
      <c r="D142" s="6" t="str">
        <f t="shared" si="8"/>
        <v>11</v>
      </c>
      <c r="E142" t="s">
        <v>611</v>
      </c>
      <c r="F142" t="s">
        <v>80</v>
      </c>
      <c r="G142" t="s">
        <v>81</v>
      </c>
      <c r="H142" s="4" t="s">
        <v>2256</v>
      </c>
      <c r="I142">
        <v>275211</v>
      </c>
      <c r="J142" s="8" t="s">
        <v>2346</v>
      </c>
      <c r="K142" t="s">
        <v>612</v>
      </c>
      <c r="L142" t="s">
        <v>613</v>
      </c>
      <c r="M142" t="s">
        <v>55</v>
      </c>
      <c r="N142">
        <f t="shared" si="9"/>
        <v>5</v>
      </c>
      <c r="O142">
        <v>5</v>
      </c>
      <c r="P142" s="6">
        <v>120.17</v>
      </c>
      <c r="Q142">
        <v>6.01</v>
      </c>
      <c r="R142">
        <v>594.84</v>
      </c>
      <c r="S142">
        <v>29.74</v>
      </c>
      <c r="T142">
        <v>10</v>
      </c>
      <c r="U142">
        <v>15</v>
      </c>
      <c r="V142">
        <v>649.58000000000004</v>
      </c>
      <c r="W142" t="s">
        <v>27</v>
      </c>
      <c r="X142">
        <v>41</v>
      </c>
    </row>
    <row r="143" spans="1:24" ht="14.25" customHeight="1">
      <c r="A143" t="s">
        <v>614</v>
      </c>
      <c r="B143" t="s">
        <v>2262</v>
      </c>
      <c r="C143" s="6" t="str">
        <f t="shared" si="7"/>
        <v>February</v>
      </c>
      <c r="D143" s="6" t="str">
        <f t="shared" si="8"/>
        <v>08</v>
      </c>
      <c r="E143" t="s">
        <v>615</v>
      </c>
      <c r="F143" t="s">
        <v>21</v>
      </c>
      <c r="G143" t="s">
        <v>37</v>
      </c>
      <c r="H143" s="4" t="s">
        <v>2256</v>
      </c>
      <c r="I143">
        <v>829532</v>
      </c>
      <c r="J143" s="8" t="s">
        <v>2345</v>
      </c>
      <c r="K143" t="s">
        <v>616</v>
      </c>
      <c r="L143" t="s">
        <v>617</v>
      </c>
      <c r="M143" t="s">
        <v>50</v>
      </c>
      <c r="N143">
        <f t="shared" si="9"/>
        <v>5</v>
      </c>
      <c r="O143">
        <v>1</v>
      </c>
      <c r="P143" s="6">
        <v>130.26</v>
      </c>
      <c r="Q143">
        <v>6.51</v>
      </c>
      <c r="R143">
        <v>123.75</v>
      </c>
      <c r="S143">
        <v>6.19</v>
      </c>
      <c r="T143">
        <v>10</v>
      </c>
      <c r="U143">
        <v>0</v>
      </c>
      <c r="V143">
        <v>139.94</v>
      </c>
      <c r="W143" t="s">
        <v>27</v>
      </c>
      <c r="X143">
        <v>38</v>
      </c>
    </row>
    <row r="144" spans="1:24" ht="14.25" customHeight="1">
      <c r="A144" t="s">
        <v>618</v>
      </c>
      <c r="B144" t="s">
        <v>2269</v>
      </c>
      <c r="C144" s="6" t="str">
        <f t="shared" si="7"/>
        <v>February</v>
      </c>
      <c r="D144" s="6" t="str">
        <f t="shared" si="8"/>
        <v>27</v>
      </c>
      <c r="E144" t="s">
        <v>619</v>
      </c>
      <c r="F144" t="s">
        <v>21</v>
      </c>
      <c r="G144" t="s">
        <v>37</v>
      </c>
      <c r="H144" s="4" t="s">
        <v>2256</v>
      </c>
      <c r="I144">
        <v>957463</v>
      </c>
      <c r="J144" s="8" t="s">
        <v>30</v>
      </c>
      <c r="K144" t="s">
        <v>620</v>
      </c>
      <c r="L144" t="s">
        <v>621</v>
      </c>
      <c r="M144" t="s">
        <v>26</v>
      </c>
      <c r="N144">
        <f t="shared" si="9"/>
        <v>3</v>
      </c>
      <c r="O144">
        <v>4</v>
      </c>
      <c r="P144" s="6">
        <v>104.84</v>
      </c>
      <c r="Q144">
        <v>5.24</v>
      </c>
      <c r="R144">
        <v>414.12</v>
      </c>
      <c r="S144">
        <v>20.71</v>
      </c>
      <c r="T144">
        <v>20</v>
      </c>
      <c r="U144">
        <v>10</v>
      </c>
      <c r="V144">
        <v>464.83</v>
      </c>
      <c r="W144" t="s">
        <v>27</v>
      </c>
      <c r="X144">
        <v>28</v>
      </c>
    </row>
    <row r="145" spans="1:24" ht="14.25" customHeight="1">
      <c r="A145" t="s">
        <v>622</v>
      </c>
      <c r="B145" t="s">
        <v>2315</v>
      </c>
      <c r="C145" s="6" t="str">
        <f t="shared" si="7"/>
        <v>February</v>
      </c>
      <c r="D145" s="6" t="str">
        <f t="shared" si="8"/>
        <v>10</v>
      </c>
      <c r="E145" t="s">
        <v>623</v>
      </c>
      <c r="F145" t="s">
        <v>21</v>
      </c>
      <c r="G145" t="s">
        <v>74</v>
      </c>
      <c r="H145" s="4" t="s">
        <v>2256</v>
      </c>
      <c r="I145">
        <v>844149</v>
      </c>
      <c r="J145" s="8" t="s">
        <v>2346</v>
      </c>
      <c r="K145" t="s">
        <v>624</v>
      </c>
      <c r="L145" t="s">
        <v>625</v>
      </c>
      <c r="M145" t="s">
        <v>33</v>
      </c>
      <c r="N145">
        <f t="shared" si="9"/>
        <v>10</v>
      </c>
      <c r="O145">
        <v>1</v>
      </c>
      <c r="P145" s="6">
        <v>103.16</v>
      </c>
      <c r="Q145">
        <v>10.32</v>
      </c>
      <c r="R145">
        <v>92.84</v>
      </c>
      <c r="S145">
        <v>4.6399999999999997</v>
      </c>
      <c r="T145">
        <v>0</v>
      </c>
      <c r="U145">
        <v>0</v>
      </c>
      <c r="V145">
        <v>97.48</v>
      </c>
      <c r="W145" t="s">
        <v>27</v>
      </c>
      <c r="X145">
        <v>29</v>
      </c>
    </row>
    <row r="146" spans="1:24" ht="14.25" customHeight="1">
      <c r="A146" t="s">
        <v>626</v>
      </c>
      <c r="B146" t="s">
        <v>2291</v>
      </c>
      <c r="C146" s="6" t="str">
        <f t="shared" si="7"/>
        <v>January</v>
      </c>
      <c r="D146" s="6" t="str">
        <f t="shared" si="8"/>
        <v>28</v>
      </c>
      <c r="E146" t="s">
        <v>627</v>
      </c>
      <c r="F146" t="s">
        <v>21</v>
      </c>
      <c r="G146" t="s">
        <v>74</v>
      </c>
      <c r="H146" s="4" t="s">
        <v>2256</v>
      </c>
      <c r="I146">
        <v>706217</v>
      </c>
      <c r="J146" s="8" t="s">
        <v>2345</v>
      </c>
      <c r="K146" t="s">
        <v>628</v>
      </c>
      <c r="L146" t="s">
        <v>629</v>
      </c>
      <c r="M146" t="s">
        <v>135</v>
      </c>
      <c r="N146">
        <f t="shared" si="9"/>
        <v>9</v>
      </c>
      <c r="O146">
        <v>7</v>
      </c>
      <c r="P146" s="6">
        <v>178.25</v>
      </c>
      <c r="Q146">
        <v>17.82</v>
      </c>
      <c r="R146">
        <v>1229.93</v>
      </c>
      <c r="S146">
        <v>61.5</v>
      </c>
      <c r="T146">
        <v>10</v>
      </c>
      <c r="U146">
        <v>5</v>
      </c>
      <c r="V146">
        <v>1306.43</v>
      </c>
      <c r="W146" t="s">
        <v>27</v>
      </c>
      <c r="X146">
        <v>18</v>
      </c>
    </row>
    <row r="147" spans="1:24" ht="14.25" customHeight="1">
      <c r="A147" t="s">
        <v>630</v>
      </c>
      <c r="B147" t="s">
        <v>2298</v>
      </c>
      <c r="C147" s="6" t="str">
        <f t="shared" si="7"/>
        <v>January</v>
      </c>
      <c r="D147" s="6" t="str">
        <f t="shared" si="8"/>
        <v>07</v>
      </c>
      <c r="E147" t="s">
        <v>631</v>
      </c>
      <c r="F147" t="s">
        <v>21</v>
      </c>
      <c r="G147" t="s">
        <v>68</v>
      </c>
      <c r="H147" s="4" t="s">
        <v>2256</v>
      </c>
      <c r="I147">
        <v>332601</v>
      </c>
      <c r="J147" s="8" t="s">
        <v>2349</v>
      </c>
      <c r="K147" t="s">
        <v>632</v>
      </c>
      <c r="L147" t="s">
        <v>633</v>
      </c>
      <c r="M147" t="s">
        <v>50</v>
      </c>
      <c r="N147">
        <f t="shared" si="9"/>
        <v>5</v>
      </c>
      <c r="O147">
        <v>4</v>
      </c>
      <c r="P147" s="6">
        <v>25.77</v>
      </c>
      <c r="Q147">
        <v>2.58</v>
      </c>
      <c r="R147">
        <v>100.5</v>
      </c>
      <c r="S147">
        <v>5.03</v>
      </c>
      <c r="T147">
        <v>20</v>
      </c>
      <c r="U147">
        <v>10</v>
      </c>
      <c r="V147">
        <v>135.53</v>
      </c>
      <c r="W147" t="s">
        <v>27</v>
      </c>
      <c r="X147">
        <v>28</v>
      </c>
    </row>
    <row r="148" spans="1:24" ht="14.25" customHeight="1">
      <c r="A148" t="s">
        <v>634</v>
      </c>
      <c r="B148" t="s">
        <v>2299</v>
      </c>
      <c r="C148" s="6" t="str">
        <f t="shared" si="7"/>
        <v>January</v>
      </c>
      <c r="D148" s="6" t="str">
        <f t="shared" si="8"/>
        <v>09</v>
      </c>
      <c r="E148" t="s">
        <v>635</v>
      </c>
      <c r="F148" t="s">
        <v>80</v>
      </c>
      <c r="G148" t="s">
        <v>81</v>
      </c>
      <c r="H148" s="4" t="s">
        <v>2256</v>
      </c>
      <c r="I148">
        <v>549042</v>
      </c>
      <c r="J148" s="8" t="s">
        <v>2346</v>
      </c>
      <c r="K148" t="s">
        <v>636</v>
      </c>
      <c r="L148" t="s">
        <v>637</v>
      </c>
      <c r="M148" t="s">
        <v>45</v>
      </c>
      <c r="N148">
        <f t="shared" si="9"/>
        <v>6</v>
      </c>
      <c r="O148">
        <v>2</v>
      </c>
      <c r="P148" s="6">
        <v>111.94</v>
      </c>
      <c r="Q148">
        <v>16.79</v>
      </c>
      <c r="R148">
        <v>207.09</v>
      </c>
      <c r="S148">
        <v>10.35</v>
      </c>
      <c r="T148">
        <v>30</v>
      </c>
      <c r="U148">
        <v>20</v>
      </c>
      <c r="V148">
        <v>267.44</v>
      </c>
      <c r="W148" t="s">
        <v>27</v>
      </c>
      <c r="X148">
        <v>23</v>
      </c>
    </row>
    <row r="149" spans="1:24" ht="14.25" customHeight="1">
      <c r="A149" t="s">
        <v>638</v>
      </c>
      <c r="B149" t="s">
        <v>2267</v>
      </c>
      <c r="C149" s="6" t="str">
        <f t="shared" si="7"/>
        <v>January</v>
      </c>
      <c r="D149" s="6" t="str">
        <f t="shared" si="8"/>
        <v>08</v>
      </c>
      <c r="E149" t="s">
        <v>639</v>
      </c>
      <c r="F149" t="s">
        <v>21</v>
      </c>
      <c r="G149" t="s">
        <v>37</v>
      </c>
      <c r="H149" s="4" t="s">
        <v>2256</v>
      </c>
      <c r="I149">
        <v>561792</v>
      </c>
      <c r="J149" s="8" t="s">
        <v>2347</v>
      </c>
      <c r="K149" t="s">
        <v>640</v>
      </c>
      <c r="L149" t="s">
        <v>641</v>
      </c>
      <c r="M149" t="s">
        <v>98</v>
      </c>
      <c r="N149">
        <f t="shared" si="9"/>
        <v>4</v>
      </c>
      <c r="O149">
        <v>3</v>
      </c>
      <c r="P149" s="6">
        <v>39.96</v>
      </c>
      <c r="Q149">
        <v>0</v>
      </c>
      <c r="R149">
        <v>119.88</v>
      </c>
      <c r="S149">
        <v>5.99</v>
      </c>
      <c r="T149">
        <v>30</v>
      </c>
      <c r="U149">
        <v>20</v>
      </c>
      <c r="V149">
        <v>175.87</v>
      </c>
      <c r="W149" t="s">
        <v>27</v>
      </c>
      <c r="X149">
        <v>34</v>
      </c>
    </row>
    <row r="150" spans="1:24" ht="14.25" customHeight="1">
      <c r="A150" t="s">
        <v>642</v>
      </c>
      <c r="B150" t="s">
        <v>2285</v>
      </c>
      <c r="C150" s="6" t="str">
        <f t="shared" si="7"/>
        <v>January</v>
      </c>
      <c r="D150" s="6" t="str">
        <f t="shared" si="8"/>
        <v>12</v>
      </c>
      <c r="E150" t="s">
        <v>643</v>
      </c>
      <c r="F150" t="s">
        <v>21</v>
      </c>
      <c r="G150" t="s">
        <v>37</v>
      </c>
      <c r="H150" s="4" t="s">
        <v>2256</v>
      </c>
      <c r="I150">
        <v>346242</v>
      </c>
      <c r="J150" s="8" t="s">
        <v>2348</v>
      </c>
      <c r="K150" t="s">
        <v>644</v>
      </c>
      <c r="L150" t="s">
        <v>645</v>
      </c>
      <c r="M150" t="s">
        <v>33</v>
      </c>
      <c r="N150">
        <f t="shared" si="9"/>
        <v>10</v>
      </c>
      <c r="O150">
        <v>1</v>
      </c>
      <c r="P150" s="6">
        <v>203.84</v>
      </c>
      <c r="Q150">
        <v>20.38</v>
      </c>
      <c r="R150">
        <v>183.46</v>
      </c>
      <c r="S150">
        <v>9.17</v>
      </c>
      <c r="T150">
        <v>20</v>
      </c>
      <c r="U150">
        <v>10</v>
      </c>
      <c r="V150">
        <v>222.63</v>
      </c>
      <c r="W150" t="s">
        <v>27</v>
      </c>
      <c r="X150">
        <v>24</v>
      </c>
    </row>
    <row r="151" spans="1:24" ht="14.25" customHeight="1">
      <c r="A151" t="s">
        <v>646</v>
      </c>
      <c r="B151" t="s">
        <v>2310</v>
      </c>
      <c r="C151" s="6" t="str">
        <f t="shared" si="7"/>
        <v>February</v>
      </c>
      <c r="D151" s="6" t="str">
        <f t="shared" si="8"/>
        <v>03</v>
      </c>
      <c r="E151" t="s">
        <v>647</v>
      </c>
      <c r="F151" t="s">
        <v>21</v>
      </c>
      <c r="G151" t="s">
        <v>106</v>
      </c>
      <c r="H151" s="4" t="s">
        <v>2256</v>
      </c>
      <c r="I151">
        <v>385855</v>
      </c>
      <c r="J151" s="8" t="s">
        <v>30</v>
      </c>
      <c r="K151" t="s">
        <v>648</v>
      </c>
      <c r="L151" t="s">
        <v>649</v>
      </c>
      <c r="M151" t="s">
        <v>135</v>
      </c>
      <c r="N151">
        <f t="shared" si="9"/>
        <v>9</v>
      </c>
      <c r="O151">
        <v>1</v>
      </c>
      <c r="P151" s="6">
        <v>124.11</v>
      </c>
      <c r="Q151">
        <v>12.41</v>
      </c>
      <c r="R151">
        <v>111.7</v>
      </c>
      <c r="S151">
        <v>5.59</v>
      </c>
      <c r="T151">
        <v>30</v>
      </c>
      <c r="U151">
        <v>20</v>
      </c>
      <c r="V151">
        <v>167.29</v>
      </c>
      <c r="W151" t="s">
        <v>27</v>
      </c>
      <c r="X151">
        <v>37</v>
      </c>
    </row>
    <row r="152" spans="1:24" ht="14.25" customHeight="1">
      <c r="A152" t="s">
        <v>650</v>
      </c>
      <c r="B152" t="s">
        <v>2284</v>
      </c>
      <c r="C152" s="6" t="str">
        <f t="shared" si="7"/>
        <v>February</v>
      </c>
      <c r="D152" s="6" t="str">
        <f t="shared" si="8"/>
        <v>02</v>
      </c>
      <c r="E152" t="s">
        <v>651</v>
      </c>
      <c r="F152" t="s">
        <v>21</v>
      </c>
      <c r="G152" t="s">
        <v>74</v>
      </c>
      <c r="H152" s="4" t="s">
        <v>2256</v>
      </c>
      <c r="I152">
        <v>551000</v>
      </c>
      <c r="J152" s="8" t="s">
        <v>2349</v>
      </c>
      <c r="K152" t="s">
        <v>652</v>
      </c>
      <c r="L152" t="s">
        <v>653</v>
      </c>
      <c r="M152" t="s">
        <v>45</v>
      </c>
      <c r="N152">
        <f t="shared" si="9"/>
        <v>6</v>
      </c>
      <c r="O152">
        <v>3</v>
      </c>
      <c r="P152" s="6">
        <v>199.52</v>
      </c>
      <c r="Q152">
        <v>0</v>
      </c>
      <c r="R152">
        <v>598.56000000000006</v>
      </c>
      <c r="S152">
        <v>29.93</v>
      </c>
      <c r="T152">
        <v>10</v>
      </c>
      <c r="U152">
        <v>15</v>
      </c>
      <c r="V152">
        <v>653.49</v>
      </c>
      <c r="W152" t="s">
        <v>27</v>
      </c>
      <c r="X152">
        <v>29</v>
      </c>
    </row>
    <row r="153" spans="1:24" ht="14.25" customHeight="1">
      <c r="A153" t="s">
        <v>654</v>
      </c>
      <c r="B153" t="s">
        <v>2313</v>
      </c>
      <c r="C153" s="6" t="str">
        <f t="shared" si="7"/>
        <v>February</v>
      </c>
      <c r="D153" s="6" t="str">
        <f t="shared" si="8"/>
        <v>17</v>
      </c>
      <c r="E153" t="s">
        <v>655</v>
      </c>
      <c r="F153" t="s">
        <v>80</v>
      </c>
      <c r="G153" t="s">
        <v>81</v>
      </c>
      <c r="H153" s="4" t="s">
        <v>2256</v>
      </c>
      <c r="I153">
        <v>486601</v>
      </c>
      <c r="J153" s="8" t="s">
        <v>2349</v>
      </c>
      <c r="K153" t="s">
        <v>656</v>
      </c>
      <c r="L153" t="s">
        <v>657</v>
      </c>
      <c r="M153" t="s">
        <v>89</v>
      </c>
      <c r="N153">
        <f t="shared" si="9"/>
        <v>7</v>
      </c>
      <c r="O153">
        <v>2</v>
      </c>
      <c r="P153" s="6">
        <v>55.11</v>
      </c>
      <c r="Q153">
        <v>8.27</v>
      </c>
      <c r="R153">
        <v>101.95</v>
      </c>
      <c r="S153">
        <v>5.0999999999999996</v>
      </c>
      <c r="T153">
        <v>10</v>
      </c>
      <c r="U153">
        <v>0</v>
      </c>
      <c r="V153">
        <v>117.05</v>
      </c>
      <c r="W153" t="s">
        <v>27</v>
      </c>
      <c r="X153">
        <v>22</v>
      </c>
    </row>
    <row r="154" spans="1:24" ht="14.25" customHeight="1">
      <c r="A154" t="s">
        <v>658</v>
      </c>
      <c r="B154" t="s">
        <v>2295</v>
      </c>
      <c r="C154" s="6" t="str">
        <f t="shared" si="7"/>
        <v>February</v>
      </c>
      <c r="D154" s="6" t="str">
        <f t="shared" si="8"/>
        <v>24</v>
      </c>
      <c r="E154" t="s">
        <v>659</v>
      </c>
      <c r="F154" t="s">
        <v>21</v>
      </c>
      <c r="G154" t="s">
        <v>22</v>
      </c>
      <c r="H154" s="4" t="s">
        <v>2256</v>
      </c>
      <c r="I154">
        <v>942186</v>
      </c>
      <c r="J154" s="8" t="s">
        <v>30</v>
      </c>
      <c r="K154" t="s">
        <v>660</v>
      </c>
      <c r="L154" t="s">
        <v>661</v>
      </c>
      <c r="M154" t="s">
        <v>98</v>
      </c>
      <c r="N154">
        <f t="shared" si="9"/>
        <v>4</v>
      </c>
      <c r="O154">
        <v>4</v>
      </c>
      <c r="P154" s="6">
        <v>68.56</v>
      </c>
      <c r="Q154">
        <v>0</v>
      </c>
      <c r="R154">
        <v>274.24</v>
      </c>
      <c r="S154">
        <v>13.71</v>
      </c>
      <c r="T154">
        <v>30</v>
      </c>
      <c r="U154">
        <v>5</v>
      </c>
      <c r="V154">
        <v>322.95</v>
      </c>
      <c r="W154" t="s">
        <v>27</v>
      </c>
      <c r="X154">
        <v>14</v>
      </c>
    </row>
    <row r="155" spans="1:24" ht="14.25" customHeight="1">
      <c r="A155" t="s">
        <v>662</v>
      </c>
      <c r="B155" t="s">
        <v>2271</v>
      </c>
      <c r="C155" s="6" t="str">
        <f t="shared" si="7"/>
        <v>January</v>
      </c>
      <c r="D155" s="6" t="str">
        <f t="shared" si="8"/>
        <v>23</v>
      </c>
      <c r="E155" t="s">
        <v>663</v>
      </c>
      <c r="F155" t="s">
        <v>101</v>
      </c>
      <c r="G155" t="s">
        <v>81</v>
      </c>
      <c r="H155" s="4" t="s">
        <v>2256</v>
      </c>
      <c r="I155">
        <v>216492</v>
      </c>
      <c r="J155" s="8" t="s">
        <v>2345</v>
      </c>
      <c r="K155" t="s">
        <v>664</v>
      </c>
      <c r="L155" t="s">
        <v>665</v>
      </c>
      <c r="M155" t="s">
        <v>40</v>
      </c>
      <c r="N155">
        <f t="shared" si="9"/>
        <v>6</v>
      </c>
      <c r="O155">
        <v>3</v>
      </c>
      <c r="P155" s="6">
        <v>173.54</v>
      </c>
      <c r="Q155">
        <v>26.03</v>
      </c>
      <c r="R155">
        <v>494.59</v>
      </c>
      <c r="S155">
        <v>24.73</v>
      </c>
      <c r="T155">
        <v>10</v>
      </c>
      <c r="U155">
        <v>15</v>
      </c>
      <c r="V155">
        <v>544.32000000000005</v>
      </c>
      <c r="W155" t="s">
        <v>27</v>
      </c>
      <c r="X155">
        <v>27</v>
      </c>
    </row>
    <row r="156" spans="1:24" ht="14.25" customHeight="1">
      <c r="A156" t="s">
        <v>666</v>
      </c>
      <c r="B156" t="s">
        <v>2273</v>
      </c>
      <c r="C156" s="6" t="str">
        <f t="shared" si="7"/>
        <v>January</v>
      </c>
      <c r="D156" s="6" t="str">
        <f t="shared" si="8"/>
        <v>24</v>
      </c>
      <c r="E156" t="s">
        <v>667</v>
      </c>
      <c r="F156" t="s">
        <v>21</v>
      </c>
      <c r="G156" t="s">
        <v>22</v>
      </c>
      <c r="H156" s="4" t="s">
        <v>2256</v>
      </c>
      <c r="I156">
        <v>561227</v>
      </c>
      <c r="J156" s="8" t="s">
        <v>2347</v>
      </c>
      <c r="K156" t="s">
        <v>668</v>
      </c>
      <c r="L156" t="s">
        <v>669</v>
      </c>
      <c r="M156" t="s">
        <v>33</v>
      </c>
      <c r="N156">
        <f t="shared" si="9"/>
        <v>10</v>
      </c>
      <c r="O156">
        <v>1</v>
      </c>
      <c r="P156" s="6">
        <v>51.47</v>
      </c>
      <c r="Q156">
        <v>2.57</v>
      </c>
      <c r="R156">
        <v>48.9</v>
      </c>
      <c r="S156">
        <v>2.4500000000000002</v>
      </c>
      <c r="T156">
        <v>0</v>
      </c>
      <c r="U156">
        <v>0</v>
      </c>
      <c r="V156">
        <v>51.35</v>
      </c>
      <c r="W156" t="s">
        <v>27</v>
      </c>
      <c r="X156">
        <v>22</v>
      </c>
    </row>
    <row r="157" spans="1:24" ht="14.25" customHeight="1">
      <c r="A157" t="s">
        <v>670</v>
      </c>
      <c r="B157" t="s">
        <v>2297</v>
      </c>
      <c r="C157" s="6" t="str">
        <f t="shared" si="7"/>
        <v>February</v>
      </c>
      <c r="D157" s="6" t="str">
        <f t="shared" si="8"/>
        <v>06</v>
      </c>
      <c r="E157" t="s">
        <v>671</v>
      </c>
      <c r="F157" t="s">
        <v>21</v>
      </c>
      <c r="G157" t="s">
        <v>106</v>
      </c>
      <c r="H157" s="4" t="s">
        <v>2256</v>
      </c>
      <c r="I157">
        <v>599499</v>
      </c>
      <c r="J157" s="8" t="s">
        <v>2349</v>
      </c>
      <c r="K157" t="s">
        <v>672</v>
      </c>
      <c r="L157" t="s">
        <v>673</v>
      </c>
      <c r="M157" t="s">
        <v>33</v>
      </c>
      <c r="N157">
        <f t="shared" si="9"/>
        <v>10</v>
      </c>
      <c r="O157">
        <v>2</v>
      </c>
      <c r="P157" s="6">
        <v>185.6</v>
      </c>
      <c r="Q157">
        <v>9.2799999999999994</v>
      </c>
      <c r="R157">
        <v>361.92</v>
      </c>
      <c r="S157">
        <v>18.100000000000001</v>
      </c>
      <c r="T157">
        <v>30</v>
      </c>
      <c r="U157">
        <v>20</v>
      </c>
      <c r="V157">
        <v>430.02</v>
      </c>
      <c r="W157" t="s">
        <v>27</v>
      </c>
      <c r="X157">
        <v>37</v>
      </c>
    </row>
    <row r="158" spans="1:24" ht="14.25" customHeight="1">
      <c r="A158" t="s">
        <v>674</v>
      </c>
      <c r="B158" t="s">
        <v>2306</v>
      </c>
      <c r="C158" s="6" t="str">
        <f t="shared" si="7"/>
        <v>February</v>
      </c>
      <c r="D158" s="6" t="str">
        <f t="shared" si="8"/>
        <v>04</v>
      </c>
      <c r="E158" t="s">
        <v>675</v>
      </c>
      <c r="F158" t="s">
        <v>21</v>
      </c>
      <c r="G158" t="s">
        <v>37</v>
      </c>
      <c r="H158" s="4" t="s">
        <v>2256</v>
      </c>
      <c r="I158">
        <v>498465</v>
      </c>
      <c r="J158" s="8" t="s">
        <v>30</v>
      </c>
      <c r="K158" t="s">
        <v>676</v>
      </c>
      <c r="L158" t="s">
        <v>677</v>
      </c>
      <c r="M158" t="s">
        <v>89</v>
      </c>
      <c r="N158">
        <f t="shared" si="9"/>
        <v>7</v>
      </c>
      <c r="O158">
        <v>6</v>
      </c>
      <c r="P158" s="6">
        <v>40.409999999999997</v>
      </c>
      <c r="Q158">
        <v>0</v>
      </c>
      <c r="R158">
        <v>242.46</v>
      </c>
      <c r="S158">
        <v>12.12</v>
      </c>
      <c r="T158">
        <v>30</v>
      </c>
      <c r="U158">
        <v>10</v>
      </c>
      <c r="V158">
        <v>294.58</v>
      </c>
      <c r="W158" t="s">
        <v>27</v>
      </c>
      <c r="X158">
        <v>32</v>
      </c>
    </row>
    <row r="159" spans="1:24" ht="14.25" customHeight="1">
      <c r="A159" t="s">
        <v>678</v>
      </c>
      <c r="B159" t="s">
        <v>2280</v>
      </c>
      <c r="C159" s="6" t="str">
        <f t="shared" si="7"/>
        <v>February</v>
      </c>
      <c r="D159" s="6" t="str">
        <f t="shared" si="8"/>
        <v>13</v>
      </c>
      <c r="E159" t="s">
        <v>679</v>
      </c>
      <c r="F159" t="s">
        <v>21</v>
      </c>
      <c r="G159" t="s">
        <v>68</v>
      </c>
      <c r="H159" s="4" t="s">
        <v>2256</v>
      </c>
      <c r="I159">
        <v>415507</v>
      </c>
      <c r="J159" s="8" t="s">
        <v>30</v>
      </c>
      <c r="K159" t="s">
        <v>680</v>
      </c>
      <c r="L159" t="s">
        <v>681</v>
      </c>
      <c r="M159" t="s">
        <v>130</v>
      </c>
      <c r="N159">
        <f t="shared" si="9"/>
        <v>7</v>
      </c>
      <c r="O159">
        <v>3</v>
      </c>
      <c r="P159" s="6">
        <v>119.87</v>
      </c>
      <c r="Q159">
        <v>0</v>
      </c>
      <c r="R159">
        <v>359.61</v>
      </c>
      <c r="S159">
        <v>17.98</v>
      </c>
      <c r="T159">
        <v>0</v>
      </c>
      <c r="U159">
        <v>10</v>
      </c>
      <c r="V159">
        <v>387.59</v>
      </c>
      <c r="W159" t="s">
        <v>27</v>
      </c>
      <c r="X159">
        <v>41</v>
      </c>
    </row>
    <row r="160" spans="1:24" ht="14.25" customHeight="1">
      <c r="A160" t="s">
        <v>682</v>
      </c>
      <c r="B160" t="s">
        <v>2276</v>
      </c>
      <c r="C160" s="6" t="str">
        <f t="shared" si="7"/>
        <v>February</v>
      </c>
      <c r="D160" s="6" t="str">
        <f t="shared" si="8"/>
        <v>09</v>
      </c>
      <c r="E160" t="s">
        <v>683</v>
      </c>
      <c r="F160" t="s">
        <v>21</v>
      </c>
      <c r="G160" t="s">
        <v>74</v>
      </c>
      <c r="H160" s="4" t="s">
        <v>2256</v>
      </c>
      <c r="I160">
        <v>142828</v>
      </c>
      <c r="J160" s="8" t="s">
        <v>2346</v>
      </c>
      <c r="K160" t="s">
        <v>684</v>
      </c>
      <c r="L160" t="s">
        <v>685</v>
      </c>
      <c r="M160" t="s">
        <v>50</v>
      </c>
      <c r="N160">
        <f t="shared" si="9"/>
        <v>5</v>
      </c>
      <c r="O160">
        <v>4</v>
      </c>
      <c r="P160" s="6">
        <v>220.66</v>
      </c>
      <c r="Q160">
        <v>33.1</v>
      </c>
      <c r="R160">
        <v>849.54</v>
      </c>
      <c r="S160">
        <v>42.48</v>
      </c>
      <c r="T160">
        <v>20</v>
      </c>
      <c r="U160">
        <v>15</v>
      </c>
      <c r="V160">
        <v>927.02</v>
      </c>
      <c r="W160" t="s">
        <v>27</v>
      </c>
      <c r="X160">
        <v>19</v>
      </c>
    </row>
    <row r="161" spans="1:24" ht="14.25" customHeight="1">
      <c r="A161" t="s">
        <v>686</v>
      </c>
      <c r="B161" t="s">
        <v>2278</v>
      </c>
      <c r="C161" s="6" t="str">
        <f t="shared" si="7"/>
        <v>January</v>
      </c>
      <c r="D161" s="6" t="str">
        <f t="shared" si="8"/>
        <v>22</v>
      </c>
      <c r="E161" t="s">
        <v>687</v>
      </c>
      <c r="F161" t="s">
        <v>21</v>
      </c>
      <c r="G161" t="s">
        <v>22</v>
      </c>
      <c r="H161" s="4" t="s">
        <v>2256</v>
      </c>
      <c r="I161">
        <v>886639</v>
      </c>
      <c r="J161" s="8" t="s">
        <v>62</v>
      </c>
      <c r="K161" t="s">
        <v>688</v>
      </c>
      <c r="L161" t="s">
        <v>689</v>
      </c>
      <c r="M161" t="s">
        <v>65</v>
      </c>
      <c r="N161">
        <f t="shared" si="9"/>
        <v>6</v>
      </c>
      <c r="O161">
        <v>3</v>
      </c>
      <c r="P161" s="6">
        <v>87.95</v>
      </c>
      <c r="Q161">
        <v>8.7899999999999991</v>
      </c>
      <c r="R161">
        <v>255.06</v>
      </c>
      <c r="S161">
        <v>12.75</v>
      </c>
      <c r="T161">
        <v>30</v>
      </c>
      <c r="U161">
        <v>5</v>
      </c>
      <c r="V161">
        <v>302.81000000000012</v>
      </c>
      <c r="W161" t="s">
        <v>27</v>
      </c>
      <c r="X161">
        <v>26</v>
      </c>
    </row>
    <row r="162" spans="1:24" ht="14.25" customHeight="1">
      <c r="A162" t="s">
        <v>690</v>
      </c>
      <c r="B162" t="s">
        <v>2288</v>
      </c>
      <c r="C162" s="6" t="str">
        <f t="shared" si="7"/>
        <v>January</v>
      </c>
      <c r="D162" s="6" t="str">
        <f t="shared" si="8"/>
        <v>27</v>
      </c>
      <c r="E162" t="s">
        <v>691</v>
      </c>
      <c r="F162" t="s">
        <v>21</v>
      </c>
      <c r="G162" t="s">
        <v>22</v>
      </c>
      <c r="H162" s="4" t="s">
        <v>2256</v>
      </c>
      <c r="I162">
        <v>601643</v>
      </c>
      <c r="J162" s="8" t="s">
        <v>30</v>
      </c>
      <c r="K162" t="s">
        <v>692</v>
      </c>
      <c r="L162" t="s">
        <v>693</v>
      </c>
      <c r="M162" t="s">
        <v>33</v>
      </c>
      <c r="N162">
        <f t="shared" si="9"/>
        <v>10</v>
      </c>
      <c r="O162">
        <v>3</v>
      </c>
      <c r="P162" s="6">
        <v>168.57</v>
      </c>
      <c r="Q162">
        <v>16.86</v>
      </c>
      <c r="R162">
        <v>488.85</v>
      </c>
      <c r="S162">
        <v>24.44</v>
      </c>
      <c r="T162">
        <v>10</v>
      </c>
      <c r="U162">
        <v>20</v>
      </c>
      <c r="V162">
        <v>543.29</v>
      </c>
      <c r="W162" t="s">
        <v>27</v>
      </c>
      <c r="X162">
        <v>11</v>
      </c>
    </row>
    <row r="163" spans="1:24" ht="14.25" customHeight="1">
      <c r="A163" t="s">
        <v>694</v>
      </c>
      <c r="B163" t="s">
        <v>2306</v>
      </c>
      <c r="C163" s="6" t="str">
        <f t="shared" si="7"/>
        <v>February</v>
      </c>
      <c r="D163" s="6" t="str">
        <f t="shared" si="8"/>
        <v>04</v>
      </c>
      <c r="E163" t="s">
        <v>695</v>
      </c>
      <c r="F163" t="s">
        <v>101</v>
      </c>
      <c r="G163" t="s">
        <v>81</v>
      </c>
      <c r="H163" s="4" t="s">
        <v>2256</v>
      </c>
      <c r="I163">
        <v>198540</v>
      </c>
      <c r="J163" s="8" t="s">
        <v>30</v>
      </c>
      <c r="K163" t="s">
        <v>696</v>
      </c>
      <c r="L163" t="s">
        <v>697</v>
      </c>
      <c r="M163" t="s">
        <v>65</v>
      </c>
      <c r="N163">
        <f t="shared" si="9"/>
        <v>6</v>
      </c>
      <c r="O163">
        <v>1</v>
      </c>
      <c r="P163" s="6">
        <v>59.11</v>
      </c>
      <c r="Q163">
        <v>5.91</v>
      </c>
      <c r="R163">
        <v>53.2</v>
      </c>
      <c r="S163">
        <v>2.66</v>
      </c>
      <c r="T163">
        <v>20</v>
      </c>
      <c r="U163">
        <v>10</v>
      </c>
      <c r="V163">
        <v>85.86</v>
      </c>
      <c r="W163" t="s">
        <v>27</v>
      </c>
      <c r="X163">
        <v>36</v>
      </c>
    </row>
    <row r="164" spans="1:24" ht="14.25" customHeight="1">
      <c r="A164" t="s">
        <v>698</v>
      </c>
      <c r="B164" t="s">
        <v>2316</v>
      </c>
      <c r="C164" s="6" t="str">
        <f t="shared" si="7"/>
        <v>January</v>
      </c>
      <c r="D164" s="6" t="str">
        <f t="shared" si="8"/>
        <v>01</v>
      </c>
      <c r="E164" t="s">
        <v>699</v>
      </c>
      <c r="F164" t="s">
        <v>21</v>
      </c>
      <c r="G164" t="s">
        <v>74</v>
      </c>
      <c r="H164" s="4" t="s">
        <v>2256</v>
      </c>
      <c r="I164">
        <v>156273</v>
      </c>
      <c r="J164" s="8" t="s">
        <v>62</v>
      </c>
      <c r="K164" t="s">
        <v>700</v>
      </c>
      <c r="L164" t="s">
        <v>701</v>
      </c>
      <c r="M164" t="s">
        <v>89</v>
      </c>
      <c r="N164">
        <f t="shared" si="9"/>
        <v>7</v>
      </c>
      <c r="O164">
        <v>1</v>
      </c>
      <c r="P164" s="6">
        <v>74.459999999999994</v>
      </c>
      <c r="Q164">
        <v>7.45</v>
      </c>
      <c r="R164">
        <v>67.009999999999991</v>
      </c>
      <c r="S164">
        <v>3.35</v>
      </c>
      <c r="T164">
        <v>0</v>
      </c>
      <c r="U164">
        <v>15</v>
      </c>
      <c r="V164">
        <v>85.359999999999985</v>
      </c>
      <c r="W164" t="s">
        <v>27</v>
      </c>
      <c r="X164">
        <v>25</v>
      </c>
    </row>
    <row r="165" spans="1:24" ht="14.25" customHeight="1">
      <c r="A165" t="s">
        <v>702</v>
      </c>
      <c r="B165" t="s">
        <v>2306</v>
      </c>
      <c r="C165" s="6" t="str">
        <f t="shared" si="7"/>
        <v>February</v>
      </c>
      <c r="D165" s="6" t="str">
        <f t="shared" si="8"/>
        <v>04</v>
      </c>
      <c r="E165" t="s">
        <v>703</v>
      </c>
      <c r="F165" t="s">
        <v>80</v>
      </c>
      <c r="G165" t="s">
        <v>81</v>
      </c>
      <c r="H165" s="4" t="s">
        <v>2256</v>
      </c>
      <c r="I165">
        <v>110699</v>
      </c>
      <c r="J165" s="8" t="s">
        <v>30</v>
      </c>
      <c r="K165" t="s">
        <v>704</v>
      </c>
      <c r="L165" t="s">
        <v>705</v>
      </c>
      <c r="M165" t="s">
        <v>130</v>
      </c>
      <c r="N165">
        <f t="shared" si="9"/>
        <v>7</v>
      </c>
      <c r="O165">
        <v>3</v>
      </c>
      <c r="P165" s="6">
        <v>26.65</v>
      </c>
      <c r="Q165">
        <v>4</v>
      </c>
      <c r="R165">
        <v>75.949999999999989</v>
      </c>
      <c r="S165">
        <v>3.8</v>
      </c>
      <c r="T165">
        <v>10</v>
      </c>
      <c r="U165">
        <v>10</v>
      </c>
      <c r="V165">
        <v>99.749999999999986</v>
      </c>
      <c r="W165" t="s">
        <v>27</v>
      </c>
      <c r="X165">
        <v>41</v>
      </c>
    </row>
    <row r="166" spans="1:24" ht="14.25" customHeight="1">
      <c r="A166" t="s">
        <v>706</v>
      </c>
      <c r="B166" t="s">
        <v>2297</v>
      </c>
      <c r="C166" s="6" t="str">
        <f t="shared" si="7"/>
        <v>February</v>
      </c>
      <c r="D166" s="6" t="str">
        <f t="shared" si="8"/>
        <v>06</v>
      </c>
      <c r="E166" t="s">
        <v>707</v>
      </c>
      <c r="F166" t="s">
        <v>80</v>
      </c>
      <c r="G166" t="s">
        <v>81</v>
      </c>
      <c r="H166" s="4" t="s">
        <v>2256</v>
      </c>
      <c r="I166">
        <v>622988</v>
      </c>
      <c r="J166" s="8" t="s">
        <v>2348</v>
      </c>
      <c r="K166" t="s">
        <v>708</v>
      </c>
      <c r="L166" t="s">
        <v>709</v>
      </c>
      <c r="M166" t="s">
        <v>130</v>
      </c>
      <c r="N166">
        <f t="shared" si="9"/>
        <v>7</v>
      </c>
      <c r="O166">
        <v>4</v>
      </c>
      <c r="P166" s="6">
        <v>49.64</v>
      </c>
      <c r="Q166">
        <v>2.48</v>
      </c>
      <c r="R166">
        <v>196.08</v>
      </c>
      <c r="S166">
        <v>9.8000000000000007</v>
      </c>
      <c r="T166">
        <v>20</v>
      </c>
      <c r="U166">
        <v>0</v>
      </c>
      <c r="V166">
        <v>225.88</v>
      </c>
      <c r="W166" t="s">
        <v>27</v>
      </c>
      <c r="X166">
        <v>12</v>
      </c>
    </row>
    <row r="167" spans="1:24" ht="14.25" customHeight="1">
      <c r="A167" t="s">
        <v>710</v>
      </c>
      <c r="B167" t="s">
        <v>2293</v>
      </c>
      <c r="C167" s="6" t="str">
        <f t="shared" si="7"/>
        <v>February</v>
      </c>
      <c r="D167" s="6" t="str">
        <f t="shared" si="8"/>
        <v>16</v>
      </c>
      <c r="E167" t="s">
        <v>711</v>
      </c>
      <c r="F167" t="s">
        <v>21</v>
      </c>
      <c r="G167" t="s">
        <v>106</v>
      </c>
      <c r="H167" s="4" t="s">
        <v>2256</v>
      </c>
      <c r="I167">
        <v>492136</v>
      </c>
      <c r="J167" s="8" t="s">
        <v>2349</v>
      </c>
      <c r="K167" t="s">
        <v>712</v>
      </c>
      <c r="L167" t="s">
        <v>713</v>
      </c>
      <c r="M167" t="s">
        <v>140</v>
      </c>
      <c r="N167">
        <f t="shared" si="9"/>
        <v>3</v>
      </c>
      <c r="O167">
        <v>6</v>
      </c>
      <c r="P167" s="6">
        <v>145.13999999999999</v>
      </c>
      <c r="Q167">
        <v>7.26</v>
      </c>
      <c r="R167">
        <v>863.57999999999993</v>
      </c>
      <c r="S167">
        <v>43.18</v>
      </c>
      <c r="T167">
        <v>10</v>
      </c>
      <c r="U167">
        <v>20</v>
      </c>
      <c r="V167">
        <v>936.75999999999988</v>
      </c>
      <c r="W167" t="s">
        <v>117</v>
      </c>
      <c r="X167">
        <v>25</v>
      </c>
    </row>
    <row r="168" spans="1:24" ht="14.25" customHeight="1">
      <c r="A168" t="s">
        <v>714</v>
      </c>
      <c r="B168" t="s">
        <v>2302</v>
      </c>
      <c r="C168" s="6" t="str">
        <f t="shared" si="7"/>
        <v>January</v>
      </c>
      <c r="D168" s="6" t="str">
        <f t="shared" si="8"/>
        <v>14</v>
      </c>
      <c r="E168" t="s">
        <v>715</v>
      </c>
      <c r="F168" t="s">
        <v>80</v>
      </c>
      <c r="G168" t="s">
        <v>81</v>
      </c>
      <c r="H168" s="4" t="s">
        <v>2256</v>
      </c>
      <c r="I168">
        <v>333782</v>
      </c>
      <c r="J168" s="8" t="s">
        <v>2347</v>
      </c>
      <c r="K168" t="s">
        <v>716</v>
      </c>
      <c r="L168" t="s">
        <v>717</v>
      </c>
      <c r="M168" t="s">
        <v>55</v>
      </c>
      <c r="N168">
        <f t="shared" si="9"/>
        <v>5</v>
      </c>
      <c r="O168">
        <v>3</v>
      </c>
      <c r="P168" s="6">
        <v>79.150000000000006</v>
      </c>
      <c r="Q168">
        <v>7.92</v>
      </c>
      <c r="R168">
        <v>229.53</v>
      </c>
      <c r="S168">
        <v>11.48</v>
      </c>
      <c r="T168">
        <v>30</v>
      </c>
      <c r="U168">
        <v>5</v>
      </c>
      <c r="V168">
        <v>276.01</v>
      </c>
      <c r="W168" t="s">
        <v>84</v>
      </c>
      <c r="X168">
        <v>25</v>
      </c>
    </row>
    <row r="169" spans="1:24" ht="14.25" customHeight="1">
      <c r="A169" t="s">
        <v>718</v>
      </c>
      <c r="B169" t="s">
        <v>2277</v>
      </c>
      <c r="C169" s="6" t="str">
        <f t="shared" si="7"/>
        <v>January</v>
      </c>
      <c r="D169" s="6" t="str">
        <f t="shared" si="8"/>
        <v>03</v>
      </c>
      <c r="E169" t="s">
        <v>719</v>
      </c>
      <c r="F169" t="s">
        <v>21</v>
      </c>
      <c r="G169" t="s">
        <v>68</v>
      </c>
      <c r="H169" s="4" t="s">
        <v>2256</v>
      </c>
      <c r="I169">
        <v>826331</v>
      </c>
      <c r="J169" s="8" t="s">
        <v>30</v>
      </c>
      <c r="K169" t="s">
        <v>720</v>
      </c>
      <c r="L169" t="s">
        <v>721</v>
      </c>
      <c r="M169" t="s">
        <v>135</v>
      </c>
      <c r="N169">
        <f t="shared" si="9"/>
        <v>9</v>
      </c>
      <c r="O169">
        <v>5</v>
      </c>
      <c r="P169" s="6">
        <v>161.66</v>
      </c>
      <c r="Q169">
        <v>8.08</v>
      </c>
      <c r="R169">
        <v>800.21999999999991</v>
      </c>
      <c r="S169">
        <v>40.01</v>
      </c>
      <c r="T169">
        <v>30</v>
      </c>
      <c r="U169">
        <v>10</v>
      </c>
      <c r="V169">
        <v>880.2299999999999</v>
      </c>
      <c r="W169" t="s">
        <v>34</v>
      </c>
      <c r="X169">
        <v>25</v>
      </c>
    </row>
    <row r="170" spans="1:24" ht="14.25" customHeight="1">
      <c r="A170" t="s">
        <v>722</v>
      </c>
      <c r="B170" t="s">
        <v>2316</v>
      </c>
      <c r="C170" s="6" t="str">
        <f t="shared" si="7"/>
        <v>January</v>
      </c>
      <c r="D170" s="6" t="str">
        <f t="shared" si="8"/>
        <v>01</v>
      </c>
      <c r="E170" t="s">
        <v>723</v>
      </c>
      <c r="F170" t="s">
        <v>21</v>
      </c>
      <c r="G170" t="s">
        <v>22</v>
      </c>
      <c r="H170" s="4" t="s">
        <v>2256</v>
      </c>
      <c r="I170">
        <v>187468</v>
      </c>
      <c r="J170" s="8" t="s">
        <v>2348</v>
      </c>
      <c r="K170" t="s">
        <v>724</v>
      </c>
      <c r="L170" t="s">
        <v>725</v>
      </c>
      <c r="M170" t="s">
        <v>89</v>
      </c>
      <c r="N170">
        <f t="shared" si="9"/>
        <v>7</v>
      </c>
      <c r="O170">
        <v>1</v>
      </c>
      <c r="P170" s="6">
        <v>10.69</v>
      </c>
      <c r="Q170">
        <v>1.07</v>
      </c>
      <c r="R170">
        <v>9.6199999999999992</v>
      </c>
      <c r="S170">
        <v>0.48</v>
      </c>
      <c r="T170">
        <v>20</v>
      </c>
      <c r="U170">
        <v>10</v>
      </c>
      <c r="V170">
        <v>40.1</v>
      </c>
      <c r="W170" t="s">
        <v>27</v>
      </c>
      <c r="X170">
        <v>17</v>
      </c>
    </row>
    <row r="171" spans="1:24" ht="14.25" customHeight="1">
      <c r="A171" t="s">
        <v>726</v>
      </c>
      <c r="B171" t="s">
        <v>2317</v>
      </c>
      <c r="C171" s="6" t="str">
        <f t="shared" si="7"/>
        <v>January</v>
      </c>
      <c r="D171" s="6" t="str">
        <f t="shared" si="8"/>
        <v>05</v>
      </c>
      <c r="E171" t="s">
        <v>727</v>
      </c>
      <c r="F171" t="s">
        <v>21</v>
      </c>
      <c r="G171" t="s">
        <v>22</v>
      </c>
      <c r="H171" s="4" t="s">
        <v>2256</v>
      </c>
      <c r="I171">
        <v>173861</v>
      </c>
      <c r="J171" s="8" t="s">
        <v>30</v>
      </c>
      <c r="K171" t="s">
        <v>728</v>
      </c>
      <c r="L171" t="s">
        <v>729</v>
      </c>
      <c r="M171" t="s">
        <v>77</v>
      </c>
      <c r="N171">
        <f t="shared" si="9"/>
        <v>5</v>
      </c>
      <c r="O171">
        <v>5</v>
      </c>
      <c r="P171" s="6">
        <v>118.8</v>
      </c>
      <c r="Q171">
        <v>11.88</v>
      </c>
      <c r="R171">
        <v>582.12</v>
      </c>
      <c r="S171">
        <v>29.11</v>
      </c>
      <c r="T171">
        <v>0</v>
      </c>
      <c r="U171">
        <v>20</v>
      </c>
      <c r="V171">
        <v>631.23</v>
      </c>
      <c r="W171" t="s">
        <v>27</v>
      </c>
      <c r="X171">
        <v>28</v>
      </c>
    </row>
    <row r="172" spans="1:24" ht="14.25" customHeight="1">
      <c r="A172" t="s">
        <v>730</v>
      </c>
      <c r="B172" t="s">
        <v>2304</v>
      </c>
      <c r="C172" s="6" t="str">
        <f t="shared" si="7"/>
        <v>January</v>
      </c>
      <c r="D172" s="6" t="str">
        <f t="shared" si="8"/>
        <v>26</v>
      </c>
      <c r="E172" t="s">
        <v>731</v>
      </c>
      <c r="F172" t="s">
        <v>21</v>
      </c>
      <c r="G172" t="s">
        <v>68</v>
      </c>
      <c r="H172" s="4" t="s">
        <v>2256</v>
      </c>
      <c r="I172">
        <v>893153</v>
      </c>
      <c r="J172" s="8" t="s">
        <v>2345</v>
      </c>
      <c r="K172" t="s">
        <v>732</v>
      </c>
      <c r="L172" t="s">
        <v>733</v>
      </c>
      <c r="M172" t="s">
        <v>26</v>
      </c>
      <c r="N172">
        <f t="shared" si="9"/>
        <v>3</v>
      </c>
      <c r="O172">
        <v>1</v>
      </c>
      <c r="P172" s="6">
        <v>167.36</v>
      </c>
      <c r="Q172">
        <v>25.1</v>
      </c>
      <c r="R172">
        <v>142.26</v>
      </c>
      <c r="S172">
        <v>7.11</v>
      </c>
      <c r="T172">
        <v>0</v>
      </c>
      <c r="U172">
        <v>10</v>
      </c>
      <c r="V172">
        <v>159.37</v>
      </c>
      <c r="W172" t="s">
        <v>27</v>
      </c>
      <c r="X172">
        <v>48</v>
      </c>
    </row>
    <row r="173" spans="1:24" ht="14.25" customHeight="1">
      <c r="A173" t="s">
        <v>734</v>
      </c>
      <c r="B173" t="s">
        <v>2295</v>
      </c>
      <c r="C173" s="6" t="str">
        <f t="shared" si="7"/>
        <v>February</v>
      </c>
      <c r="D173" s="6" t="str">
        <f t="shared" si="8"/>
        <v>24</v>
      </c>
      <c r="E173" t="s">
        <v>735</v>
      </c>
      <c r="F173" t="s">
        <v>21</v>
      </c>
      <c r="G173" t="s">
        <v>106</v>
      </c>
      <c r="H173" s="4" t="s">
        <v>2256</v>
      </c>
      <c r="I173">
        <v>204211</v>
      </c>
      <c r="J173" s="8" t="s">
        <v>30</v>
      </c>
      <c r="K173" t="s">
        <v>736</v>
      </c>
      <c r="L173" t="s">
        <v>737</v>
      </c>
      <c r="M173" t="s">
        <v>45</v>
      </c>
      <c r="N173">
        <f t="shared" si="9"/>
        <v>6</v>
      </c>
      <c r="O173">
        <v>3</v>
      </c>
      <c r="P173" s="6">
        <v>145.51</v>
      </c>
      <c r="Q173">
        <v>0</v>
      </c>
      <c r="R173">
        <v>436.53</v>
      </c>
      <c r="S173">
        <v>21.83</v>
      </c>
      <c r="T173">
        <v>20</v>
      </c>
      <c r="U173">
        <v>10</v>
      </c>
      <c r="V173">
        <v>488.36</v>
      </c>
      <c r="W173" t="s">
        <v>27</v>
      </c>
      <c r="X173">
        <v>28</v>
      </c>
    </row>
    <row r="174" spans="1:24" ht="14.25" customHeight="1">
      <c r="A174" t="s">
        <v>738</v>
      </c>
      <c r="B174" t="s">
        <v>2302</v>
      </c>
      <c r="C174" s="6" t="str">
        <f t="shared" si="7"/>
        <v>January</v>
      </c>
      <c r="D174" s="6" t="str">
        <f t="shared" si="8"/>
        <v>14</v>
      </c>
      <c r="E174" t="s">
        <v>739</v>
      </c>
      <c r="F174" t="s">
        <v>21</v>
      </c>
      <c r="G174" t="s">
        <v>22</v>
      </c>
      <c r="H174" s="4" t="s">
        <v>2256</v>
      </c>
      <c r="I174">
        <v>829182</v>
      </c>
      <c r="J174" s="8" t="s">
        <v>2345</v>
      </c>
      <c r="K174" t="s">
        <v>740</v>
      </c>
      <c r="L174" t="s">
        <v>741</v>
      </c>
      <c r="M174" t="s">
        <v>130</v>
      </c>
      <c r="N174">
        <f t="shared" si="9"/>
        <v>7</v>
      </c>
      <c r="O174">
        <v>4</v>
      </c>
      <c r="P174" s="6">
        <v>177.4</v>
      </c>
      <c r="Q174">
        <v>26.61</v>
      </c>
      <c r="R174">
        <v>682.99</v>
      </c>
      <c r="S174">
        <v>34.15</v>
      </c>
      <c r="T174">
        <v>10</v>
      </c>
      <c r="U174">
        <v>5</v>
      </c>
      <c r="V174">
        <v>732.14</v>
      </c>
      <c r="W174" t="s">
        <v>27</v>
      </c>
      <c r="X174">
        <v>22</v>
      </c>
    </row>
    <row r="175" spans="1:24" ht="14.25" customHeight="1">
      <c r="A175" t="s">
        <v>742</v>
      </c>
      <c r="B175" t="s">
        <v>2262</v>
      </c>
      <c r="C175" s="6" t="str">
        <f t="shared" si="7"/>
        <v>February</v>
      </c>
      <c r="D175" s="6" t="str">
        <f t="shared" si="8"/>
        <v>08</v>
      </c>
      <c r="E175" t="s">
        <v>743</v>
      </c>
      <c r="F175" t="s">
        <v>21</v>
      </c>
      <c r="G175" t="s">
        <v>68</v>
      </c>
      <c r="H175" s="4" t="s">
        <v>2256</v>
      </c>
      <c r="I175">
        <v>245788</v>
      </c>
      <c r="J175" s="8" t="s">
        <v>30</v>
      </c>
      <c r="K175" t="s">
        <v>744</v>
      </c>
      <c r="L175" t="s">
        <v>745</v>
      </c>
      <c r="M175" t="s">
        <v>130</v>
      </c>
      <c r="N175">
        <f t="shared" si="9"/>
        <v>7</v>
      </c>
      <c r="O175">
        <v>2</v>
      </c>
      <c r="P175" s="6">
        <v>77.739999999999995</v>
      </c>
      <c r="Q175">
        <v>0</v>
      </c>
      <c r="R175">
        <v>155.47999999999999</v>
      </c>
      <c r="S175">
        <v>7.77</v>
      </c>
      <c r="T175">
        <v>30</v>
      </c>
      <c r="U175">
        <v>10</v>
      </c>
      <c r="V175">
        <v>203.25</v>
      </c>
      <c r="W175" t="s">
        <v>27</v>
      </c>
      <c r="X175">
        <v>22</v>
      </c>
    </row>
    <row r="176" spans="1:24" ht="14.25" customHeight="1">
      <c r="A176" t="s">
        <v>746</v>
      </c>
      <c r="B176" t="s">
        <v>2288</v>
      </c>
      <c r="C176" s="6" t="str">
        <f t="shared" si="7"/>
        <v>January</v>
      </c>
      <c r="D176" s="6" t="str">
        <f t="shared" si="8"/>
        <v>27</v>
      </c>
      <c r="E176" t="s">
        <v>747</v>
      </c>
      <c r="F176" t="s">
        <v>21</v>
      </c>
      <c r="G176" t="s">
        <v>106</v>
      </c>
      <c r="H176" s="4" t="s">
        <v>2256</v>
      </c>
      <c r="I176">
        <v>987700</v>
      </c>
      <c r="J176" s="8" t="s">
        <v>62</v>
      </c>
      <c r="K176" t="s">
        <v>748</v>
      </c>
      <c r="L176" t="s">
        <v>749</v>
      </c>
      <c r="M176" t="s">
        <v>130</v>
      </c>
      <c r="N176">
        <f t="shared" si="9"/>
        <v>7</v>
      </c>
      <c r="O176">
        <v>5</v>
      </c>
      <c r="P176" s="6">
        <v>122.35</v>
      </c>
      <c r="Q176">
        <v>0</v>
      </c>
      <c r="R176">
        <v>611.75</v>
      </c>
      <c r="S176">
        <v>30.59</v>
      </c>
      <c r="T176">
        <v>0</v>
      </c>
      <c r="U176">
        <v>10</v>
      </c>
      <c r="V176">
        <v>652.34</v>
      </c>
      <c r="W176" t="s">
        <v>27</v>
      </c>
      <c r="X176">
        <v>46</v>
      </c>
    </row>
    <row r="177" spans="1:24" ht="14.25" customHeight="1">
      <c r="A177" t="s">
        <v>750</v>
      </c>
      <c r="B177" t="s">
        <v>2299</v>
      </c>
      <c r="C177" s="6" t="str">
        <f t="shared" si="7"/>
        <v>January</v>
      </c>
      <c r="D177" s="6" t="str">
        <f t="shared" si="8"/>
        <v>09</v>
      </c>
      <c r="E177" t="s">
        <v>751</v>
      </c>
      <c r="F177" t="s">
        <v>21</v>
      </c>
      <c r="G177" t="s">
        <v>74</v>
      </c>
      <c r="H177" s="4" t="s">
        <v>2256</v>
      </c>
      <c r="I177">
        <v>997151</v>
      </c>
      <c r="J177" s="8" t="s">
        <v>30</v>
      </c>
      <c r="K177" t="s">
        <v>752</v>
      </c>
      <c r="L177" t="s">
        <v>753</v>
      </c>
      <c r="M177" t="s">
        <v>55</v>
      </c>
      <c r="N177">
        <f t="shared" si="9"/>
        <v>5</v>
      </c>
      <c r="O177">
        <v>1</v>
      </c>
      <c r="P177" s="6">
        <v>146.94</v>
      </c>
      <c r="Q177">
        <v>7.35</v>
      </c>
      <c r="R177">
        <v>139.59</v>
      </c>
      <c r="S177">
        <v>6.98</v>
      </c>
      <c r="T177">
        <v>20</v>
      </c>
      <c r="U177">
        <v>5</v>
      </c>
      <c r="V177">
        <v>171.57</v>
      </c>
      <c r="W177" t="s">
        <v>27</v>
      </c>
      <c r="X177">
        <v>19</v>
      </c>
    </row>
    <row r="178" spans="1:24" ht="14.25" customHeight="1">
      <c r="A178" t="s">
        <v>754</v>
      </c>
      <c r="B178" t="s">
        <v>2265</v>
      </c>
      <c r="C178" s="6" t="str">
        <f t="shared" si="7"/>
        <v>January</v>
      </c>
      <c r="D178" s="6" t="str">
        <f t="shared" si="8"/>
        <v>15</v>
      </c>
      <c r="E178" t="s">
        <v>755</v>
      </c>
      <c r="F178" t="s">
        <v>21</v>
      </c>
      <c r="G178" t="s">
        <v>68</v>
      </c>
      <c r="H178" s="4" t="s">
        <v>2256</v>
      </c>
      <c r="I178">
        <v>659550</v>
      </c>
      <c r="J178" s="8" t="s">
        <v>2349</v>
      </c>
      <c r="K178" t="s">
        <v>756</v>
      </c>
      <c r="L178" t="s">
        <v>757</v>
      </c>
      <c r="M178" t="s">
        <v>135</v>
      </c>
      <c r="N178">
        <f t="shared" si="9"/>
        <v>9</v>
      </c>
      <c r="O178">
        <v>2</v>
      </c>
      <c r="P178" s="6">
        <v>147.84</v>
      </c>
      <c r="Q178">
        <v>7.39</v>
      </c>
      <c r="R178">
        <v>288.29000000000002</v>
      </c>
      <c r="S178">
        <v>14.41</v>
      </c>
      <c r="T178">
        <v>10</v>
      </c>
      <c r="U178">
        <v>15</v>
      </c>
      <c r="V178">
        <v>327.7</v>
      </c>
      <c r="W178" t="s">
        <v>27</v>
      </c>
      <c r="X178">
        <v>33</v>
      </c>
    </row>
    <row r="179" spans="1:24" ht="14.25" customHeight="1">
      <c r="A179" t="s">
        <v>758</v>
      </c>
      <c r="B179" t="s">
        <v>2265</v>
      </c>
      <c r="C179" s="6" t="str">
        <f t="shared" si="7"/>
        <v>January</v>
      </c>
      <c r="D179" s="6" t="str">
        <f t="shared" si="8"/>
        <v>15</v>
      </c>
      <c r="E179" t="s">
        <v>759</v>
      </c>
      <c r="F179" t="s">
        <v>101</v>
      </c>
      <c r="G179" t="s">
        <v>81</v>
      </c>
      <c r="H179" s="4" t="s">
        <v>2256</v>
      </c>
      <c r="I179">
        <v>160545</v>
      </c>
      <c r="J179" s="8" t="s">
        <v>30</v>
      </c>
      <c r="K179" t="s">
        <v>760</v>
      </c>
      <c r="L179" t="s">
        <v>761</v>
      </c>
      <c r="M179" t="s">
        <v>55</v>
      </c>
      <c r="N179">
        <f t="shared" si="9"/>
        <v>5</v>
      </c>
      <c r="O179">
        <v>1</v>
      </c>
      <c r="P179" s="6">
        <v>175.14</v>
      </c>
      <c r="Q179">
        <v>26.27</v>
      </c>
      <c r="R179">
        <v>148.87</v>
      </c>
      <c r="S179">
        <v>7.44</v>
      </c>
      <c r="T179">
        <v>20</v>
      </c>
      <c r="U179">
        <v>0</v>
      </c>
      <c r="V179">
        <v>176.31</v>
      </c>
      <c r="W179" t="s">
        <v>27</v>
      </c>
      <c r="X179">
        <v>22</v>
      </c>
    </row>
    <row r="180" spans="1:24" ht="14.25" customHeight="1">
      <c r="A180" t="s">
        <v>762</v>
      </c>
      <c r="B180" t="s">
        <v>2304</v>
      </c>
      <c r="C180" s="6" t="str">
        <f t="shared" si="7"/>
        <v>January</v>
      </c>
      <c r="D180" s="6" t="str">
        <f t="shared" si="8"/>
        <v>26</v>
      </c>
      <c r="E180" t="s">
        <v>763</v>
      </c>
      <c r="F180" t="s">
        <v>21</v>
      </c>
      <c r="G180" t="s">
        <v>74</v>
      </c>
      <c r="H180" s="4" t="s">
        <v>2256</v>
      </c>
      <c r="I180">
        <v>350497</v>
      </c>
      <c r="J180" s="8" t="s">
        <v>2346</v>
      </c>
      <c r="K180" t="s">
        <v>764</v>
      </c>
      <c r="L180" t="s">
        <v>765</v>
      </c>
      <c r="M180" t="s">
        <v>130</v>
      </c>
      <c r="N180">
        <f t="shared" si="9"/>
        <v>7</v>
      </c>
      <c r="O180">
        <v>2</v>
      </c>
      <c r="P180" s="6">
        <v>92.99</v>
      </c>
      <c r="Q180">
        <v>9.3000000000000007</v>
      </c>
      <c r="R180">
        <v>176.68</v>
      </c>
      <c r="S180">
        <v>8.83</v>
      </c>
      <c r="T180">
        <v>0</v>
      </c>
      <c r="U180">
        <v>20</v>
      </c>
      <c r="V180">
        <v>205.51</v>
      </c>
      <c r="W180" t="s">
        <v>27</v>
      </c>
      <c r="X180">
        <v>23</v>
      </c>
    </row>
    <row r="181" spans="1:24" ht="14.25" customHeight="1">
      <c r="A181" t="s">
        <v>766</v>
      </c>
      <c r="B181" t="s">
        <v>2290</v>
      </c>
      <c r="C181" s="6" t="str">
        <f t="shared" si="7"/>
        <v>February</v>
      </c>
      <c r="D181" s="6" t="str">
        <f t="shared" si="8"/>
        <v>11</v>
      </c>
      <c r="E181" t="s">
        <v>767</v>
      </c>
      <c r="F181" t="s">
        <v>21</v>
      </c>
      <c r="G181" t="s">
        <v>22</v>
      </c>
      <c r="H181" s="4" t="s">
        <v>2256</v>
      </c>
      <c r="I181">
        <v>256104</v>
      </c>
      <c r="J181" s="8" t="s">
        <v>2346</v>
      </c>
      <c r="K181" t="s">
        <v>768</v>
      </c>
      <c r="L181" t="s">
        <v>769</v>
      </c>
      <c r="M181" t="s">
        <v>22</v>
      </c>
      <c r="N181">
        <f t="shared" si="9"/>
        <v>6</v>
      </c>
      <c r="O181">
        <v>1</v>
      </c>
      <c r="P181" s="6">
        <v>93.95</v>
      </c>
      <c r="Q181">
        <v>4.7</v>
      </c>
      <c r="R181">
        <v>89.25</v>
      </c>
      <c r="S181">
        <v>4.46</v>
      </c>
      <c r="T181">
        <v>20</v>
      </c>
      <c r="U181">
        <v>10</v>
      </c>
      <c r="V181">
        <v>123.71</v>
      </c>
      <c r="W181" t="s">
        <v>27</v>
      </c>
      <c r="X181">
        <v>19</v>
      </c>
    </row>
    <row r="182" spans="1:24" ht="14.25" customHeight="1">
      <c r="A182" t="s">
        <v>770</v>
      </c>
      <c r="B182" t="s">
        <v>2283</v>
      </c>
      <c r="C182" s="6" t="str">
        <f t="shared" si="7"/>
        <v>March</v>
      </c>
      <c r="D182" s="6" t="str">
        <f t="shared" si="8"/>
        <v>01</v>
      </c>
      <c r="E182" t="s">
        <v>771</v>
      </c>
      <c r="F182" t="s">
        <v>21</v>
      </c>
      <c r="G182" t="s">
        <v>74</v>
      </c>
      <c r="H182" s="4" t="s">
        <v>2256</v>
      </c>
      <c r="I182">
        <v>237478</v>
      </c>
      <c r="J182" s="8" t="s">
        <v>2346</v>
      </c>
      <c r="K182" t="s">
        <v>772</v>
      </c>
      <c r="L182" t="s">
        <v>773</v>
      </c>
      <c r="M182" t="s">
        <v>77</v>
      </c>
      <c r="N182">
        <f t="shared" si="9"/>
        <v>5</v>
      </c>
      <c r="O182">
        <v>4</v>
      </c>
      <c r="P182" s="6">
        <v>127.21</v>
      </c>
      <c r="Q182">
        <v>0</v>
      </c>
      <c r="R182">
        <v>508.84</v>
      </c>
      <c r="S182">
        <v>25.44</v>
      </c>
      <c r="T182">
        <v>20</v>
      </c>
      <c r="U182">
        <v>20</v>
      </c>
      <c r="V182">
        <v>574.28</v>
      </c>
      <c r="W182" t="s">
        <v>27</v>
      </c>
      <c r="X182">
        <v>5</v>
      </c>
    </row>
    <row r="183" spans="1:24" ht="14.25" customHeight="1">
      <c r="A183" t="s">
        <v>774</v>
      </c>
      <c r="B183" t="s">
        <v>2318</v>
      </c>
      <c r="C183" s="6" t="str">
        <f t="shared" si="7"/>
        <v>January</v>
      </c>
      <c r="D183" s="6" t="str">
        <f t="shared" si="8"/>
        <v>13</v>
      </c>
      <c r="E183" t="s">
        <v>775</v>
      </c>
      <c r="F183" t="s">
        <v>21</v>
      </c>
      <c r="G183" t="s">
        <v>74</v>
      </c>
      <c r="H183" s="4" t="s">
        <v>2256</v>
      </c>
      <c r="I183">
        <v>671139</v>
      </c>
      <c r="J183" s="8" t="s">
        <v>2349</v>
      </c>
      <c r="K183" t="s">
        <v>776</v>
      </c>
      <c r="L183" t="s">
        <v>777</v>
      </c>
      <c r="M183" t="s">
        <v>26</v>
      </c>
      <c r="N183">
        <f t="shared" si="9"/>
        <v>3</v>
      </c>
      <c r="O183">
        <v>2</v>
      </c>
      <c r="P183" s="6">
        <v>267.89</v>
      </c>
      <c r="Q183">
        <v>40.18</v>
      </c>
      <c r="R183">
        <v>495.6</v>
      </c>
      <c r="S183">
        <v>24.78</v>
      </c>
      <c r="T183">
        <v>30</v>
      </c>
      <c r="U183">
        <v>0</v>
      </c>
      <c r="V183">
        <v>550.38</v>
      </c>
      <c r="W183" t="s">
        <v>27</v>
      </c>
      <c r="X183">
        <v>21</v>
      </c>
    </row>
    <row r="184" spans="1:24" ht="14.25" customHeight="1">
      <c r="A184" t="s">
        <v>778</v>
      </c>
      <c r="B184" t="s">
        <v>2294</v>
      </c>
      <c r="C184" s="6" t="str">
        <f t="shared" si="7"/>
        <v>February</v>
      </c>
      <c r="D184" s="6" t="str">
        <f t="shared" si="8"/>
        <v>20</v>
      </c>
      <c r="E184" t="s">
        <v>779</v>
      </c>
      <c r="F184" t="s">
        <v>21</v>
      </c>
      <c r="G184" t="s">
        <v>22</v>
      </c>
      <c r="H184" s="4" t="s">
        <v>2256</v>
      </c>
      <c r="I184">
        <v>985155</v>
      </c>
      <c r="J184" s="8" t="s">
        <v>30</v>
      </c>
      <c r="K184" t="s">
        <v>780</v>
      </c>
      <c r="L184" t="s">
        <v>781</v>
      </c>
      <c r="M184" t="s">
        <v>89</v>
      </c>
      <c r="N184">
        <f t="shared" si="9"/>
        <v>7</v>
      </c>
      <c r="O184">
        <v>3</v>
      </c>
      <c r="P184" s="6">
        <v>113.06</v>
      </c>
      <c r="Q184">
        <v>5.65</v>
      </c>
      <c r="R184">
        <v>333.53</v>
      </c>
      <c r="S184">
        <v>16.68</v>
      </c>
      <c r="T184">
        <v>20</v>
      </c>
      <c r="U184">
        <v>20</v>
      </c>
      <c r="V184">
        <v>390.21</v>
      </c>
      <c r="W184" t="s">
        <v>27</v>
      </c>
      <c r="X184">
        <v>17</v>
      </c>
    </row>
    <row r="185" spans="1:24" ht="14.25" customHeight="1">
      <c r="A185" t="s">
        <v>782</v>
      </c>
      <c r="B185" t="s">
        <v>2319</v>
      </c>
      <c r="C185" s="6" t="str">
        <f t="shared" si="7"/>
        <v>February</v>
      </c>
      <c r="D185" s="6" t="str">
        <f t="shared" si="8"/>
        <v>01</v>
      </c>
      <c r="E185" t="s">
        <v>783</v>
      </c>
      <c r="F185" t="s">
        <v>21</v>
      </c>
      <c r="G185" t="s">
        <v>68</v>
      </c>
      <c r="H185" s="4" t="s">
        <v>2256</v>
      </c>
      <c r="I185">
        <v>199071</v>
      </c>
      <c r="J185" s="8" t="s">
        <v>2347</v>
      </c>
      <c r="K185" t="s">
        <v>784</v>
      </c>
      <c r="L185" t="s">
        <v>785</v>
      </c>
      <c r="M185" t="s">
        <v>177</v>
      </c>
      <c r="N185">
        <f t="shared" si="9"/>
        <v>5</v>
      </c>
      <c r="O185">
        <v>3</v>
      </c>
      <c r="P185" s="6">
        <v>123.4</v>
      </c>
      <c r="Q185">
        <v>18.510000000000002</v>
      </c>
      <c r="R185">
        <v>351.69000000000011</v>
      </c>
      <c r="S185">
        <v>17.579999999999998</v>
      </c>
      <c r="T185">
        <v>0</v>
      </c>
      <c r="U185">
        <v>10</v>
      </c>
      <c r="V185">
        <v>379.27</v>
      </c>
      <c r="W185" t="s">
        <v>27</v>
      </c>
      <c r="X185">
        <v>30</v>
      </c>
    </row>
    <row r="186" spans="1:24" ht="14.25" customHeight="1">
      <c r="A186" t="s">
        <v>786</v>
      </c>
      <c r="B186" t="s">
        <v>2262</v>
      </c>
      <c r="C186" s="6" t="str">
        <f t="shared" si="7"/>
        <v>February</v>
      </c>
      <c r="D186" s="6" t="str">
        <f t="shared" si="8"/>
        <v>08</v>
      </c>
      <c r="E186" t="s">
        <v>787</v>
      </c>
      <c r="F186" t="s">
        <v>21</v>
      </c>
      <c r="G186" t="s">
        <v>74</v>
      </c>
      <c r="H186" s="4" t="s">
        <v>2256</v>
      </c>
      <c r="I186">
        <v>914037</v>
      </c>
      <c r="J186" s="8" t="s">
        <v>2346</v>
      </c>
      <c r="K186" t="s">
        <v>788</v>
      </c>
      <c r="L186" t="s">
        <v>789</v>
      </c>
      <c r="M186" t="s">
        <v>177</v>
      </c>
      <c r="N186">
        <f t="shared" si="9"/>
        <v>5</v>
      </c>
      <c r="O186">
        <v>1</v>
      </c>
      <c r="P186" s="6">
        <v>81.209999999999994</v>
      </c>
      <c r="Q186">
        <v>0</v>
      </c>
      <c r="R186">
        <v>81.209999999999994</v>
      </c>
      <c r="S186">
        <v>4.0599999999999996</v>
      </c>
      <c r="T186">
        <v>0</v>
      </c>
      <c r="U186">
        <v>0</v>
      </c>
      <c r="V186">
        <v>85.27</v>
      </c>
      <c r="W186" t="s">
        <v>27</v>
      </c>
      <c r="X186">
        <v>21</v>
      </c>
    </row>
    <row r="187" spans="1:24" ht="14.25" customHeight="1">
      <c r="A187" t="s">
        <v>790</v>
      </c>
      <c r="B187" t="s">
        <v>2287</v>
      </c>
      <c r="C187" s="6" t="str">
        <f t="shared" si="7"/>
        <v>February</v>
      </c>
      <c r="D187" s="6" t="str">
        <f t="shared" si="8"/>
        <v>18</v>
      </c>
      <c r="E187" t="s">
        <v>791</v>
      </c>
      <c r="F187" t="s">
        <v>101</v>
      </c>
      <c r="G187" t="s">
        <v>81</v>
      </c>
      <c r="H187" s="4" t="s">
        <v>2256</v>
      </c>
      <c r="I187">
        <v>955684</v>
      </c>
      <c r="J187" s="8" t="s">
        <v>2347</v>
      </c>
      <c r="K187" t="s">
        <v>792</v>
      </c>
      <c r="L187" t="s">
        <v>793</v>
      </c>
      <c r="M187" t="s">
        <v>98</v>
      </c>
      <c r="N187">
        <f t="shared" si="9"/>
        <v>4</v>
      </c>
      <c r="O187">
        <v>4</v>
      </c>
      <c r="P187" s="6">
        <v>47.42</v>
      </c>
      <c r="Q187">
        <v>4.74</v>
      </c>
      <c r="R187">
        <v>184.94</v>
      </c>
      <c r="S187">
        <v>9.25</v>
      </c>
      <c r="T187">
        <v>10</v>
      </c>
      <c r="U187">
        <v>5</v>
      </c>
      <c r="V187">
        <v>209.19</v>
      </c>
      <c r="W187" t="s">
        <v>27</v>
      </c>
      <c r="X187">
        <v>30</v>
      </c>
    </row>
    <row r="188" spans="1:24" ht="14.25" customHeight="1">
      <c r="A188" t="s">
        <v>794</v>
      </c>
      <c r="B188" t="s">
        <v>2263</v>
      </c>
      <c r="C188" s="6" t="str">
        <f t="shared" si="7"/>
        <v>February</v>
      </c>
      <c r="D188" s="6" t="str">
        <f t="shared" si="8"/>
        <v>21</v>
      </c>
      <c r="E188" t="s">
        <v>795</v>
      </c>
      <c r="F188" t="s">
        <v>21</v>
      </c>
      <c r="G188" t="s">
        <v>74</v>
      </c>
      <c r="H188" s="4" t="s">
        <v>2256</v>
      </c>
      <c r="I188">
        <v>602420</v>
      </c>
      <c r="J188" s="8" t="s">
        <v>62</v>
      </c>
      <c r="K188" t="s">
        <v>796</v>
      </c>
      <c r="L188" t="s">
        <v>797</v>
      </c>
      <c r="M188" t="s">
        <v>40</v>
      </c>
      <c r="N188">
        <f t="shared" si="9"/>
        <v>6</v>
      </c>
      <c r="O188">
        <v>1</v>
      </c>
      <c r="P188" s="6">
        <v>145.03</v>
      </c>
      <c r="Q188">
        <v>0</v>
      </c>
      <c r="R188">
        <v>145.03</v>
      </c>
      <c r="S188">
        <v>7.25</v>
      </c>
      <c r="T188">
        <v>20</v>
      </c>
      <c r="U188">
        <v>15</v>
      </c>
      <c r="V188">
        <v>187.28</v>
      </c>
      <c r="W188" t="s">
        <v>27</v>
      </c>
      <c r="X188">
        <v>22</v>
      </c>
    </row>
    <row r="189" spans="1:24" ht="14.25" customHeight="1">
      <c r="A189" t="s">
        <v>798</v>
      </c>
      <c r="B189" t="s">
        <v>2319</v>
      </c>
      <c r="C189" s="6" t="str">
        <f t="shared" si="7"/>
        <v>February</v>
      </c>
      <c r="D189" s="6" t="str">
        <f t="shared" si="8"/>
        <v>01</v>
      </c>
      <c r="E189" t="s">
        <v>799</v>
      </c>
      <c r="F189" t="s">
        <v>21</v>
      </c>
      <c r="G189" t="s">
        <v>22</v>
      </c>
      <c r="H189" s="4" t="s">
        <v>2256</v>
      </c>
      <c r="I189">
        <v>322084</v>
      </c>
      <c r="J189" s="8" t="s">
        <v>62</v>
      </c>
      <c r="K189" t="s">
        <v>800</v>
      </c>
      <c r="L189" t="s">
        <v>801</v>
      </c>
      <c r="M189" t="s">
        <v>130</v>
      </c>
      <c r="N189">
        <f t="shared" si="9"/>
        <v>7</v>
      </c>
      <c r="O189">
        <v>5</v>
      </c>
      <c r="P189" s="6">
        <v>218.37</v>
      </c>
      <c r="Q189">
        <v>32.76</v>
      </c>
      <c r="R189">
        <v>1059.0899999999999</v>
      </c>
      <c r="S189">
        <v>52.95</v>
      </c>
      <c r="T189">
        <v>10</v>
      </c>
      <c r="U189">
        <v>5</v>
      </c>
      <c r="V189">
        <v>1127.04</v>
      </c>
      <c r="W189" t="s">
        <v>27</v>
      </c>
      <c r="X189">
        <v>24</v>
      </c>
    </row>
    <row r="190" spans="1:24" ht="14.25" customHeight="1">
      <c r="A190" t="s">
        <v>802</v>
      </c>
      <c r="B190" t="s">
        <v>2301</v>
      </c>
      <c r="C190" s="6" t="str">
        <f t="shared" si="7"/>
        <v>January</v>
      </c>
      <c r="D190" s="6" t="str">
        <f t="shared" si="8"/>
        <v>04</v>
      </c>
      <c r="E190" t="s">
        <v>803</v>
      </c>
      <c r="F190" t="s">
        <v>21</v>
      </c>
      <c r="G190" t="s">
        <v>74</v>
      </c>
      <c r="H190" s="4" t="s">
        <v>2256</v>
      </c>
      <c r="I190">
        <v>744863</v>
      </c>
      <c r="J190" s="8" t="s">
        <v>62</v>
      </c>
      <c r="K190" t="s">
        <v>804</v>
      </c>
      <c r="L190" t="s">
        <v>805</v>
      </c>
      <c r="M190" t="s">
        <v>55</v>
      </c>
      <c r="N190">
        <f t="shared" si="9"/>
        <v>5</v>
      </c>
      <c r="O190">
        <v>1</v>
      </c>
      <c r="P190" s="6">
        <v>104.38</v>
      </c>
      <c r="Q190">
        <v>10.44</v>
      </c>
      <c r="R190">
        <v>93.94</v>
      </c>
      <c r="S190">
        <v>4.7</v>
      </c>
      <c r="T190">
        <v>30</v>
      </c>
      <c r="U190">
        <v>5</v>
      </c>
      <c r="V190">
        <v>133.63999999999999</v>
      </c>
      <c r="W190" t="s">
        <v>27</v>
      </c>
      <c r="X190">
        <v>21</v>
      </c>
    </row>
    <row r="191" spans="1:24" ht="14.25" customHeight="1">
      <c r="A191" t="s">
        <v>806</v>
      </c>
      <c r="B191" t="s">
        <v>2281</v>
      </c>
      <c r="C191" s="6" t="str">
        <f t="shared" si="7"/>
        <v>January</v>
      </c>
      <c r="D191" s="6" t="str">
        <f t="shared" si="8"/>
        <v>30</v>
      </c>
      <c r="E191" t="s">
        <v>807</v>
      </c>
      <c r="F191" t="s">
        <v>21</v>
      </c>
      <c r="G191" t="s">
        <v>74</v>
      </c>
      <c r="H191" s="4" t="s">
        <v>2256</v>
      </c>
      <c r="I191">
        <v>780481</v>
      </c>
      <c r="J191" s="8" t="s">
        <v>30</v>
      </c>
      <c r="K191" t="s">
        <v>808</v>
      </c>
      <c r="L191" t="s">
        <v>809</v>
      </c>
      <c r="M191" t="s">
        <v>135</v>
      </c>
      <c r="N191">
        <f t="shared" si="9"/>
        <v>9</v>
      </c>
      <c r="O191">
        <v>1</v>
      </c>
      <c r="P191" s="6">
        <v>96.71</v>
      </c>
      <c r="Q191">
        <v>14.51</v>
      </c>
      <c r="R191">
        <v>82.199999999999989</v>
      </c>
      <c r="S191">
        <v>4.1100000000000003</v>
      </c>
      <c r="T191">
        <v>20</v>
      </c>
      <c r="U191">
        <v>0</v>
      </c>
      <c r="V191">
        <v>106.31</v>
      </c>
      <c r="W191" t="s">
        <v>27</v>
      </c>
      <c r="X191">
        <v>26</v>
      </c>
    </row>
    <row r="192" spans="1:24" ht="14.25" customHeight="1">
      <c r="A192" t="s">
        <v>810</v>
      </c>
      <c r="B192" t="s">
        <v>2297</v>
      </c>
      <c r="C192" s="6" t="str">
        <f t="shared" si="7"/>
        <v>February</v>
      </c>
      <c r="D192" s="6" t="str">
        <f t="shared" si="8"/>
        <v>06</v>
      </c>
      <c r="E192" t="s">
        <v>811</v>
      </c>
      <c r="F192" t="s">
        <v>21</v>
      </c>
      <c r="G192" t="s">
        <v>74</v>
      </c>
      <c r="H192" s="4" t="s">
        <v>2256</v>
      </c>
      <c r="I192">
        <v>917052</v>
      </c>
      <c r="J192" s="8" t="s">
        <v>2347</v>
      </c>
      <c r="K192" t="s">
        <v>812</v>
      </c>
      <c r="L192" t="s">
        <v>813</v>
      </c>
      <c r="M192" t="s">
        <v>135</v>
      </c>
      <c r="N192">
        <f t="shared" si="9"/>
        <v>9</v>
      </c>
      <c r="O192">
        <v>1</v>
      </c>
      <c r="P192" s="6">
        <v>174.75</v>
      </c>
      <c r="Q192">
        <v>8.74</v>
      </c>
      <c r="R192">
        <v>166.01</v>
      </c>
      <c r="S192">
        <v>8.3000000000000007</v>
      </c>
      <c r="T192">
        <v>30</v>
      </c>
      <c r="U192">
        <v>15</v>
      </c>
      <c r="V192">
        <v>219.31</v>
      </c>
      <c r="W192" t="s">
        <v>34</v>
      </c>
      <c r="X192">
        <v>25</v>
      </c>
    </row>
    <row r="193" spans="1:24" ht="14.25" customHeight="1">
      <c r="A193" t="s">
        <v>814</v>
      </c>
      <c r="B193" t="s">
        <v>2271</v>
      </c>
      <c r="C193" s="6" t="str">
        <f t="shared" si="7"/>
        <v>January</v>
      </c>
      <c r="D193" s="6" t="str">
        <f t="shared" si="8"/>
        <v>23</v>
      </c>
      <c r="E193" t="s">
        <v>815</v>
      </c>
      <c r="F193" t="s">
        <v>101</v>
      </c>
      <c r="G193" t="s">
        <v>81</v>
      </c>
      <c r="H193" s="4" t="s">
        <v>2256</v>
      </c>
      <c r="I193">
        <v>479504</v>
      </c>
      <c r="J193" s="8" t="s">
        <v>2349</v>
      </c>
      <c r="K193" t="s">
        <v>816</v>
      </c>
      <c r="L193" t="s">
        <v>817</v>
      </c>
      <c r="M193" t="s">
        <v>22</v>
      </c>
      <c r="N193">
        <f t="shared" si="9"/>
        <v>6</v>
      </c>
      <c r="O193">
        <v>1</v>
      </c>
      <c r="P193" s="6">
        <v>176.06</v>
      </c>
      <c r="Q193">
        <v>0</v>
      </c>
      <c r="R193">
        <v>176.06</v>
      </c>
      <c r="S193">
        <v>8.8000000000000007</v>
      </c>
      <c r="T193">
        <v>20</v>
      </c>
      <c r="U193">
        <v>10</v>
      </c>
      <c r="V193">
        <v>214.86</v>
      </c>
      <c r="W193" t="s">
        <v>27</v>
      </c>
      <c r="X193">
        <v>20</v>
      </c>
    </row>
    <row r="194" spans="1:24" ht="14.25" customHeight="1">
      <c r="A194" t="s">
        <v>818</v>
      </c>
      <c r="B194" t="s">
        <v>2262</v>
      </c>
      <c r="C194" s="6" t="str">
        <f t="shared" si="7"/>
        <v>February</v>
      </c>
      <c r="D194" s="6" t="str">
        <f t="shared" si="8"/>
        <v>08</v>
      </c>
      <c r="E194" t="s">
        <v>819</v>
      </c>
      <c r="F194" t="s">
        <v>21</v>
      </c>
      <c r="G194" t="s">
        <v>22</v>
      </c>
      <c r="H194" s="4" t="s">
        <v>2256</v>
      </c>
      <c r="I194">
        <v>714641</v>
      </c>
      <c r="J194" s="8" t="s">
        <v>2347</v>
      </c>
      <c r="K194" t="s">
        <v>820</v>
      </c>
      <c r="L194" t="s">
        <v>821</v>
      </c>
      <c r="M194" t="s">
        <v>140</v>
      </c>
      <c r="N194">
        <f t="shared" si="9"/>
        <v>3</v>
      </c>
      <c r="O194">
        <v>5</v>
      </c>
      <c r="P194" s="6">
        <v>89.57</v>
      </c>
      <c r="Q194">
        <v>0</v>
      </c>
      <c r="R194">
        <v>447.85</v>
      </c>
      <c r="S194">
        <v>22.39</v>
      </c>
      <c r="T194">
        <v>10</v>
      </c>
      <c r="U194">
        <v>20</v>
      </c>
      <c r="V194">
        <v>500.24</v>
      </c>
      <c r="W194" t="s">
        <v>34</v>
      </c>
      <c r="X194">
        <v>25</v>
      </c>
    </row>
    <row r="195" spans="1:24" ht="14.25" customHeight="1">
      <c r="A195" t="s">
        <v>822</v>
      </c>
      <c r="B195" t="s">
        <v>2314</v>
      </c>
      <c r="C195" s="6" t="str">
        <f t="shared" ref="C195:C258" si="10">TEXT(B195,"mmmm")</f>
        <v>February</v>
      </c>
      <c r="D195" s="6" t="str">
        <f t="shared" ref="D195:D258" si="11">TEXT(B195,"dd")</f>
        <v>14</v>
      </c>
      <c r="E195" t="s">
        <v>823</v>
      </c>
      <c r="F195" t="s">
        <v>21</v>
      </c>
      <c r="G195" t="s">
        <v>37</v>
      </c>
      <c r="H195" s="4" t="s">
        <v>2256</v>
      </c>
      <c r="I195">
        <v>608679</v>
      </c>
      <c r="J195" s="8" t="s">
        <v>2347</v>
      </c>
      <c r="K195" t="s">
        <v>824</v>
      </c>
      <c r="L195" t="s">
        <v>825</v>
      </c>
      <c r="M195" t="s">
        <v>89</v>
      </c>
      <c r="N195">
        <f t="shared" si="9"/>
        <v>7</v>
      </c>
      <c r="O195">
        <v>1</v>
      </c>
      <c r="P195" s="6">
        <v>152.49</v>
      </c>
      <c r="Q195">
        <v>7.62</v>
      </c>
      <c r="R195">
        <v>144.87</v>
      </c>
      <c r="S195">
        <v>7.24</v>
      </c>
      <c r="T195">
        <v>20</v>
      </c>
      <c r="U195">
        <v>5</v>
      </c>
      <c r="V195">
        <v>177.11</v>
      </c>
      <c r="W195" t="s">
        <v>27</v>
      </c>
      <c r="X195">
        <v>32</v>
      </c>
    </row>
    <row r="196" spans="1:24" ht="14.25" customHeight="1">
      <c r="A196" t="s">
        <v>826</v>
      </c>
      <c r="B196" t="s">
        <v>2265</v>
      </c>
      <c r="C196" s="6" t="str">
        <f t="shared" si="10"/>
        <v>January</v>
      </c>
      <c r="D196" s="6" t="str">
        <f t="shared" si="11"/>
        <v>15</v>
      </c>
      <c r="E196" t="s">
        <v>827</v>
      </c>
      <c r="F196" t="s">
        <v>21</v>
      </c>
      <c r="G196" t="s">
        <v>68</v>
      </c>
      <c r="H196" s="4" t="s">
        <v>2256</v>
      </c>
      <c r="I196">
        <v>680780</v>
      </c>
      <c r="J196" s="8" t="s">
        <v>62</v>
      </c>
      <c r="K196" t="s">
        <v>828</v>
      </c>
      <c r="L196" t="s">
        <v>829</v>
      </c>
      <c r="M196" t="s">
        <v>22</v>
      </c>
      <c r="N196">
        <f t="shared" si="9"/>
        <v>6</v>
      </c>
      <c r="O196">
        <v>2</v>
      </c>
      <c r="P196" s="6">
        <v>109.54</v>
      </c>
      <c r="Q196">
        <v>5.48</v>
      </c>
      <c r="R196">
        <v>213.6</v>
      </c>
      <c r="S196">
        <v>10.68</v>
      </c>
      <c r="T196">
        <v>10</v>
      </c>
      <c r="U196">
        <v>20</v>
      </c>
      <c r="V196">
        <v>254.28</v>
      </c>
      <c r="W196" t="s">
        <v>27</v>
      </c>
      <c r="X196">
        <v>38</v>
      </c>
    </row>
    <row r="197" spans="1:24" ht="14.25" customHeight="1">
      <c r="A197" t="s">
        <v>830</v>
      </c>
      <c r="B197" t="s">
        <v>2266</v>
      </c>
      <c r="C197" s="6" t="str">
        <f t="shared" si="10"/>
        <v>February</v>
      </c>
      <c r="D197" s="6" t="str">
        <f t="shared" si="11"/>
        <v>12</v>
      </c>
      <c r="E197" t="s">
        <v>831</v>
      </c>
      <c r="F197" t="s">
        <v>21</v>
      </c>
      <c r="G197" t="s">
        <v>74</v>
      </c>
      <c r="H197" s="4" t="s">
        <v>2256</v>
      </c>
      <c r="I197">
        <v>777974</v>
      </c>
      <c r="J197" s="8" t="s">
        <v>30</v>
      </c>
      <c r="K197" t="s">
        <v>832</v>
      </c>
      <c r="L197" t="s">
        <v>833</v>
      </c>
      <c r="M197" t="s">
        <v>40</v>
      </c>
      <c r="N197">
        <f t="shared" si="9"/>
        <v>6</v>
      </c>
      <c r="O197">
        <v>2</v>
      </c>
      <c r="P197" s="6">
        <v>87.23</v>
      </c>
      <c r="Q197">
        <v>8.7200000000000006</v>
      </c>
      <c r="R197">
        <v>165.74</v>
      </c>
      <c r="S197">
        <v>8.2899999999999991</v>
      </c>
      <c r="T197">
        <v>10</v>
      </c>
      <c r="U197">
        <v>20</v>
      </c>
      <c r="V197">
        <v>204.03</v>
      </c>
      <c r="W197" t="s">
        <v>27</v>
      </c>
      <c r="X197">
        <v>28</v>
      </c>
    </row>
    <row r="198" spans="1:24" ht="14.25" customHeight="1">
      <c r="A198" t="s">
        <v>834</v>
      </c>
      <c r="B198" t="s">
        <v>2264</v>
      </c>
      <c r="C198" s="6" t="str">
        <f t="shared" si="10"/>
        <v>January</v>
      </c>
      <c r="D198" s="6" t="str">
        <f t="shared" si="11"/>
        <v>29</v>
      </c>
      <c r="E198" t="s">
        <v>835</v>
      </c>
      <c r="F198" t="s">
        <v>21</v>
      </c>
      <c r="G198" t="s">
        <v>37</v>
      </c>
      <c r="H198" s="4" t="s">
        <v>2256</v>
      </c>
      <c r="I198">
        <v>652370</v>
      </c>
      <c r="J198" s="8" t="s">
        <v>30</v>
      </c>
      <c r="K198" t="s">
        <v>836</v>
      </c>
      <c r="L198" t="s">
        <v>837</v>
      </c>
      <c r="M198" t="s">
        <v>45</v>
      </c>
      <c r="N198">
        <f t="shared" si="9"/>
        <v>6</v>
      </c>
      <c r="O198">
        <v>1</v>
      </c>
      <c r="P198" s="6">
        <v>118.14</v>
      </c>
      <c r="Q198">
        <v>0</v>
      </c>
      <c r="R198">
        <v>118.14</v>
      </c>
      <c r="S198">
        <v>5.91</v>
      </c>
      <c r="T198">
        <v>30</v>
      </c>
      <c r="U198">
        <v>20</v>
      </c>
      <c r="V198">
        <v>174.05</v>
      </c>
      <c r="W198" t="s">
        <v>27</v>
      </c>
      <c r="X198">
        <v>24</v>
      </c>
    </row>
    <row r="199" spans="1:24" ht="14.25" customHeight="1">
      <c r="A199" t="s">
        <v>838</v>
      </c>
      <c r="B199" t="s">
        <v>2275</v>
      </c>
      <c r="C199" s="6" t="str">
        <f t="shared" si="10"/>
        <v>February</v>
      </c>
      <c r="D199" s="6" t="str">
        <f t="shared" si="11"/>
        <v>05</v>
      </c>
      <c r="E199" t="s">
        <v>839</v>
      </c>
      <c r="F199" t="s">
        <v>21</v>
      </c>
      <c r="G199" t="s">
        <v>37</v>
      </c>
      <c r="H199" s="4" t="s">
        <v>2256</v>
      </c>
      <c r="I199">
        <v>301139</v>
      </c>
      <c r="J199" s="8" t="s">
        <v>62</v>
      </c>
      <c r="K199" t="s">
        <v>840</v>
      </c>
      <c r="L199" t="s">
        <v>841</v>
      </c>
      <c r="M199" t="s">
        <v>40</v>
      </c>
      <c r="N199">
        <f t="shared" si="9"/>
        <v>6</v>
      </c>
      <c r="O199">
        <v>7</v>
      </c>
      <c r="P199" s="6">
        <v>118.36</v>
      </c>
      <c r="Q199">
        <v>5.92</v>
      </c>
      <c r="R199">
        <v>822.6</v>
      </c>
      <c r="S199">
        <v>41.13</v>
      </c>
      <c r="T199">
        <v>10</v>
      </c>
      <c r="U199">
        <v>10</v>
      </c>
      <c r="V199">
        <v>883.73</v>
      </c>
      <c r="W199" t="s">
        <v>27</v>
      </c>
      <c r="X199">
        <v>15</v>
      </c>
    </row>
    <row r="200" spans="1:24" ht="14.25" customHeight="1">
      <c r="A200" t="s">
        <v>842</v>
      </c>
      <c r="B200" t="s">
        <v>2318</v>
      </c>
      <c r="C200" s="6" t="str">
        <f t="shared" si="10"/>
        <v>January</v>
      </c>
      <c r="D200" s="6" t="str">
        <f t="shared" si="11"/>
        <v>13</v>
      </c>
      <c r="E200" t="s">
        <v>843</v>
      </c>
      <c r="F200" t="s">
        <v>21</v>
      </c>
      <c r="G200" t="s">
        <v>68</v>
      </c>
      <c r="H200" s="4" t="s">
        <v>2256</v>
      </c>
      <c r="I200">
        <v>338340</v>
      </c>
      <c r="J200" s="8" t="s">
        <v>30</v>
      </c>
      <c r="K200" t="s">
        <v>844</v>
      </c>
      <c r="L200" t="s">
        <v>845</v>
      </c>
      <c r="M200" t="s">
        <v>65</v>
      </c>
      <c r="N200">
        <f t="shared" si="9"/>
        <v>6</v>
      </c>
      <c r="O200">
        <v>5</v>
      </c>
      <c r="P200" s="6">
        <v>68.23</v>
      </c>
      <c r="Q200">
        <v>10.23</v>
      </c>
      <c r="R200">
        <v>330.92</v>
      </c>
      <c r="S200">
        <v>16.55</v>
      </c>
      <c r="T200">
        <v>0</v>
      </c>
      <c r="U200">
        <v>15</v>
      </c>
      <c r="V200">
        <v>362.47</v>
      </c>
      <c r="W200" t="s">
        <v>27</v>
      </c>
      <c r="X200">
        <v>29</v>
      </c>
    </row>
    <row r="201" spans="1:24" ht="14.25" customHeight="1">
      <c r="A201" t="s">
        <v>846</v>
      </c>
      <c r="B201" t="s">
        <v>2319</v>
      </c>
      <c r="C201" s="6" t="str">
        <f t="shared" si="10"/>
        <v>February</v>
      </c>
      <c r="D201" s="6" t="str">
        <f t="shared" si="11"/>
        <v>01</v>
      </c>
      <c r="E201" t="s">
        <v>847</v>
      </c>
      <c r="F201" t="s">
        <v>21</v>
      </c>
      <c r="G201" t="s">
        <v>74</v>
      </c>
      <c r="H201" s="4" t="s">
        <v>2256</v>
      </c>
      <c r="I201">
        <v>928965</v>
      </c>
      <c r="J201" s="8" t="s">
        <v>2348</v>
      </c>
      <c r="K201" t="s">
        <v>848</v>
      </c>
      <c r="L201" t="s">
        <v>849</v>
      </c>
      <c r="M201" t="s">
        <v>177</v>
      </c>
      <c r="N201">
        <f t="shared" si="9"/>
        <v>5</v>
      </c>
      <c r="O201">
        <v>5</v>
      </c>
      <c r="P201" s="6">
        <v>208.27</v>
      </c>
      <c r="Q201">
        <v>10.41</v>
      </c>
      <c r="R201">
        <v>1030.94</v>
      </c>
      <c r="S201">
        <v>51.55</v>
      </c>
      <c r="T201">
        <v>30</v>
      </c>
      <c r="U201">
        <v>20</v>
      </c>
      <c r="V201">
        <v>1132.49</v>
      </c>
      <c r="W201" t="s">
        <v>27</v>
      </c>
      <c r="X201">
        <v>22</v>
      </c>
    </row>
    <row r="202" spans="1:24" ht="14.25" customHeight="1">
      <c r="A202" t="s">
        <v>850</v>
      </c>
      <c r="B202" t="s">
        <v>2298</v>
      </c>
      <c r="C202" s="6" t="str">
        <f t="shared" si="10"/>
        <v>January</v>
      </c>
      <c r="D202" s="6" t="str">
        <f t="shared" si="11"/>
        <v>07</v>
      </c>
      <c r="E202" t="s">
        <v>851</v>
      </c>
      <c r="F202" t="s">
        <v>80</v>
      </c>
      <c r="G202" t="s">
        <v>81</v>
      </c>
      <c r="H202" s="4" t="s">
        <v>2256</v>
      </c>
      <c r="I202">
        <v>248702</v>
      </c>
      <c r="J202" s="8" t="s">
        <v>2349</v>
      </c>
      <c r="K202" t="s">
        <v>24</v>
      </c>
      <c r="L202" t="s">
        <v>25</v>
      </c>
      <c r="M202" t="s">
        <v>50</v>
      </c>
      <c r="N202">
        <f t="shared" si="9"/>
        <v>5</v>
      </c>
      <c r="O202">
        <v>5</v>
      </c>
      <c r="P202" s="6">
        <v>52.75</v>
      </c>
      <c r="Q202">
        <v>2.64</v>
      </c>
      <c r="R202">
        <v>261.11</v>
      </c>
      <c r="S202">
        <v>13.06</v>
      </c>
      <c r="T202">
        <v>0</v>
      </c>
      <c r="U202">
        <v>10</v>
      </c>
      <c r="V202">
        <v>284.17</v>
      </c>
      <c r="W202" t="s">
        <v>27</v>
      </c>
      <c r="X202">
        <v>23</v>
      </c>
    </row>
    <row r="203" spans="1:24" ht="14.25" customHeight="1">
      <c r="A203" t="s">
        <v>852</v>
      </c>
      <c r="B203" t="s">
        <v>2289</v>
      </c>
      <c r="C203" s="6" t="str">
        <f t="shared" si="10"/>
        <v>February</v>
      </c>
      <c r="D203" s="6" t="str">
        <f t="shared" si="11"/>
        <v>28</v>
      </c>
      <c r="E203" t="s">
        <v>853</v>
      </c>
      <c r="F203" t="s">
        <v>21</v>
      </c>
      <c r="G203" t="s">
        <v>68</v>
      </c>
      <c r="H203" s="4" t="s">
        <v>2256</v>
      </c>
      <c r="I203">
        <v>308432</v>
      </c>
      <c r="J203" s="8" t="s">
        <v>62</v>
      </c>
      <c r="K203" t="s">
        <v>31</v>
      </c>
      <c r="L203" t="s">
        <v>32</v>
      </c>
      <c r="M203" t="s">
        <v>45</v>
      </c>
      <c r="N203">
        <f t="shared" si="9"/>
        <v>6</v>
      </c>
      <c r="O203">
        <v>2</v>
      </c>
      <c r="P203" s="6">
        <v>249.44</v>
      </c>
      <c r="Q203">
        <v>12.47</v>
      </c>
      <c r="R203">
        <v>486.41</v>
      </c>
      <c r="S203">
        <v>24.32</v>
      </c>
      <c r="T203">
        <v>20</v>
      </c>
      <c r="U203">
        <v>10</v>
      </c>
      <c r="V203">
        <v>540.73</v>
      </c>
      <c r="W203" t="s">
        <v>27</v>
      </c>
      <c r="X203">
        <v>18</v>
      </c>
    </row>
    <row r="204" spans="1:24" ht="14.25" customHeight="1">
      <c r="A204" t="s">
        <v>854</v>
      </c>
      <c r="B204" t="s">
        <v>2294</v>
      </c>
      <c r="C204" s="6" t="str">
        <f t="shared" si="10"/>
        <v>February</v>
      </c>
      <c r="D204" s="6" t="str">
        <f t="shared" si="11"/>
        <v>20</v>
      </c>
      <c r="E204" t="s">
        <v>855</v>
      </c>
      <c r="F204" t="s">
        <v>101</v>
      </c>
      <c r="G204" t="s">
        <v>81</v>
      </c>
      <c r="H204" s="4" t="s">
        <v>2256</v>
      </c>
      <c r="I204">
        <v>552776</v>
      </c>
      <c r="J204" s="8" t="s">
        <v>2347</v>
      </c>
      <c r="K204" t="s">
        <v>38</v>
      </c>
      <c r="L204" t="s">
        <v>39</v>
      </c>
      <c r="M204" t="s">
        <v>40</v>
      </c>
      <c r="N204">
        <f t="shared" si="9"/>
        <v>6</v>
      </c>
      <c r="O204">
        <v>3</v>
      </c>
      <c r="P204" s="6">
        <v>167.97</v>
      </c>
      <c r="Q204">
        <v>8.4</v>
      </c>
      <c r="R204">
        <v>495.51</v>
      </c>
      <c r="S204">
        <v>24.78</v>
      </c>
      <c r="T204">
        <v>10</v>
      </c>
      <c r="U204">
        <v>20</v>
      </c>
      <c r="V204">
        <v>550.29</v>
      </c>
      <c r="W204" t="s">
        <v>27</v>
      </c>
      <c r="X204">
        <v>23</v>
      </c>
    </row>
    <row r="205" spans="1:24" ht="14.25" customHeight="1">
      <c r="A205" t="s">
        <v>856</v>
      </c>
      <c r="B205" t="s">
        <v>2278</v>
      </c>
      <c r="C205" s="6" t="str">
        <f t="shared" si="10"/>
        <v>January</v>
      </c>
      <c r="D205" s="6" t="str">
        <f t="shared" si="11"/>
        <v>22</v>
      </c>
      <c r="E205" t="s">
        <v>857</v>
      </c>
      <c r="F205" t="s">
        <v>21</v>
      </c>
      <c r="G205" t="s">
        <v>37</v>
      </c>
      <c r="H205" s="4" t="s">
        <v>2256</v>
      </c>
      <c r="I205">
        <v>933289</v>
      </c>
      <c r="J205" s="8" t="s">
        <v>2349</v>
      </c>
      <c r="K205" t="s">
        <v>43</v>
      </c>
      <c r="L205" t="s">
        <v>44</v>
      </c>
      <c r="M205" t="s">
        <v>89</v>
      </c>
      <c r="N205">
        <f t="shared" ref="N205:N268" si="12">LEN(M205)</f>
        <v>7</v>
      </c>
      <c r="O205">
        <v>4</v>
      </c>
      <c r="P205" s="6">
        <v>147.6</v>
      </c>
      <c r="Q205">
        <v>14.76</v>
      </c>
      <c r="R205">
        <v>575.64</v>
      </c>
      <c r="S205">
        <v>28.78</v>
      </c>
      <c r="T205">
        <v>0</v>
      </c>
      <c r="U205">
        <v>15</v>
      </c>
      <c r="V205">
        <v>619.41999999999996</v>
      </c>
      <c r="W205" t="s">
        <v>27</v>
      </c>
      <c r="X205">
        <v>18</v>
      </c>
    </row>
    <row r="206" spans="1:24" ht="14.25" customHeight="1">
      <c r="A206" t="s">
        <v>858</v>
      </c>
      <c r="B206" t="s">
        <v>2291</v>
      </c>
      <c r="C206" s="6" t="str">
        <f t="shared" si="10"/>
        <v>January</v>
      </c>
      <c r="D206" s="6" t="str">
        <f t="shared" si="11"/>
        <v>28</v>
      </c>
      <c r="E206" t="s">
        <v>859</v>
      </c>
      <c r="F206" t="s">
        <v>21</v>
      </c>
      <c r="G206" t="s">
        <v>37</v>
      </c>
      <c r="H206" s="4" t="s">
        <v>2256</v>
      </c>
      <c r="I206">
        <v>903585</v>
      </c>
      <c r="J206" s="8" t="s">
        <v>2347</v>
      </c>
      <c r="K206" t="s">
        <v>48</v>
      </c>
      <c r="L206" t="s">
        <v>49</v>
      </c>
      <c r="M206" t="s">
        <v>55</v>
      </c>
      <c r="N206">
        <f t="shared" si="12"/>
        <v>5</v>
      </c>
      <c r="O206">
        <v>2</v>
      </c>
      <c r="P206" s="6">
        <v>125.4</v>
      </c>
      <c r="Q206">
        <v>18.809999999999999</v>
      </c>
      <c r="R206">
        <v>231.99</v>
      </c>
      <c r="S206">
        <v>11.6</v>
      </c>
      <c r="T206">
        <v>30</v>
      </c>
      <c r="U206">
        <v>0</v>
      </c>
      <c r="V206">
        <v>273.58999999999997</v>
      </c>
      <c r="W206" t="s">
        <v>27</v>
      </c>
      <c r="X206">
        <v>32</v>
      </c>
    </row>
    <row r="207" spans="1:24" ht="14.25" customHeight="1">
      <c r="A207" t="s">
        <v>860</v>
      </c>
      <c r="B207" t="s">
        <v>2279</v>
      </c>
      <c r="C207" s="6" t="str">
        <f t="shared" si="10"/>
        <v>January</v>
      </c>
      <c r="D207" s="6" t="str">
        <f t="shared" si="11"/>
        <v>02</v>
      </c>
      <c r="E207" t="s">
        <v>861</v>
      </c>
      <c r="F207" t="s">
        <v>21</v>
      </c>
      <c r="G207" t="s">
        <v>106</v>
      </c>
      <c r="H207" s="4" t="s">
        <v>2256</v>
      </c>
      <c r="I207">
        <v>719745</v>
      </c>
      <c r="J207" s="8" t="s">
        <v>30</v>
      </c>
      <c r="K207" t="s">
        <v>53</v>
      </c>
      <c r="L207" t="s">
        <v>54</v>
      </c>
      <c r="M207" t="s">
        <v>130</v>
      </c>
      <c r="N207">
        <f t="shared" si="12"/>
        <v>7</v>
      </c>
      <c r="O207">
        <v>5</v>
      </c>
      <c r="P207" s="6">
        <v>39.17</v>
      </c>
      <c r="Q207">
        <v>0</v>
      </c>
      <c r="R207">
        <v>195.85</v>
      </c>
      <c r="S207">
        <v>9.7899999999999991</v>
      </c>
      <c r="T207">
        <v>0</v>
      </c>
      <c r="U207">
        <v>10</v>
      </c>
      <c r="V207">
        <v>215.64</v>
      </c>
      <c r="W207" t="s">
        <v>27</v>
      </c>
      <c r="X207">
        <v>15</v>
      </c>
    </row>
    <row r="208" spans="1:24" ht="14.25" customHeight="1">
      <c r="A208" t="s">
        <v>862</v>
      </c>
      <c r="B208" t="s">
        <v>2290</v>
      </c>
      <c r="C208" s="6" t="str">
        <f t="shared" si="10"/>
        <v>February</v>
      </c>
      <c r="D208" s="6" t="str">
        <f t="shared" si="11"/>
        <v>11</v>
      </c>
      <c r="E208" t="s">
        <v>863</v>
      </c>
      <c r="F208" t="s">
        <v>21</v>
      </c>
      <c r="G208" t="s">
        <v>74</v>
      </c>
      <c r="H208" s="4" t="s">
        <v>2256</v>
      </c>
      <c r="I208">
        <v>126806</v>
      </c>
      <c r="J208" s="8" t="s">
        <v>30</v>
      </c>
      <c r="K208" t="s">
        <v>58</v>
      </c>
      <c r="L208" t="s">
        <v>59</v>
      </c>
      <c r="M208" t="s">
        <v>65</v>
      </c>
      <c r="N208">
        <f t="shared" si="12"/>
        <v>6</v>
      </c>
      <c r="O208">
        <v>4</v>
      </c>
      <c r="P208" s="6">
        <v>189.47</v>
      </c>
      <c r="Q208">
        <v>0</v>
      </c>
      <c r="R208">
        <v>757.88</v>
      </c>
      <c r="S208">
        <v>37.89</v>
      </c>
      <c r="T208">
        <v>10</v>
      </c>
      <c r="U208">
        <v>15</v>
      </c>
      <c r="V208">
        <v>820.77</v>
      </c>
      <c r="W208" t="s">
        <v>27</v>
      </c>
      <c r="X208">
        <v>14</v>
      </c>
    </row>
    <row r="209" spans="1:24" ht="14.25" customHeight="1">
      <c r="A209" t="s">
        <v>864</v>
      </c>
      <c r="B209" t="s">
        <v>2314</v>
      </c>
      <c r="C209" s="6" t="str">
        <f t="shared" si="10"/>
        <v>February</v>
      </c>
      <c r="D209" s="6" t="str">
        <f t="shared" si="11"/>
        <v>14</v>
      </c>
      <c r="E209" t="s">
        <v>865</v>
      </c>
      <c r="F209" t="s">
        <v>21</v>
      </c>
      <c r="G209" t="s">
        <v>106</v>
      </c>
      <c r="H209" s="4" t="s">
        <v>2256</v>
      </c>
      <c r="I209">
        <v>979381</v>
      </c>
      <c r="J209" s="8" t="s">
        <v>2346</v>
      </c>
      <c r="K209" t="s">
        <v>63</v>
      </c>
      <c r="L209" t="s">
        <v>64</v>
      </c>
      <c r="M209" t="s">
        <v>45</v>
      </c>
      <c r="N209">
        <f t="shared" si="12"/>
        <v>6</v>
      </c>
      <c r="O209">
        <v>1</v>
      </c>
      <c r="P209" s="6">
        <v>191.14</v>
      </c>
      <c r="Q209">
        <v>9.56</v>
      </c>
      <c r="R209">
        <v>181.58</v>
      </c>
      <c r="S209">
        <v>9.08</v>
      </c>
      <c r="T209">
        <v>10</v>
      </c>
      <c r="U209">
        <v>20</v>
      </c>
      <c r="V209">
        <v>220.66</v>
      </c>
      <c r="W209" t="s">
        <v>27</v>
      </c>
      <c r="X209">
        <v>32</v>
      </c>
    </row>
    <row r="210" spans="1:24" ht="14.25" customHeight="1">
      <c r="A210" t="s">
        <v>866</v>
      </c>
      <c r="B210" t="s">
        <v>2296</v>
      </c>
      <c r="C210" s="6" t="str">
        <f t="shared" si="10"/>
        <v>February</v>
      </c>
      <c r="D210" s="6" t="str">
        <f t="shared" si="11"/>
        <v>26</v>
      </c>
      <c r="E210" t="s">
        <v>867</v>
      </c>
      <c r="F210" t="s">
        <v>21</v>
      </c>
      <c r="G210" t="s">
        <v>22</v>
      </c>
      <c r="H210" s="4" t="s">
        <v>2256</v>
      </c>
      <c r="I210">
        <v>979903</v>
      </c>
      <c r="J210" s="8" t="s">
        <v>2345</v>
      </c>
      <c r="K210" t="s">
        <v>69</v>
      </c>
      <c r="L210" t="s">
        <v>70</v>
      </c>
      <c r="M210" t="s">
        <v>98</v>
      </c>
      <c r="N210">
        <f t="shared" si="12"/>
        <v>4</v>
      </c>
      <c r="O210">
        <v>3</v>
      </c>
      <c r="P210" s="6">
        <v>69.12</v>
      </c>
      <c r="Q210">
        <v>3.46</v>
      </c>
      <c r="R210">
        <v>203.9</v>
      </c>
      <c r="S210">
        <v>10.199999999999999</v>
      </c>
      <c r="T210">
        <v>20</v>
      </c>
      <c r="U210">
        <v>5</v>
      </c>
      <c r="V210">
        <v>239.1</v>
      </c>
      <c r="W210" t="s">
        <v>34</v>
      </c>
      <c r="X210">
        <v>25</v>
      </c>
    </row>
    <row r="211" spans="1:24" ht="14.25" customHeight="1">
      <c r="A211" t="s">
        <v>868</v>
      </c>
      <c r="B211" t="s">
        <v>2274</v>
      </c>
      <c r="C211" s="6" t="str">
        <f t="shared" si="10"/>
        <v>February</v>
      </c>
      <c r="D211" s="6" t="str">
        <f t="shared" si="11"/>
        <v>22</v>
      </c>
      <c r="E211" t="s">
        <v>869</v>
      </c>
      <c r="F211" t="s">
        <v>21</v>
      </c>
      <c r="G211" t="s">
        <v>37</v>
      </c>
      <c r="H211" s="4" t="s">
        <v>2256</v>
      </c>
      <c r="I211">
        <v>438416</v>
      </c>
      <c r="J211" s="8" t="s">
        <v>62</v>
      </c>
      <c r="K211" t="s">
        <v>75</v>
      </c>
      <c r="L211" t="s">
        <v>76</v>
      </c>
      <c r="M211" t="s">
        <v>50</v>
      </c>
      <c r="N211">
        <f t="shared" si="12"/>
        <v>5</v>
      </c>
      <c r="O211">
        <v>1</v>
      </c>
      <c r="P211" s="6">
        <v>162.57</v>
      </c>
      <c r="Q211">
        <v>24.39</v>
      </c>
      <c r="R211">
        <v>138.18</v>
      </c>
      <c r="S211">
        <v>6.91</v>
      </c>
      <c r="T211">
        <v>0</v>
      </c>
      <c r="U211">
        <v>0</v>
      </c>
      <c r="V211">
        <v>145.09</v>
      </c>
      <c r="W211" t="s">
        <v>27</v>
      </c>
      <c r="X211">
        <v>12</v>
      </c>
    </row>
    <row r="212" spans="1:24" ht="14.25" customHeight="1">
      <c r="A212" t="s">
        <v>870</v>
      </c>
      <c r="B212" t="s">
        <v>2308</v>
      </c>
      <c r="C212" s="6" t="str">
        <f t="shared" si="10"/>
        <v>January</v>
      </c>
      <c r="D212" s="6" t="str">
        <f t="shared" si="11"/>
        <v>06</v>
      </c>
      <c r="E212" t="s">
        <v>871</v>
      </c>
      <c r="F212" t="s">
        <v>21</v>
      </c>
      <c r="G212" t="s">
        <v>37</v>
      </c>
      <c r="H212" s="4" t="s">
        <v>2256</v>
      </c>
      <c r="I212">
        <v>783404</v>
      </c>
      <c r="J212" s="8" t="s">
        <v>62</v>
      </c>
      <c r="K212" t="s">
        <v>82</v>
      </c>
      <c r="L212" t="s">
        <v>83</v>
      </c>
      <c r="M212" t="s">
        <v>177</v>
      </c>
      <c r="N212">
        <f t="shared" si="12"/>
        <v>5</v>
      </c>
      <c r="O212">
        <v>1</v>
      </c>
      <c r="P212" s="6">
        <v>68.319999999999993</v>
      </c>
      <c r="Q212">
        <v>3.42</v>
      </c>
      <c r="R212">
        <v>64.899999999999991</v>
      </c>
      <c r="S212">
        <v>3.24</v>
      </c>
      <c r="T212">
        <v>0</v>
      </c>
      <c r="U212">
        <v>0</v>
      </c>
      <c r="V212">
        <v>68.139999999999986</v>
      </c>
      <c r="W212" t="s">
        <v>84</v>
      </c>
      <c r="X212">
        <v>25</v>
      </c>
    </row>
    <row r="213" spans="1:24" ht="14.25" customHeight="1">
      <c r="A213" t="s">
        <v>872</v>
      </c>
      <c r="B213" t="s">
        <v>2291</v>
      </c>
      <c r="C213" s="6" t="str">
        <f t="shared" si="10"/>
        <v>January</v>
      </c>
      <c r="D213" s="6" t="str">
        <f t="shared" si="11"/>
        <v>28</v>
      </c>
      <c r="E213" t="s">
        <v>873</v>
      </c>
      <c r="F213" t="s">
        <v>21</v>
      </c>
      <c r="G213" t="s">
        <v>74</v>
      </c>
      <c r="H213" s="4" t="s">
        <v>2256</v>
      </c>
      <c r="I213">
        <v>123387</v>
      </c>
      <c r="J213" s="8" t="s">
        <v>62</v>
      </c>
      <c r="K213" t="s">
        <v>87</v>
      </c>
      <c r="L213" t="s">
        <v>88</v>
      </c>
      <c r="M213" t="s">
        <v>89</v>
      </c>
      <c r="N213">
        <f t="shared" si="12"/>
        <v>7</v>
      </c>
      <c r="O213">
        <v>1</v>
      </c>
      <c r="P213" s="6">
        <v>118.37</v>
      </c>
      <c r="Q213">
        <v>17.760000000000002</v>
      </c>
      <c r="R213">
        <v>100.61</v>
      </c>
      <c r="S213">
        <v>5.03</v>
      </c>
      <c r="T213">
        <v>20</v>
      </c>
      <c r="U213">
        <v>10</v>
      </c>
      <c r="V213">
        <v>135.63999999999999</v>
      </c>
      <c r="W213" t="s">
        <v>34</v>
      </c>
      <c r="X213">
        <v>25</v>
      </c>
    </row>
    <row r="214" spans="1:24" ht="14.25" customHeight="1">
      <c r="A214" t="s">
        <v>874</v>
      </c>
      <c r="B214" t="s">
        <v>2291</v>
      </c>
      <c r="C214" s="6" t="str">
        <f t="shared" si="10"/>
        <v>January</v>
      </c>
      <c r="D214" s="6" t="str">
        <f t="shared" si="11"/>
        <v>28</v>
      </c>
      <c r="E214" t="s">
        <v>875</v>
      </c>
      <c r="F214" t="s">
        <v>21</v>
      </c>
      <c r="G214" t="s">
        <v>22</v>
      </c>
      <c r="H214" s="4" t="s">
        <v>2256</v>
      </c>
      <c r="I214">
        <v>277558</v>
      </c>
      <c r="J214" s="8" t="s">
        <v>2347</v>
      </c>
      <c r="K214" t="s">
        <v>92</v>
      </c>
      <c r="L214" t="s">
        <v>93</v>
      </c>
      <c r="M214" t="s">
        <v>45</v>
      </c>
      <c r="N214">
        <f t="shared" si="12"/>
        <v>6</v>
      </c>
      <c r="O214">
        <v>4</v>
      </c>
      <c r="P214" s="6">
        <v>81.39</v>
      </c>
      <c r="Q214">
        <v>8.14</v>
      </c>
      <c r="R214">
        <v>317.42</v>
      </c>
      <c r="S214">
        <v>15.87</v>
      </c>
      <c r="T214">
        <v>0</v>
      </c>
      <c r="U214">
        <v>0</v>
      </c>
      <c r="V214">
        <v>333.29</v>
      </c>
      <c r="W214" t="s">
        <v>27</v>
      </c>
      <c r="X214">
        <v>34</v>
      </c>
    </row>
    <row r="215" spans="1:24" ht="14.25" customHeight="1">
      <c r="A215" t="s">
        <v>876</v>
      </c>
      <c r="B215" t="s">
        <v>2280</v>
      </c>
      <c r="C215" s="6" t="str">
        <f t="shared" si="10"/>
        <v>February</v>
      </c>
      <c r="D215" s="6" t="str">
        <f t="shared" si="11"/>
        <v>13</v>
      </c>
      <c r="E215" t="s">
        <v>877</v>
      </c>
      <c r="F215" t="s">
        <v>21</v>
      </c>
      <c r="G215" t="s">
        <v>22</v>
      </c>
      <c r="H215" s="4" t="s">
        <v>2256</v>
      </c>
      <c r="I215">
        <v>651332</v>
      </c>
      <c r="J215" s="8" t="s">
        <v>2348</v>
      </c>
      <c r="K215" t="s">
        <v>96</v>
      </c>
      <c r="L215" t="s">
        <v>97</v>
      </c>
      <c r="M215" t="s">
        <v>71</v>
      </c>
      <c r="N215">
        <f t="shared" si="12"/>
        <v>6</v>
      </c>
      <c r="O215">
        <v>5</v>
      </c>
      <c r="P215" s="6">
        <v>227.96</v>
      </c>
      <c r="Q215">
        <v>34.19</v>
      </c>
      <c r="R215">
        <v>1105.6099999999999</v>
      </c>
      <c r="S215">
        <v>55.28</v>
      </c>
      <c r="T215">
        <v>0</v>
      </c>
      <c r="U215">
        <v>15</v>
      </c>
      <c r="V215">
        <v>1175.8900000000001</v>
      </c>
      <c r="W215" t="s">
        <v>27</v>
      </c>
      <c r="X215">
        <v>48</v>
      </c>
    </row>
    <row r="216" spans="1:24" ht="14.25" customHeight="1">
      <c r="A216" t="s">
        <v>878</v>
      </c>
      <c r="B216" t="s">
        <v>2280</v>
      </c>
      <c r="C216" s="6" t="str">
        <f t="shared" si="10"/>
        <v>February</v>
      </c>
      <c r="D216" s="6" t="str">
        <f t="shared" si="11"/>
        <v>13</v>
      </c>
      <c r="E216" t="s">
        <v>879</v>
      </c>
      <c r="F216" t="s">
        <v>21</v>
      </c>
      <c r="G216" t="s">
        <v>74</v>
      </c>
      <c r="H216" s="4" t="s">
        <v>2256</v>
      </c>
      <c r="I216">
        <v>895928</v>
      </c>
      <c r="J216" s="8" t="s">
        <v>62</v>
      </c>
      <c r="K216" t="s">
        <v>102</v>
      </c>
      <c r="L216" t="s">
        <v>103</v>
      </c>
      <c r="M216" t="s">
        <v>177</v>
      </c>
      <c r="N216">
        <f t="shared" si="12"/>
        <v>5</v>
      </c>
      <c r="O216">
        <v>3</v>
      </c>
      <c r="P216" s="6">
        <v>98.1</v>
      </c>
      <c r="Q216">
        <v>14.71</v>
      </c>
      <c r="R216">
        <v>279.58999999999997</v>
      </c>
      <c r="S216">
        <v>13.98</v>
      </c>
      <c r="T216">
        <v>20</v>
      </c>
      <c r="U216">
        <v>15</v>
      </c>
      <c r="V216">
        <v>328.57</v>
      </c>
      <c r="W216" t="s">
        <v>27</v>
      </c>
      <c r="X216">
        <v>16</v>
      </c>
    </row>
    <row r="217" spans="1:24" ht="14.25" customHeight="1">
      <c r="A217" t="s">
        <v>880</v>
      </c>
      <c r="B217" t="s">
        <v>2305</v>
      </c>
      <c r="C217" s="6" t="str">
        <f t="shared" si="10"/>
        <v>January</v>
      </c>
      <c r="D217" s="6" t="str">
        <f t="shared" si="11"/>
        <v>20</v>
      </c>
      <c r="E217" t="s">
        <v>881</v>
      </c>
      <c r="F217" t="s">
        <v>21</v>
      </c>
      <c r="G217" t="s">
        <v>68</v>
      </c>
      <c r="H217" s="4" t="s">
        <v>2256</v>
      </c>
      <c r="I217">
        <v>877401</v>
      </c>
      <c r="J217" s="8" t="s">
        <v>30</v>
      </c>
      <c r="K217" t="s">
        <v>107</v>
      </c>
      <c r="L217" t="s">
        <v>108</v>
      </c>
      <c r="M217" t="s">
        <v>71</v>
      </c>
      <c r="N217">
        <f t="shared" si="12"/>
        <v>6</v>
      </c>
      <c r="O217">
        <v>2</v>
      </c>
      <c r="P217" s="6">
        <v>73.260000000000005</v>
      </c>
      <c r="Q217">
        <v>7.33</v>
      </c>
      <c r="R217">
        <v>139.19</v>
      </c>
      <c r="S217">
        <v>6.96</v>
      </c>
      <c r="T217">
        <v>30</v>
      </c>
      <c r="U217">
        <v>5</v>
      </c>
      <c r="V217">
        <v>181.15</v>
      </c>
      <c r="W217" t="s">
        <v>27</v>
      </c>
      <c r="X217">
        <v>45</v>
      </c>
    </row>
    <row r="218" spans="1:24" ht="14.25" customHeight="1">
      <c r="A218" t="s">
        <v>882</v>
      </c>
      <c r="B218" t="s">
        <v>2281</v>
      </c>
      <c r="C218" s="6" t="str">
        <f t="shared" si="10"/>
        <v>January</v>
      </c>
      <c r="D218" s="6" t="str">
        <f t="shared" si="11"/>
        <v>30</v>
      </c>
      <c r="E218" t="s">
        <v>883</v>
      </c>
      <c r="F218" t="s">
        <v>80</v>
      </c>
      <c r="G218" t="s">
        <v>81</v>
      </c>
      <c r="H218" s="4" t="s">
        <v>2256</v>
      </c>
      <c r="I218">
        <v>789556</v>
      </c>
      <c r="J218" s="8" t="s">
        <v>30</v>
      </c>
      <c r="K218" t="s">
        <v>111</v>
      </c>
      <c r="L218" t="s">
        <v>112</v>
      </c>
      <c r="M218" t="s">
        <v>26</v>
      </c>
      <c r="N218">
        <f t="shared" si="12"/>
        <v>3</v>
      </c>
      <c r="O218">
        <v>1</v>
      </c>
      <c r="P218" s="6">
        <v>138.9</v>
      </c>
      <c r="Q218">
        <v>13.89</v>
      </c>
      <c r="R218">
        <v>125.01</v>
      </c>
      <c r="S218">
        <v>6.25</v>
      </c>
      <c r="T218">
        <v>0</v>
      </c>
      <c r="U218">
        <v>5</v>
      </c>
      <c r="V218">
        <v>136.26</v>
      </c>
      <c r="W218" t="s">
        <v>27</v>
      </c>
      <c r="X218">
        <v>23</v>
      </c>
    </row>
    <row r="219" spans="1:24" ht="14.25" customHeight="1">
      <c r="A219" t="s">
        <v>884</v>
      </c>
      <c r="B219" t="s">
        <v>2272</v>
      </c>
      <c r="C219" s="6" t="str">
        <f t="shared" si="10"/>
        <v>January</v>
      </c>
      <c r="D219" s="6" t="str">
        <f t="shared" si="11"/>
        <v>11</v>
      </c>
      <c r="E219" t="s">
        <v>885</v>
      </c>
      <c r="F219" t="s">
        <v>21</v>
      </c>
      <c r="G219" t="s">
        <v>68</v>
      </c>
      <c r="H219" s="4" t="s">
        <v>2256</v>
      </c>
      <c r="I219">
        <v>787016</v>
      </c>
      <c r="J219" s="8" t="s">
        <v>30</v>
      </c>
      <c r="K219" t="s">
        <v>115</v>
      </c>
      <c r="L219" t="s">
        <v>116</v>
      </c>
      <c r="M219" t="s">
        <v>177</v>
      </c>
      <c r="N219">
        <f t="shared" si="12"/>
        <v>5</v>
      </c>
      <c r="O219">
        <v>2</v>
      </c>
      <c r="P219" s="6">
        <v>119.84</v>
      </c>
      <c r="Q219">
        <v>11.98</v>
      </c>
      <c r="R219">
        <v>227.7</v>
      </c>
      <c r="S219">
        <v>11.39</v>
      </c>
      <c r="T219">
        <v>10</v>
      </c>
      <c r="U219">
        <v>15</v>
      </c>
      <c r="V219">
        <v>264.08999999999997</v>
      </c>
      <c r="W219" t="s">
        <v>27</v>
      </c>
      <c r="X219">
        <v>28</v>
      </c>
    </row>
    <row r="220" spans="1:24" ht="14.25" customHeight="1">
      <c r="A220" t="s">
        <v>886</v>
      </c>
      <c r="B220" t="s">
        <v>2269</v>
      </c>
      <c r="C220" s="6" t="str">
        <f t="shared" si="10"/>
        <v>February</v>
      </c>
      <c r="D220" s="6" t="str">
        <f t="shared" si="11"/>
        <v>27</v>
      </c>
      <c r="E220" t="s">
        <v>887</v>
      </c>
      <c r="F220" t="s">
        <v>21</v>
      </c>
      <c r="G220" t="s">
        <v>106</v>
      </c>
      <c r="H220" s="4" t="s">
        <v>2256</v>
      </c>
      <c r="I220">
        <v>791211</v>
      </c>
      <c r="J220" s="8" t="s">
        <v>2345</v>
      </c>
      <c r="K220" t="s">
        <v>120</v>
      </c>
      <c r="L220" t="s">
        <v>121</v>
      </c>
      <c r="M220" t="s">
        <v>55</v>
      </c>
      <c r="N220">
        <f t="shared" si="12"/>
        <v>5</v>
      </c>
      <c r="O220">
        <v>3</v>
      </c>
      <c r="P220" s="6">
        <v>138.13999999999999</v>
      </c>
      <c r="Q220">
        <v>0</v>
      </c>
      <c r="R220">
        <v>414.42</v>
      </c>
      <c r="S220">
        <v>20.72</v>
      </c>
      <c r="T220">
        <v>20</v>
      </c>
      <c r="U220">
        <v>15</v>
      </c>
      <c r="V220">
        <v>470.14</v>
      </c>
      <c r="W220" t="s">
        <v>27</v>
      </c>
      <c r="X220">
        <v>8</v>
      </c>
    </row>
    <row r="221" spans="1:24" ht="14.25" customHeight="1">
      <c r="A221" t="s">
        <v>888</v>
      </c>
      <c r="B221" t="s">
        <v>2295</v>
      </c>
      <c r="C221" s="6" t="str">
        <f t="shared" si="10"/>
        <v>February</v>
      </c>
      <c r="D221" s="6" t="str">
        <f t="shared" si="11"/>
        <v>24</v>
      </c>
      <c r="E221" t="s">
        <v>889</v>
      </c>
      <c r="F221" t="s">
        <v>21</v>
      </c>
      <c r="G221" t="s">
        <v>106</v>
      </c>
      <c r="H221" s="4" t="s">
        <v>2256</v>
      </c>
      <c r="I221">
        <v>664660</v>
      </c>
      <c r="J221" s="8" t="s">
        <v>2348</v>
      </c>
      <c r="K221" t="s">
        <v>124</v>
      </c>
      <c r="L221" t="s">
        <v>125</v>
      </c>
      <c r="M221" t="s">
        <v>89</v>
      </c>
      <c r="N221">
        <f t="shared" si="12"/>
        <v>7</v>
      </c>
      <c r="O221">
        <v>3</v>
      </c>
      <c r="P221" s="6">
        <v>215.95</v>
      </c>
      <c r="Q221">
        <v>21.59</v>
      </c>
      <c r="R221">
        <v>626.25999999999988</v>
      </c>
      <c r="S221">
        <v>31.31</v>
      </c>
      <c r="T221">
        <v>20</v>
      </c>
      <c r="U221">
        <v>20</v>
      </c>
      <c r="V221">
        <v>697.56999999999982</v>
      </c>
      <c r="W221" t="s">
        <v>27</v>
      </c>
      <c r="X221">
        <v>14</v>
      </c>
    </row>
    <row r="222" spans="1:24" ht="14.25" customHeight="1">
      <c r="A222" t="s">
        <v>890</v>
      </c>
      <c r="B222" t="s">
        <v>2291</v>
      </c>
      <c r="C222" s="6" t="str">
        <f t="shared" si="10"/>
        <v>January</v>
      </c>
      <c r="D222" s="6" t="str">
        <f t="shared" si="11"/>
        <v>28</v>
      </c>
      <c r="E222" t="s">
        <v>891</v>
      </c>
      <c r="F222" t="s">
        <v>80</v>
      </c>
      <c r="G222" t="s">
        <v>81</v>
      </c>
      <c r="H222" s="4" t="s">
        <v>2256</v>
      </c>
      <c r="I222">
        <v>516978</v>
      </c>
      <c r="J222" s="8" t="s">
        <v>30</v>
      </c>
      <c r="K222" t="s">
        <v>128</v>
      </c>
      <c r="L222" t="s">
        <v>129</v>
      </c>
      <c r="M222" t="s">
        <v>71</v>
      </c>
      <c r="N222">
        <f t="shared" si="12"/>
        <v>6</v>
      </c>
      <c r="O222">
        <v>4</v>
      </c>
      <c r="P222" s="6">
        <v>139.58000000000001</v>
      </c>
      <c r="Q222">
        <v>13.96</v>
      </c>
      <c r="R222">
        <v>544.36</v>
      </c>
      <c r="S222">
        <v>27.22</v>
      </c>
      <c r="T222">
        <v>10</v>
      </c>
      <c r="U222">
        <v>20</v>
      </c>
      <c r="V222">
        <v>601.58000000000004</v>
      </c>
      <c r="W222" t="s">
        <v>27</v>
      </c>
      <c r="X222">
        <v>25</v>
      </c>
    </row>
    <row r="223" spans="1:24" ht="14.25" customHeight="1">
      <c r="A223" t="s">
        <v>892</v>
      </c>
      <c r="B223" t="s">
        <v>2286</v>
      </c>
      <c r="C223" s="6" t="str">
        <f t="shared" si="10"/>
        <v>January</v>
      </c>
      <c r="D223" s="6" t="str">
        <f t="shared" si="11"/>
        <v>25</v>
      </c>
      <c r="E223" t="s">
        <v>893</v>
      </c>
      <c r="F223" t="s">
        <v>21</v>
      </c>
      <c r="G223" t="s">
        <v>74</v>
      </c>
      <c r="H223" s="4" t="s">
        <v>2256</v>
      </c>
      <c r="I223">
        <v>821909</v>
      </c>
      <c r="J223" s="8" t="s">
        <v>30</v>
      </c>
      <c r="K223" t="s">
        <v>133</v>
      </c>
      <c r="L223" t="s">
        <v>134</v>
      </c>
      <c r="M223" t="s">
        <v>50</v>
      </c>
      <c r="N223">
        <f t="shared" si="12"/>
        <v>5</v>
      </c>
      <c r="O223">
        <v>3</v>
      </c>
      <c r="P223" s="6">
        <v>80.92</v>
      </c>
      <c r="Q223">
        <v>8.09</v>
      </c>
      <c r="R223">
        <v>234.67</v>
      </c>
      <c r="S223">
        <v>11.73</v>
      </c>
      <c r="T223">
        <v>0</v>
      </c>
      <c r="U223">
        <v>0</v>
      </c>
      <c r="V223">
        <v>246.4</v>
      </c>
      <c r="W223" t="s">
        <v>27</v>
      </c>
      <c r="X223">
        <v>24</v>
      </c>
    </row>
    <row r="224" spans="1:24" ht="14.25" customHeight="1">
      <c r="A224" t="s">
        <v>894</v>
      </c>
      <c r="B224" t="s">
        <v>2262</v>
      </c>
      <c r="C224" s="6" t="str">
        <f t="shared" si="10"/>
        <v>February</v>
      </c>
      <c r="D224" s="6" t="str">
        <f t="shared" si="11"/>
        <v>08</v>
      </c>
      <c r="E224" t="s">
        <v>895</v>
      </c>
      <c r="F224" t="s">
        <v>21</v>
      </c>
      <c r="G224" t="s">
        <v>22</v>
      </c>
      <c r="H224" s="4" t="s">
        <v>2256</v>
      </c>
      <c r="I224">
        <v>389910</v>
      </c>
      <c r="J224" s="8" t="s">
        <v>2346</v>
      </c>
      <c r="K224" t="s">
        <v>138</v>
      </c>
      <c r="L224" t="s">
        <v>139</v>
      </c>
      <c r="M224" t="s">
        <v>71</v>
      </c>
      <c r="N224">
        <f t="shared" si="12"/>
        <v>6</v>
      </c>
      <c r="O224">
        <v>4</v>
      </c>
      <c r="P224" s="6">
        <v>149.66999999999999</v>
      </c>
      <c r="Q224">
        <v>0</v>
      </c>
      <c r="R224">
        <v>598.67999999999995</v>
      </c>
      <c r="S224">
        <v>29.93</v>
      </c>
      <c r="T224">
        <v>20</v>
      </c>
      <c r="U224">
        <v>15</v>
      </c>
      <c r="V224">
        <v>663.6099999999999</v>
      </c>
      <c r="W224" t="s">
        <v>27</v>
      </c>
      <c r="X224">
        <v>32</v>
      </c>
    </row>
    <row r="225" spans="1:24" ht="14.25" customHeight="1">
      <c r="A225" t="s">
        <v>896</v>
      </c>
      <c r="B225" t="s">
        <v>2284</v>
      </c>
      <c r="C225" s="6" t="str">
        <f t="shared" si="10"/>
        <v>February</v>
      </c>
      <c r="D225" s="6" t="str">
        <f t="shared" si="11"/>
        <v>02</v>
      </c>
      <c r="E225" t="s">
        <v>897</v>
      </c>
      <c r="F225" t="s">
        <v>80</v>
      </c>
      <c r="G225" t="s">
        <v>81</v>
      </c>
      <c r="H225" s="4" t="s">
        <v>2256</v>
      </c>
      <c r="I225">
        <v>771447</v>
      </c>
      <c r="J225" s="8" t="s">
        <v>2345</v>
      </c>
      <c r="K225" t="s">
        <v>143</v>
      </c>
      <c r="L225" t="s">
        <v>144</v>
      </c>
      <c r="M225" t="s">
        <v>135</v>
      </c>
      <c r="N225">
        <f t="shared" si="12"/>
        <v>9</v>
      </c>
      <c r="O225">
        <v>3</v>
      </c>
      <c r="P225" s="6">
        <v>276.10000000000002</v>
      </c>
      <c r="Q225">
        <v>41.41</v>
      </c>
      <c r="R225">
        <v>786.8900000000001</v>
      </c>
      <c r="S225">
        <v>39.340000000000003</v>
      </c>
      <c r="T225">
        <v>30</v>
      </c>
      <c r="U225">
        <v>15</v>
      </c>
      <c r="V225">
        <v>871.23000000000013</v>
      </c>
      <c r="W225" t="s">
        <v>27</v>
      </c>
      <c r="X225">
        <v>26</v>
      </c>
    </row>
    <row r="226" spans="1:24" ht="14.25" customHeight="1">
      <c r="A226" t="s">
        <v>898</v>
      </c>
      <c r="B226" t="s">
        <v>2316</v>
      </c>
      <c r="C226" s="6" t="str">
        <f t="shared" si="10"/>
        <v>January</v>
      </c>
      <c r="D226" s="6" t="str">
        <f t="shared" si="11"/>
        <v>01</v>
      </c>
      <c r="E226" t="s">
        <v>899</v>
      </c>
      <c r="F226" t="s">
        <v>21</v>
      </c>
      <c r="G226" t="s">
        <v>74</v>
      </c>
      <c r="H226" s="4" t="s">
        <v>2256</v>
      </c>
      <c r="I226">
        <v>521947</v>
      </c>
      <c r="J226" s="8" t="s">
        <v>2348</v>
      </c>
      <c r="K226" t="s">
        <v>147</v>
      </c>
      <c r="L226" t="s">
        <v>148</v>
      </c>
      <c r="M226" t="s">
        <v>71</v>
      </c>
      <c r="N226">
        <f t="shared" si="12"/>
        <v>6</v>
      </c>
      <c r="O226">
        <v>1</v>
      </c>
      <c r="P226" s="6">
        <v>82.66</v>
      </c>
      <c r="Q226">
        <v>12.4</v>
      </c>
      <c r="R226">
        <v>70.259999999999991</v>
      </c>
      <c r="S226">
        <v>3.51</v>
      </c>
      <c r="T226">
        <v>10</v>
      </c>
      <c r="U226">
        <v>0</v>
      </c>
      <c r="V226">
        <v>83.77</v>
      </c>
      <c r="W226" t="s">
        <v>27</v>
      </c>
      <c r="X226">
        <v>29</v>
      </c>
    </row>
    <row r="227" spans="1:24" ht="14.25" customHeight="1">
      <c r="A227" t="s">
        <v>900</v>
      </c>
      <c r="B227" t="s">
        <v>2296</v>
      </c>
      <c r="C227" s="6" t="str">
        <f t="shared" si="10"/>
        <v>February</v>
      </c>
      <c r="D227" s="6" t="str">
        <f t="shared" si="11"/>
        <v>26</v>
      </c>
      <c r="E227" t="s">
        <v>901</v>
      </c>
      <c r="F227" t="s">
        <v>80</v>
      </c>
      <c r="G227" t="s">
        <v>81</v>
      </c>
      <c r="H227" s="4" t="s">
        <v>2256</v>
      </c>
      <c r="I227">
        <v>252889</v>
      </c>
      <c r="J227" s="8" t="s">
        <v>30</v>
      </c>
      <c r="K227" t="s">
        <v>151</v>
      </c>
      <c r="L227" t="s">
        <v>152</v>
      </c>
      <c r="M227" t="s">
        <v>22</v>
      </c>
      <c r="N227">
        <f t="shared" si="12"/>
        <v>6</v>
      </c>
      <c r="O227">
        <v>2</v>
      </c>
      <c r="P227" s="6">
        <v>68.97</v>
      </c>
      <c r="Q227">
        <v>3.45</v>
      </c>
      <c r="R227">
        <v>134.49</v>
      </c>
      <c r="S227">
        <v>6.72</v>
      </c>
      <c r="T227">
        <v>10</v>
      </c>
      <c r="U227">
        <v>20</v>
      </c>
      <c r="V227">
        <v>171.21</v>
      </c>
      <c r="W227" t="s">
        <v>27</v>
      </c>
      <c r="X227">
        <v>12</v>
      </c>
    </row>
    <row r="228" spans="1:24" ht="14.25" customHeight="1">
      <c r="A228" t="s">
        <v>902</v>
      </c>
      <c r="B228" t="s">
        <v>2288</v>
      </c>
      <c r="C228" s="6" t="str">
        <f t="shared" si="10"/>
        <v>January</v>
      </c>
      <c r="D228" s="6" t="str">
        <f t="shared" si="11"/>
        <v>27</v>
      </c>
      <c r="E228" t="s">
        <v>903</v>
      </c>
      <c r="F228" t="s">
        <v>21</v>
      </c>
      <c r="G228" t="s">
        <v>68</v>
      </c>
      <c r="H228" s="4" t="s">
        <v>2256</v>
      </c>
      <c r="I228">
        <v>241330</v>
      </c>
      <c r="J228" s="8" t="s">
        <v>30</v>
      </c>
      <c r="K228" t="s">
        <v>155</v>
      </c>
      <c r="L228" t="s">
        <v>156</v>
      </c>
      <c r="M228" t="s">
        <v>130</v>
      </c>
      <c r="N228">
        <f t="shared" si="12"/>
        <v>7</v>
      </c>
      <c r="O228">
        <v>5</v>
      </c>
      <c r="P228" s="6">
        <v>163.19</v>
      </c>
      <c r="Q228">
        <v>16.32</v>
      </c>
      <c r="R228">
        <v>799.63</v>
      </c>
      <c r="S228">
        <v>39.979999999999997</v>
      </c>
      <c r="T228">
        <v>20</v>
      </c>
      <c r="U228">
        <v>5</v>
      </c>
      <c r="V228">
        <v>864.61</v>
      </c>
      <c r="W228" t="s">
        <v>27</v>
      </c>
      <c r="X228">
        <v>39</v>
      </c>
    </row>
    <row r="229" spans="1:24" ht="14.25" customHeight="1">
      <c r="A229" t="s">
        <v>904</v>
      </c>
      <c r="B229" t="s">
        <v>2296</v>
      </c>
      <c r="C229" s="6" t="str">
        <f t="shared" si="10"/>
        <v>February</v>
      </c>
      <c r="D229" s="6" t="str">
        <f t="shared" si="11"/>
        <v>26</v>
      </c>
      <c r="E229" t="s">
        <v>905</v>
      </c>
      <c r="F229" t="s">
        <v>21</v>
      </c>
      <c r="G229" t="s">
        <v>74</v>
      </c>
      <c r="H229" s="4" t="s">
        <v>2256</v>
      </c>
      <c r="I229">
        <v>461278</v>
      </c>
      <c r="J229" s="8" t="s">
        <v>30</v>
      </c>
      <c r="K229" t="s">
        <v>159</v>
      </c>
      <c r="L229" t="s">
        <v>160</v>
      </c>
      <c r="M229" t="s">
        <v>77</v>
      </c>
      <c r="N229">
        <f t="shared" si="12"/>
        <v>5</v>
      </c>
      <c r="O229">
        <v>4</v>
      </c>
      <c r="P229" s="6">
        <v>12.79</v>
      </c>
      <c r="Q229">
        <v>1.28</v>
      </c>
      <c r="R229">
        <v>49.88</v>
      </c>
      <c r="S229">
        <v>2.4900000000000002</v>
      </c>
      <c r="T229">
        <v>20</v>
      </c>
      <c r="U229">
        <v>15</v>
      </c>
      <c r="V229">
        <v>87.37</v>
      </c>
      <c r="W229" t="s">
        <v>27</v>
      </c>
      <c r="X229">
        <v>27</v>
      </c>
    </row>
    <row r="230" spans="1:24" ht="14.25" customHeight="1">
      <c r="A230" t="s">
        <v>906</v>
      </c>
      <c r="B230" t="s">
        <v>2263</v>
      </c>
      <c r="C230" s="6" t="str">
        <f t="shared" si="10"/>
        <v>February</v>
      </c>
      <c r="D230" s="6" t="str">
        <f t="shared" si="11"/>
        <v>21</v>
      </c>
      <c r="E230" t="s">
        <v>907</v>
      </c>
      <c r="F230" t="s">
        <v>21</v>
      </c>
      <c r="G230" t="s">
        <v>106</v>
      </c>
      <c r="H230" s="4" t="s">
        <v>2256</v>
      </c>
      <c r="I230">
        <v>342634</v>
      </c>
      <c r="J230" s="8" t="s">
        <v>62</v>
      </c>
      <c r="K230" t="s">
        <v>163</v>
      </c>
      <c r="L230" t="s">
        <v>164</v>
      </c>
      <c r="M230" t="s">
        <v>33</v>
      </c>
      <c r="N230">
        <f t="shared" si="12"/>
        <v>10</v>
      </c>
      <c r="O230">
        <v>3</v>
      </c>
      <c r="P230" s="6">
        <v>72.91</v>
      </c>
      <c r="Q230">
        <v>0</v>
      </c>
      <c r="R230">
        <v>218.73</v>
      </c>
      <c r="S230">
        <v>10.94</v>
      </c>
      <c r="T230">
        <v>30</v>
      </c>
      <c r="U230">
        <v>0</v>
      </c>
      <c r="V230">
        <v>259.67</v>
      </c>
      <c r="W230" t="s">
        <v>27</v>
      </c>
      <c r="X230">
        <v>31</v>
      </c>
    </row>
    <row r="231" spans="1:24" ht="14.25" customHeight="1">
      <c r="A231" t="s">
        <v>908</v>
      </c>
      <c r="B231" t="s">
        <v>2318</v>
      </c>
      <c r="C231" s="6" t="str">
        <f t="shared" si="10"/>
        <v>January</v>
      </c>
      <c r="D231" s="6" t="str">
        <f t="shared" si="11"/>
        <v>13</v>
      </c>
      <c r="E231" t="s">
        <v>909</v>
      </c>
      <c r="F231" t="s">
        <v>21</v>
      </c>
      <c r="G231" t="s">
        <v>74</v>
      </c>
      <c r="H231" s="4" t="s">
        <v>2256</v>
      </c>
      <c r="I231">
        <v>130447</v>
      </c>
      <c r="J231" s="8" t="s">
        <v>2348</v>
      </c>
      <c r="K231" t="s">
        <v>167</v>
      </c>
      <c r="L231" t="s">
        <v>168</v>
      </c>
      <c r="M231" t="s">
        <v>65</v>
      </c>
      <c r="N231">
        <f t="shared" si="12"/>
        <v>6</v>
      </c>
      <c r="O231">
        <v>1</v>
      </c>
      <c r="P231" s="6">
        <v>53.62</v>
      </c>
      <c r="Q231">
        <v>5.36</v>
      </c>
      <c r="R231">
        <v>48.26</v>
      </c>
      <c r="S231">
        <v>2.41</v>
      </c>
      <c r="T231">
        <v>0</v>
      </c>
      <c r="U231">
        <v>10</v>
      </c>
      <c r="V231">
        <v>60.67</v>
      </c>
      <c r="W231" t="s">
        <v>27</v>
      </c>
      <c r="X231">
        <v>23</v>
      </c>
    </row>
    <row r="232" spans="1:24" ht="14.25" customHeight="1">
      <c r="A232" t="s">
        <v>910</v>
      </c>
      <c r="B232" t="s">
        <v>2315</v>
      </c>
      <c r="C232" s="6" t="str">
        <f t="shared" si="10"/>
        <v>February</v>
      </c>
      <c r="D232" s="6" t="str">
        <f t="shared" si="11"/>
        <v>10</v>
      </c>
      <c r="E232" t="s">
        <v>911</v>
      </c>
      <c r="F232" t="s">
        <v>101</v>
      </c>
      <c r="G232" t="s">
        <v>81</v>
      </c>
      <c r="H232" s="4" t="s">
        <v>2256</v>
      </c>
      <c r="I232">
        <v>970477</v>
      </c>
      <c r="J232" s="8" t="s">
        <v>2345</v>
      </c>
      <c r="K232" t="s">
        <v>171</v>
      </c>
      <c r="L232" t="s">
        <v>172</v>
      </c>
      <c r="M232" t="s">
        <v>135</v>
      </c>
      <c r="N232">
        <f t="shared" si="12"/>
        <v>9</v>
      </c>
      <c r="O232">
        <v>5</v>
      </c>
      <c r="P232" s="6">
        <v>223.62</v>
      </c>
      <c r="Q232">
        <v>0</v>
      </c>
      <c r="R232">
        <v>1118.0999999999999</v>
      </c>
      <c r="S232">
        <v>55.91</v>
      </c>
      <c r="T232">
        <v>20</v>
      </c>
      <c r="U232">
        <v>20</v>
      </c>
      <c r="V232">
        <v>1214.01</v>
      </c>
      <c r="W232" t="s">
        <v>27</v>
      </c>
      <c r="X232">
        <v>21</v>
      </c>
    </row>
    <row r="233" spans="1:24" ht="14.25" customHeight="1">
      <c r="A233" t="s">
        <v>912</v>
      </c>
      <c r="B233" t="s">
        <v>2277</v>
      </c>
      <c r="C233" s="6" t="str">
        <f t="shared" si="10"/>
        <v>January</v>
      </c>
      <c r="D233" s="6" t="str">
        <f t="shared" si="11"/>
        <v>03</v>
      </c>
      <c r="E233" t="s">
        <v>913</v>
      </c>
      <c r="F233" t="s">
        <v>21</v>
      </c>
      <c r="G233" t="s">
        <v>74</v>
      </c>
      <c r="H233" s="4" t="s">
        <v>2256</v>
      </c>
      <c r="I233">
        <v>851164</v>
      </c>
      <c r="J233" s="8" t="s">
        <v>2347</v>
      </c>
      <c r="K233" t="s">
        <v>175</v>
      </c>
      <c r="L233" t="s">
        <v>176</v>
      </c>
      <c r="M233" t="s">
        <v>77</v>
      </c>
      <c r="N233">
        <f t="shared" si="12"/>
        <v>5</v>
      </c>
      <c r="O233">
        <v>1</v>
      </c>
      <c r="P233" s="6">
        <v>207.43</v>
      </c>
      <c r="Q233">
        <v>0</v>
      </c>
      <c r="R233">
        <v>207.43</v>
      </c>
      <c r="S233">
        <v>10.37</v>
      </c>
      <c r="T233">
        <v>30</v>
      </c>
      <c r="U233">
        <v>5</v>
      </c>
      <c r="V233">
        <v>252.8</v>
      </c>
      <c r="W233" t="s">
        <v>27</v>
      </c>
      <c r="X233">
        <v>20</v>
      </c>
    </row>
    <row r="234" spans="1:24" ht="14.25" customHeight="1">
      <c r="A234" t="s">
        <v>914</v>
      </c>
      <c r="B234" t="s">
        <v>2262</v>
      </c>
      <c r="C234" s="6" t="str">
        <f t="shared" si="10"/>
        <v>February</v>
      </c>
      <c r="D234" s="6" t="str">
        <f t="shared" si="11"/>
        <v>08</v>
      </c>
      <c r="E234" t="s">
        <v>915</v>
      </c>
      <c r="F234" t="s">
        <v>21</v>
      </c>
      <c r="G234" t="s">
        <v>106</v>
      </c>
      <c r="H234" s="4" t="s">
        <v>2256</v>
      </c>
      <c r="I234">
        <v>622220</v>
      </c>
      <c r="J234" s="8" t="s">
        <v>62</v>
      </c>
      <c r="K234" t="s">
        <v>180</v>
      </c>
      <c r="L234" t="s">
        <v>181</v>
      </c>
      <c r="M234" t="s">
        <v>177</v>
      </c>
      <c r="N234">
        <f t="shared" si="12"/>
        <v>5</v>
      </c>
      <c r="O234">
        <v>1</v>
      </c>
      <c r="P234" s="6">
        <v>121.74</v>
      </c>
      <c r="Q234">
        <v>6.09</v>
      </c>
      <c r="R234">
        <v>115.65</v>
      </c>
      <c r="S234">
        <v>5.78</v>
      </c>
      <c r="T234">
        <v>0</v>
      </c>
      <c r="U234">
        <v>10</v>
      </c>
      <c r="V234">
        <v>131.43</v>
      </c>
      <c r="W234" t="s">
        <v>27</v>
      </c>
      <c r="X234">
        <v>35</v>
      </c>
    </row>
    <row r="235" spans="1:24" ht="14.25" customHeight="1">
      <c r="A235" t="s">
        <v>916</v>
      </c>
      <c r="B235" t="s">
        <v>2308</v>
      </c>
      <c r="C235" s="6" t="str">
        <f t="shared" si="10"/>
        <v>January</v>
      </c>
      <c r="D235" s="6" t="str">
        <f t="shared" si="11"/>
        <v>06</v>
      </c>
      <c r="E235" t="s">
        <v>917</v>
      </c>
      <c r="F235" t="s">
        <v>21</v>
      </c>
      <c r="G235" t="s">
        <v>22</v>
      </c>
      <c r="H235" s="4" t="s">
        <v>2256</v>
      </c>
      <c r="I235">
        <v>687100</v>
      </c>
      <c r="J235" s="8" t="s">
        <v>62</v>
      </c>
      <c r="K235" t="s">
        <v>184</v>
      </c>
      <c r="L235" t="s">
        <v>185</v>
      </c>
      <c r="M235" t="s">
        <v>77</v>
      </c>
      <c r="N235">
        <f t="shared" si="12"/>
        <v>5</v>
      </c>
      <c r="O235">
        <v>2</v>
      </c>
      <c r="P235" s="6">
        <v>100.99</v>
      </c>
      <c r="Q235">
        <v>5.05</v>
      </c>
      <c r="R235">
        <v>196.93</v>
      </c>
      <c r="S235">
        <v>9.85</v>
      </c>
      <c r="T235">
        <v>20</v>
      </c>
      <c r="U235">
        <v>10</v>
      </c>
      <c r="V235">
        <v>236.78</v>
      </c>
      <c r="W235" t="s">
        <v>27</v>
      </c>
      <c r="X235">
        <v>45</v>
      </c>
    </row>
    <row r="236" spans="1:24" ht="14.25" customHeight="1">
      <c r="A236" t="s">
        <v>918</v>
      </c>
      <c r="B236" t="s">
        <v>2267</v>
      </c>
      <c r="C236" s="6" t="str">
        <f t="shared" si="10"/>
        <v>January</v>
      </c>
      <c r="D236" s="6" t="str">
        <f t="shared" si="11"/>
        <v>08</v>
      </c>
      <c r="E236" t="s">
        <v>919</v>
      </c>
      <c r="F236" t="s">
        <v>21</v>
      </c>
      <c r="G236" t="s">
        <v>74</v>
      </c>
      <c r="H236" s="4" t="s">
        <v>2256</v>
      </c>
      <c r="I236">
        <v>518495</v>
      </c>
      <c r="J236" s="8" t="s">
        <v>30</v>
      </c>
      <c r="K236" t="s">
        <v>188</v>
      </c>
      <c r="L236" t="s">
        <v>189</v>
      </c>
      <c r="M236" t="s">
        <v>71</v>
      </c>
      <c r="N236">
        <f t="shared" si="12"/>
        <v>6</v>
      </c>
      <c r="O236">
        <v>5</v>
      </c>
      <c r="P236" s="6">
        <v>181.44</v>
      </c>
      <c r="Q236">
        <v>0</v>
      </c>
      <c r="R236">
        <v>907.2</v>
      </c>
      <c r="S236">
        <v>45.36</v>
      </c>
      <c r="T236">
        <v>10</v>
      </c>
      <c r="U236">
        <v>15</v>
      </c>
      <c r="V236">
        <v>977.56000000000006</v>
      </c>
      <c r="W236" t="s">
        <v>27</v>
      </c>
      <c r="X236">
        <v>30</v>
      </c>
    </row>
    <row r="237" spans="1:24" ht="14.25" customHeight="1">
      <c r="A237" t="s">
        <v>920</v>
      </c>
      <c r="B237" t="s">
        <v>2288</v>
      </c>
      <c r="C237" s="6" t="str">
        <f t="shared" si="10"/>
        <v>January</v>
      </c>
      <c r="D237" s="6" t="str">
        <f t="shared" si="11"/>
        <v>27</v>
      </c>
      <c r="E237" t="s">
        <v>921</v>
      </c>
      <c r="F237" t="s">
        <v>80</v>
      </c>
      <c r="G237" t="s">
        <v>81</v>
      </c>
      <c r="H237" s="4" t="s">
        <v>2256</v>
      </c>
      <c r="I237">
        <v>763070</v>
      </c>
      <c r="J237" s="8" t="s">
        <v>2348</v>
      </c>
      <c r="K237" t="s">
        <v>192</v>
      </c>
      <c r="L237" t="s">
        <v>193</v>
      </c>
      <c r="M237" t="s">
        <v>177</v>
      </c>
      <c r="N237">
        <f t="shared" si="12"/>
        <v>5</v>
      </c>
      <c r="O237">
        <v>5</v>
      </c>
      <c r="P237" s="6">
        <v>34.74</v>
      </c>
      <c r="Q237">
        <v>5.21</v>
      </c>
      <c r="R237">
        <v>168.49</v>
      </c>
      <c r="S237">
        <v>8.42</v>
      </c>
      <c r="T237">
        <v>20</v>
      </c>
      <c r="U237">
        <v>5</v>
      </c>
      <c r="V237">
        <v>201.91</v>
      </c>
      <c r="W237" t="s">
        <v>27</v>
      </c>
      <c r="X237">
        <v>23</v>
      </c>
    </row>
    <row r="238" spans="1:24" ht="14.25" customHeight="1">
      <c r="A238" t="s">
        <v>922</v>
      </c>
      <c r="B238" t="s">
        <v>2299</v>
      </c>
      <c r="C238" s="6" t="str">
        <f t="shared" si="10"/>
        <v>January</v>
      </c>
      <c r="D238" s="6" t="str">
        <f t="shared" si="11"/>
        <v>09</v>
      </c>
      <c r="E238" t="s">
        <v>923</v>
      </c>
      <c r="F238" t="s">
        <v>80</v>
      </c>
      <c r="G238" t="s">
        <v>81</v>
      </c>
      <c r="H238" s="4" t="s">
        <v>2256</v>
      </c>
      <c r="I238">
        <v>755522</v>
      </c>
      <c r="J238" s="8" t="s">
        <v>2348</v>
      </c>
      <c r="K238" t="s">
        <v>196</v>
      </c>
      <c r="L238" t="s">
        <v>197</v>
      </c>
      <c r="M238" t="s">
        <v>50</v>
      </c>
      <c r="N238">
        <f t="shared" si="12"/>
        <v>5</v>
      </c>
      <c r="O238">
        <v>2</v>
      </c>
      <c r="P238" s="6">
        <v>176.87</v>
      </c>
      <c r="Q238">
        <v>26.53</v>
      </c>
      <c r="R238">
        <v>327.20999999999998</v>
      </c>
      <c r="S238">
        <v>16.36</v>
      </c>
      <c r="T238">
        <v>20</v>
      </c>
      <c r="U238">
        <v>10</v>
      </c>
      <c r="V238">
        <v>373.57000000000011</v>
      </c>
      <c r="W238" t="s">
        <v>27</v>
      </c>
      <c r="X238">
        <v>31</v>
      </c>
    </row>
    <row r="239" spans="1:24" ht="14.25" customHeight="1">
      <c r="A239" t="s">
        <v>924</v>
      </c>
      <c r="B239" t="s">
        <v>2297</v>
      </c>
      <c r="C239" s="6" t="str">
        <f t="shared" si="10"/>
        <v>February</v>
      </c>
      <c r="D239" s="6" t="str">
        <f t="shared" si="11"/>
        <v>06</v>
      </c>
      <c r="E239" t="s">
        <v>925</v>
      </c>
      <c r="F239" t="s">
        <v>101</v>
      </c>
      <c r="G239" t="s">
        <v>81</v>
      </c>
      <c r="H239" s="4" t="s">
        <v>2256</v>
      </c>
      <c r="I239">
        <v>586799</v>
      </c>
      <c r="J239" s="8" t="s">
        <v>2345</v>
      </c>
      <c r="K239" t="s">
        <v>200</v>
      </c>
      <c r="L239" t="s">
        <v>201</v>
      </c>
      <c r="M239" t="s">
        <v>89</v>
      </c>
      <c r="N239">
        <f t="shared" si="12"/>
        <v>7</v>
      </c>
      <c r="O239">
        <v>1</v>
      </c>
      <c r="P239" s="6">
        <v>108.38</v>
      </c>
      <c r="Q239">
        <v>10.84</v>
      </c>
      <c r="R239">
        <v>97.539999999999992</v>
      </c>
      <c r="S239">
        <v>4.88</v>
      </c>
      <c r="T239">
        <v>20</v>
      </c>
      <c r="U239">
        <v>10</v>
      </c>
      <c r="V239">
        <v>132.41999999999999</v>
      </c>
      <c r="W239" t="s">
        <v>27</v>
      </c>
      <c r="X239">
        <v>16</v>
      </c>
    </row>
    <row r="240" spans="1:24" ht="14.25" customHeight="1">
      <c r="A240" t="s">
        <v>926</v>
      </c>
      <c r="B240" t="s">
        <v>2284</v>
      </c>
      <c r="C240" s="6" t="str">
        <f t="shared" si="10"/>
        <v>February</v>
      </c>
      <c r="D240" s="6" t="str">
        <f t="shared" si="11"/>
        <v>02</v>
      </c>
      <c r="E240" t="s">
        <v>927</v>
      </c>
      <c r="F240" t="s">
        <v>21</v>
      </c>
      <c r="G240" t="s">
        <v>22</v>
      </c>
      <c r="H240" s="4" t="s">
        <v>2256</v>
      </c>
      <c r="I240">
        <v>367491</v>
      </c>
      <c r="J240" s="8" t="s">
        <v>2348</v>
      </c>
      <c r="K240" t="s">
        <v>204</v>
      </c>
      <c r="L240" t="s">
        <v>205</v>
      </c>
      <c r="M240" t="s">
        <v>33</v>
      </c>
      <c r="N240">
        <f t="shared" si="12"/>
        <v>10</v>
      </c>
      <c r="O240">
        <v>4</v>
      </c>
      <c r="P240" s="6">
        <v>148.80000000000001</v>
      </c>
      <c r="Q240">
        <v>14.88</v>
      </c>
      <c r="R240">
        <v>580.32000000000005</v>
      </c>
      <c r="S240">
        <v>29.02</v>
      </c>
      <c r="T240">
        <v>0</v>
      </c>
      <c r="U240">
        <v>15</v>
      </c>
      <c r="V240">
        <v>624.34</v>
      </c>
      <c r="W240" t="s">
        <v>27</v>
      </c>
      <c r="X240">
        <v>11</v>
      </c>
    </row>
    <row r="241" spans="1:24" ht="14.25" customHeight="1">
      <c r="A241" t="s">
        <v>928</v>
      </c>
      <c r="B241" t="s">
        <v>2294</v>
      </c>
      <c r="C241" s="6" t="str">
        <f t="shared" si="10"/>
        <v>February</v>
      </c>
      <c r="D241" s="6" t="str">
        <f t="shared" si="11"/>
        <v>20</v>
      </c>
      <c r="E241" t="s">
        <v>929</v>
      </c>
      <c r="F241" t="s">
        <v>80</v>
      </c>
      <c r="G241" t="s">
        <v>81</v>
      </c>
      <c r="H241" s="4" t="s">
        <v>2256</v>
      </c>
      <c r="I241">
        <v>852254</v>
      </c>
      <c r="J241" s="8" t="s">
        <v>2345</v>
      </c>
      <c r="K241" t="s">
        <v>208</v>
      </c>
      <c r="L241" t="s">
        <v>209</v>
      </c>
      <c r="M241" t="s">
        <v>40</v>
      </c>
      <c r="N241">
        <f t="shared" si="12"/>
        <v>6</v>
      </c>
      <c r="O241">
        <v>1</v>
      </c>
      <c r="P241" s="6">
        <v>183.4</v>
      </c>
      <c r="Q241">
        <v>27.51</v>
      </c>
      <c r="R241">
        <v>155.88999999999999</v>
      </c>
      <c r="S241">
        <v>7.79</v>
      </c>
      <c r="T241">
        <v>10</v>
      </c>
      <c r="U241">
        <v>0</v>
      </c>
      <c r="V241">
        <v>173.68</v>
      </c>
      <c r="W241" t="s">
        <v>27</v>
      </c>
      <c r="X241">
        <v>43</v>
      </c>
    </row>
    <row r="242" spans="1:24" ht="14.25" customHeight="1">
      <c r="A242" t="s">
        <v>930</v>
      </c>
      <c r="B242" t="s">
        <v>2290</v>
      </c>
      <c r="C242" s="6" t="str">
        <f t="shared" si="10"/>
        <v>February</v>
      </c>
      <c r="D242" s="6" t="str">
        <f t="shared" si="11"/>
        <v>11</v>
      </c>
      <c r="E242" t="s">
        <v>931</v>
      </c>
      <c r="F242" t="s">
        <v>21</v>
      </c>
      <c r="G242" t="s">
        <v>22</v>
      </c>
      <c r="H242" s="4" t="s">
        <v>2256</v>
      </c>
      <c r="I242">
        <v>335718</v>
      </c>
      <c r="J242" s="8" t="s">
        <v>30</v>
      </c>
      <c r="K242" t="s">
        <v>212</v>
      </c>
      <c r="L242" t="s">
        <v>213</v>
      </c>
      <c r="M242" t="s">
        <v>55</v>
      </c>
      <c r="N242">
        <f t="shared" si="12"/>
        <v>5</v>
      </c>
      <c r="O242">
        <v>1</v>
      </c>
      <c r="P242" s="6">
        <v>152.71</v>
      </c>
      <c r="Q242">
        <v>0</v>
      </c>
      <c r="R242">
        <v>152.71</v>
      </c>
      <c r="S242">
        <v>7.64</v>
      </c>
      <c r="T242">
        <v>0</v>
      </c>
      <c r="U242">
        <v>0</v>
      </c>
      <c r="V242">
        <v>160.35</v>
      </c>
      <c r="W242" t="s">
        <v>27</v>
      </c>
      <c r="X242">
        <v>15</v>
      </c>
    </row>
    <row r="243" spans="1:24" ht="14.25" customHeight="1">
      <c r="A243" t="s">
        <v>932</v>
      </c>
      <c r="B243" t="s">
        <v>2280</v>
      </c>
      <c r="C243" s="6" t="str">
        <f t="shared" si="10"/>
        <v>February</v>
      </c>
      <c r="D243" s="6" t="str">
        <f t="shared" si="11"/>
        <v>13</v>
      </c>
      <c r="E243" t="s">
        <v>933</v>
      </c>
      <c r="F243" t="s">
        <v>21</v>
      </c>
      <c r="G243" t="s">
        <v>37</v>
      </c>
      <c r="H243" s="4" t="s">
        <v>2256</v>
      </c>
      <c r="I243">
        <v>735775</v>
      </c>
      <c r="J243" s="8" t="s">
        <v>2347</v>
      </c>
      <c r="K243" t="s">
        <v>216</v>
      </c>
      <c r="L243" t="s">
        <v>217</v>
      </c>
      <c r="M243" t="s">
        <v>22</v>
      </c>
      <c r="N243">
        <f t="shared" si="12"/>
        <v>6</v>
      </c>
      <c r="O243">
        <v>4</v>
      </c>
      <c r="P243" s="6">
        <v>172.54</v>
      </c>
      <c r="Q243">
        <v>8.6300000000000008</v>
      </c>
      <c r="R243">
        <v>681.53</v>
      </c>
      <c r="S243">
        <v>34.08</v>
      </c>
      <c r="T243">
        <v>0</v>
      </c>
      <c r="U243">
        <v>10</v>
      </c>
      <c r="V243">
        <v>725.61</v>
      </c>
      <c r="W243" t="s">
        <v>27</v>
      </c>
      <c r="X243">
        <v>12</v>
      </c>
    </row>
    <row r="244" spans="1:24" ht="14.25" customHeight="1">
      <c r="A244" t="s">
        <v>934</v>
      </c>
      <c r="B244" t="s">
        <v>2273</v>
      </c>
      <c r="C244" s="6" t="str">
        <f t="shared" si="10"/>
        <v>January</v>
      </c>
      <c r="D244" s="6" t="str">
        <f t="shared" si="11"/>
        <v>24</v>
      </c>
      <c r="E244" t="s">
        <v>935</v>
      </c>
      <c r="F244" t="s">
        <v>101</v>
      </c>
      <c r="G244" t="s">
        <v>81</v>
      </c>
      <c r="H244" s="4" t="s">
        <v>2256</v>
      </c>
      <c r="I244">
        <v>527737</v>
      </c>
      <c r="J244" s="8" t="s">
        <v>2347</v>
      </c>
      <c r="K244" t="s">
        <v>220</v>
      </c>
      <c r="L244" t="s">
        <v>221</v>
      </c>
      <c r="M244" t="s">
        <v>98</v>
      </c>
      <c r="N244">
        <f t="shared" si="12"/>
        <v>4</v>
      </c>
      <c r="O244">
        <v>3</v>
      </c>
      <c r="P244" s="6">
        <v>163.08000000000001</v>
      </c>
      <c r="Q244">
        <v>8.15</v>
      </c>
      <c r="R244">
        <v>481.09</v>
      </c>
      <c r="S244">
        <v>24.05</v>
      </c>
      <c r="T244">
        <v>30</v>
      </c>
      <c r="U244">
        <v>0</v>
      </c>
      <c r="V244">
        <v>535.1400000000001</v>
      </c>
      <c r="W244" t="s">
        <v>27</v>
      </c>
      <c r="X244">
        <v>41</v>
      </c>
    </row>
    <row r="245" spans="1:24" ht="14.25" customHeight="1">
      <c r="A245" t="s">
        <v>936</v>
      </c>
      <c r="B245" t="s">
        <v>2265</v>
      </c>
      <c r="C245" s="6" t="str">
        <f t="shared" si="10"/>
        <v>January</v>
      </c>
      <c r="D245" s="6" t="str">
        <f t="shared" si="11"/>
        <v>15</v>
      </c>
      <c r="E245" t="s">
        <v>937</v>
      </c>
      <c r="F245" t="s">
        <v>21</v>
      </c>
      <c r="G245" t="s">
        <v>74</v>
      </c>
      <c r="H245" s="4" t="s">
        <v>2256</v>
      </c>
      <c r="I245">
        <v>450040</v>
      </c>
      <c r="J245" s="8" t="s">
        <v>62</v>
      </c>
      <c r="K245" t="s">
        <v>224</v>
      </c>
      <c r="L245" t="s">
        <v>225</v>
      </c>
      <c r="M245" t="s">
        <v>135</v>
      </c>
      <c r="N245">
        <f t="shared" si="12"/>
        <v>9</v>
      </c>
      <c r="O245">
        <v>3</v>
      </c>
      <c r="P245" s="6">
        <v>131.84</v>
      </c>
      <c r="Q245">
        <v>6.59</v>
      </c>
      <c r="R245">
        <v>388.93</v>
      </c>
      <c r="S245">
        <v>19.45</v>
      </c>
      <c r="T245">
        <v>20</v>
      </c>
      <c r="U245">
        <v>15</v>
      </c>
      <c r="V245">
        <v>443.38</v>
      </c>
      <c r="W245" t="s">
        <v>27</v>
      </c>
      <c r="X245">
        <v>35</v>
      </c>
    </row>
    <row r="246" spans="1:24" ht="14.25" customHeight="1">
      <c r="A246" t="s">
        <v>938</v>
      </c>
      <c r="B246" t="s">
        <v>2289</v>
      </c>
      <c r="C246" s="6" t="str">
        <f t="shared" si="10"/>
        <v>February</v>
      </c>
      <c r="D246" s="6" t="str">
        <f t="shared" si="11"/>
        <v>28</v>
      </c>
      <c r="E246" t="s">
        <v>939</v>
      </c>
      <c r="F246" t="s">
        <v>21</v>
      </c>
      <c r="G246" t="s">
        <v>22</v>
      </c>
      <c r="H246" s="4" t="s">
        <v>2256</v>
      </c>
      <c r="I246">
        <v>306487</v>
      </c>
      <c r="J246" s="8" t="s">
        <v>2347</v>
      </c>
      <c r="K246" t="s">
        <v>228</v>
      </c>
      <c r="L246" t="s">
        <v>229</v>
      </c>
      <c r="M246" t="s">
        <v>89</v>
      </c>
      <c r="N246">
        <f t="shared" si="12"/>
        <v>7</v>
      </c>
      <c r="O246">
        <v>2</v>
      </c>
      <c r="P246" s="6">
        <v>35.99</v>
      </c>
      <c r="Q246">
        <v>1.8</v>
      </c>
      <c r="R246">
        <v>70.180000000000007</v>
      </c>
      <c r="S246">
        <v>3.51</v>
      </c>
      <c r="T246">
        <v>30</v>
      </c>
      <c r="U246">
        <v>5</v>
      </c>
      <c r="V246">
        <v>108.69</v>
      </c>
      <c r="W246" t="s">
        <v>27</v>
      </c>
      <c r="X246">
        <v>3</v>
      </c>
    </row>
    <row r="247" spans="1:24" ht="14.25" customHeight="1">
      <c r="A247" t="s">
        <v>940</v>
      </c>
      <c r="B247" t="s">
        <v>2309</v>
      </c>
      <c r="C247" s="6" t="str">
        <f t="shared" si="10"/>
        <v>February</v>
      </c>
      <c r="D247" s="6" t="str">
        <f t="shared" si="11"/>
        <v>23</v>
      </c>
      <c r="E247" t="s">
        <v>941</v>
      </c>
      <c r="F247" t="s">
        <v>21</v>
      </c>
      <c r="G247" t="s">
        <v>74</v>
      </c>
      <c r="H247" s="4" t="s">
        <v>2256</v>
      </c>
      <c r="I247">
        <v>145232</v>
      </c>
      <c r="J247" s="8" t="s">
        <v>30</v>
      </c>
      <c r="K247" t="s">
        <v>232</v>
      </c>
      <c r="L247" t="s">
        <v>233</v>
      </c>
      <c r="M247" t="s">
        <v>22</v>
      </c>
      <c r="N247">
        <f t="shared" si="12"/>
        <v>6</v>
      </c>
      <c r="O247">
        <v>1</v>
      </c>
      <c r="P247" s="6">
        <v>116.9</v>
      </c>
      <c r="Q247">
        <v>5.85</v>
      </c>
      <c r="R247">
        <v>111.05</v>
      </c>
      <c r="S247">
        <v>5.55</v>
      </c>
      <c r="T247">
        <v>30</v>
      </c>
      <c r="U247">
        <v>10</v>
      </c>
      <c r="V247">
        <v>156.6</v>
      </c>
      <c r="W247" t="s">
        <v>27</v>
      </c>
      <c r="X247">
        <v>25</v>
      </c>
    </row>
    <row r="248" spans="1:24" ht="14.25" customHeight="1">
      <c r="A248" t="s">
        <v>942</v>
      </c>
      <c r="B248" t="s">
        <v>2319</v>
      </c>
      <c r="C248" s="6" t="str">
        <f t="shared" si="10"/>
        <v>February</v>
      </c>
      <c r="D248" s="6" t="str">
        <f t="shared" si="11"/>
        <v>01</v>
      </c>
      <c r="E248" t="s">
        <v>943</v>
      </c>
      <c r="F248" t="s">
        <v>21</v>
      </c>
      <c r="G248" t="s">
        <v>68</v>
      </c>
      <c r="H248" s="4" t="s">
        <v>2256</v>
      </c>
      <c r="I248">
        <v>488612</v>
      </c>
      <c r="J248" s="8" t="s">
        <v>62</v>
      </c>
      <c r="K248" t="s">
        <v>236</v>
      </c>
      <c r="L248" t="s">
        <v>237</v>
      </c>
      <c r="M248" t="s">
        <v>98</v>
      </c>
      <c r="N248">
        <f t="shared" si="12"/>
        <v>4</v>
      </c>
      <c r="O248">
        <v>3</v>
      </c>
      <c r="P248" s="6">
        <v>92.14</v>
      </c>
      <c r="Q248">
        <v>0</v>
      </c>
      <c r="R248">
        <v>276.42</v>
      </c>
      <c r="S248">
        <v>13.82</v>
      </c>
      <c r="T248">
        <v>0</v>
      </c>
      <c r="U248">
        <v>20</v>
      </c>
      <c r="V248">
        <v>310.24</v>
      </c>
      <c r="W248" t="s">
        <v>27</v>
      </c>
      <c r="X248">
        <v>21</v>
      </c>
    </row>
    <row r="249" spans="1:24" ht="14.25" customHeight="1">
      <c r="A249" t="s">
        <v>944</v>
      </c>
      <c r="B249" t="s">
        <v>2319</v>
      </c>
      <c r="C249" s="6" t="str">
        <f t="shared" si="10"/>
        <v>February</v>
      </c>
      <c r="D249" s="6" t="str">
        <f t="shared" si="11"/>
        <v>01</v>
      </c>
      <c r="E249" t="s">
        <v>945</v>
      </c>
      <c r="F249" t="s">
        <v>21</v>
      </c>
      <c r="G249" t="s">
        <v>68</v>
      </c>
      <c r="H249" s="4" t="s">
        <v>2256</v>
      </c>
      <c r="I249">
        <v>964690</v>
      </c>
      <c r="J249" s="8" t="s">
        <v>2345</v>
      </c>
      <c r="K249" t="s">
        <v>240</v>
      </c>
      <c r="L249" t="s">
        <v>241</v>
      </c>
      <c r="M249" t="s">
        <v>135</v>
      </c>
      <c r="N249">
        <f t="shared" si="12"/>
        <v>9</v>
      </c>
      <c r="O249">
        <v>2</v>
      </c>
      <c r="P249" s="6">
        <v>168.78</v>
      </c>
      <c r="Q249">
        <v>16.88</v>
      </c>
      <c r="R249">
        <v>320.68</v>
      </c>
      <c r="S249">
        <v>16.03</v>
      </c>
      <c r="T249">
        <v>0</v>
      </c>
      <c r="U249">
        <v>5</v>
      </c>
      <c r="V249">
        <v>341.71</v>
      </c>
      <c r="W249" t="s">
        <v>27</v>
      </c>
      <c r="X249">
        <v>15</v>
      </c>
    </row>
    <row r="250" spans="1:24" ht="14.25" customHeight="1">
      <c r="A250" t="s">
        <v>946</v>
      </c>
      <c r="B250" t="s">
        <v>2273</v>
      </c>
      <c r="C250" s="6" t="str">
        <f t="shared" si="10"/>
        <v>January</v>
      </c>
      <c r="D250" s="6" t="str">
        <f t="shared" si="11"/>
        <v>24</v>
      </c>
      <c r="E250" t="s">
        <v>947</v>
      </c>
      <c r="F250" t="s">
        <v>101</v>
      </c>
      <c r="G250" t="s">
        <v>81</v>
      </c>
      <c r="H250" s="4" t="s">
        <v>2256</v>
      </c>
      <c r="I250">
        <v>550542</v>
      </c>
      <c r="J250" s="8" t="s">
        <v>30</v>
      </c>
      <c r="K250" t="s">
        <v>244</v>
      </c>
      <c r="L250" t="s">
        <v>245</v>
      </c>
      <c r="M250" t="s">
        <v>98</v>
      </c>
      <c r="N250">
        <f t="shared" si="12"/>
        <v>4</v>
      </c>
      <c r="O250">
        <v>1</v>
      </c>
      <c r="P250" s="6">
        <v>173.18</v>
      </c>
      <c r="Q250">
        <v>17.32</v>
      </c>
      <c r="R250">
        <v>155.86000000000001</v>
      </c>
      <c r="S250">
        <v>7.79</v>
      </c>
      <c r="T250">
        <v>30</v>
      </c>
      <c r="U250">
        <v>15</v>
      </c>
      <c r="V250">
        <v>208.65</v>
      </c>
      <c r="W250" t="s">
        <v>27</v>
      </c>
      <c r="X250">
        <v>18</v>
      </c>
    </row>
    <row r="251" spans="1:24" ht="14.25" customHeight="1">
      <c r="A251" t="s">
        <v>948</v>
      </c>
      <c r="B251" t="s">
        <v>2315</v>
      </c>
      <c r="C251" s="6" t="str">
        <f t="shared" si="10"/>
        <v>February</v>
      </c>
      <c r="D251" s="6" t="str">
        <f t="shared" si="11"/>
        <v>10</v>
      </c>
      <c r="E251" t="s">
        <v>949</v>
      </c>
      <c r="F251" t="s">
        <v>21</v>
      </c>
      <c r="G251" t="s">
        <v>37</v>
      </c>
      <c r="H251" s="4" t="s">
        <v>2256</v>
      </c>
      <c r="I251">
        <v>380852</v>
      </c>
      <c r="J251" s="8" t="s">
        <v>2345</v>
      </c>
      <c r="K251" t="s">
        <v>248</v>
      </c>
      <c r="L251" t="s">
        <v>249</v>
      </c>
      <c r="M251" t="s">
        <v>89</v>
      </c>
      <c r="N251">
        <f t="shared" si="12"/>
        <v>7</v>
      </c>
      <c r="O251">
        <v>2</v>
      </c>
      <c r="P251" s="6">
        <v>214.09</v>
      </c>
      <c r="Q251">
        <v>32.11</v>
      </c>
      <c r="R251">
        <v>396.07</v>
      </c>
      <c r="S251">
        <v>19.8</v>
      </c>
      <c r="T251">
        <v>10</v>
      </c>
      <c r="U251">
        <v>20</v>
      </c>
      <c r="V251">
        <v>445.87</v>
      </c>
      <c r="W251" t="s">
        <v>27</v>
      </c>
      <c r="X251">
        <v>17</v>
      </c>
    </row>
    <row r="252" spans="1:24" ht="14.25" customHeight="1">
      <c r="A252" t="s">
        <v>950</v>
      </c>
      <c r="B252" t="s">
        <v>2263</v>
      </c>
      <c r="C252" s="6" t="str">
        <f t="shared" si="10"/>
        <v>February</v>
      </c>
      <c r="D252" s="6" t="str">
        <f t="shared" si="11"/>
        <v>21</v>
      </c>
      <c r="E252" t="s">
        <v>951</v>
      </c>
      <c r="F252" t="s">
        <v>21</v>
      </c>
      <c r="G252" t="s">
        <v>22</v>
      </c>
      <c r="H252" s="4" t="s">
        <v>2256</v>
      </c>
      <c r="I252">
        <v>965139</v>
      </c>
      <c r="J252" s="8" t="s">
        <v>30</v>
      </c>
      <c r="K252" t="s">
        <v>252</v>
      </c>
      <c r="L252" t="s">
        <v>253</v>
      </c>
      <c r="M252" t="s">
        <v>26</v>
      </c>
      <c r="N252">
        <f t="shared" si="12"/>
        <v>3</v>
      </c>
      <c r="O252">
        <v>2</v>
      </c>
      <c r="P252" s="6">
        <v>25.45</v>
      </c>
      <c r="Q252">
        <v>2.54</v>
      </c>
      <c r="R252">
        <v>48.36</v>
      </c>
      <c r="S252">
        <v>2.42</v>
      </c>
      <c r="T252">
        <v>10</v>
      </c>
      <c r="U252">
        <v>20</v>
      </c>
      <c r="V252">
        <v>80.78</v>
      </c>
      <c r="W252" t="s">
        <v>27</v>
      </c>
      <c r="X252">
        <v>33</v>
      </c>
    </row>
    <row r="253" spans="1:24" ht="14.25" customHeight="1">
      <c r="A253" t="s">
        <v>952</v>
      </c>
      <c r="B253" t="s">
        <v>2287</v>
      </c>
      <c r="C253" s="6" t="str">
        <f t="shared" si="10"/>
        <v>February</v>
      </c>
      <c r="D253" s="6" t="str">
        <f t="shared" si="11"/>
        <v>18</v>
      </c>
      <c r="E253" t="s">
        <v>953</v>
      </c>
      <c r="F253" t="s">
        <v>80</v>
      </c>
      <c r="G253" t="s">
        <v>81</v>
      </c>
      <c r="H253" s="4" t="s">
        <v>2256</v>
      </c>
      <c r="I253">
        <v>625069</v>
      </c>
      <c r="J253" s="8" t="s">
        <v>2347</v>
      </c>
      <c r="K253" t="s">
        <v>256</v>
      </c>
      <c r="L253" t="s">
        <v>257</v>
      </c>
      <c r="M253" t="s">
        <v>71</v>
      </c>
      <c r="N253">
        <f t="shared" si="12"/>
        <v>6</v>
      </c>
      <c r="O253">
        <v>4</v>
      </c>
      <c r="P253" s="6">
        <v>66.53</v>
      </c>
      <c r="Q253">
        <v>0</v>
      </c>
      <c r="R253">
        <v>266.12</v>
      </c>
      <c r="S253">
        <v>13.31</v>
      </c>
      <c r="T253">
        <v>20</v>
      </c>
      <c r="U253">
        <v>0</v>
      </c>
      <c r="V253">
        <v>299.43</v>
      </c>
      <c r="W253" t="s">
        <v>27</v>
      </c>
      <c r="X253">
        <v>25</v>
      </c>
    </row>
    <row r="254" spans="1:24" ht="14.25" customHeight="1">
      <c r="A254" t="s">
        <v>954</v>
      </c>
      <c r="B254" t="s">
        <v>2287</v>
      </c>
      <c r="C254" s="6" t="str">
        <f t="shared" si="10"/>
        <v>February</v>
      </c>
      <c r="D254" s="6" t="str">
        <f t="shared" si="11"/>
        <v>18</v>
      </c>
      <c r="E254" t="s">
        <v>955</v>
      </c>
      <c r="F254" t="s">
        <v>21</v>
      </c>
      <c r="G254" t="s">
        <v>68</v>
      </c>
      <c r="H254" s="4" t="s">
        <v>2256</v>
      </c>
      <c r="I254">
        <v>271033</v>
      </c>
      <c r="J254" s="8" t="s">
        <v>2348</v>
      </c>
      <c r="K254" t="s">
        <v>260</v>
      </c>
      <c r="L254" t="s">
        <v>261</v>
      </c>
      <c r="M254" t="s">
        <v>71</v>
      </c>
      <c r="N254">
        <f t="shared" si="12"/>
        <v>6</v>
      </c>
      <c r="O254">
        <v>4</v>
      </c>
      <c r="P254" s="6">
        <v>189.59</v>
      </c>
      <c r="Q254">
        <v>0</v>
      </c>
      <c r="R254">
        <v>758.36</v>
      </c>
      <c r="S254">
        <v>37.92</v>
      </c>
      <c r="T254">
        <v>30</v>
      </c>
      <c r="U254">
        <v>20</v>
      </c>
      <c r="V254">
        <v>846.28</v>
      </c>
      <c r="W254" t="s">
        <v>27</v>
      </c>
      <c r="X254">
        <v>21</v>
      </c>
    </row>
    <row r="255" spans="1:24" ht="14.25" customHeight="1">
      <c r="A255" t="s">
        <v>956</v>
      </c>
      <c r="B255" t="s">
        <v>2269</v>
      </c>
      <c r="C255" s="6" t="str">
        <f t="shared" si="10"/>
        <v>February</v>
      </c>
      <c r="D255" s="6" t="str">
        <f t="shared" si="11"/>
        <v>27</v>
      </c>
      <c r="E255" t="s">
        <v>957</v>
      </c>
      <c r="F255" t="s">
        <v>21</v>
      </c>
      <c r="G255" t="s">
        <v>22</v>
      </c>
      <c r="H255" s="4" t="s">
        <v>2256</v>
      </c>
      <c r="I255">
        <v>647936</v>
      </c>
      <c r="J255" s="8" t="s">
        <v>2346</v>
      </c>
      <c r="K255" t="s">
        <v>264</v>
      </c>
      <c r="L255" t="s">
        <v>265</v>
      </c>
      <c r="M255" t="s">
        <v>135</v>
      </c>
      <c r="N255">
        <f t="shared" si="12"/>
        <v>9</v>
      </c>
      <c r="O255">
        <v>2</v>
      </c>
      <c r="P255" s="6">
        <v>261.33</v>
      </c>
      <c r="Q255">
        <v>39.200000000000003</v>
      </c>
      <c r="R255">
        <v>483.46</v>
      </c>
      <c r="S255">
        <v>24.17</v>
      </c>
      <c r="T255">
        <v>0</v>
      </c>
      <c r="U255">
        <v>15</v>
      </c>
      <c r="V255">
        <v>522.63</v>
      </c>
      <c r="W255" t="s">
        <v>27</v>
      </c>
      <c r="X255">
        <v>32</v>
      </c>
    </row>
    <row r="256" spans="1:24" ht="14.25" customHeight="1">
      <c r="A256" t="s">
        <v>958</v>
      </c>
      <c r="B256" t="s">
        <v>2263</v>
      </c>
      <c r="C256" s="6" t="str">
        <f t="shared" si="10"/>
        <v>February</v>
      </c>
      <c r="D256" s="6" t="str">
        <f t="shared" si="11"/>
        <v>21</v>
      </c>
      <c r="E256" t="s">
        <v>959</v>
      </c>
      <c r="F256" t="s">
        <v>80</v>
      </c>
      <c r="G256" t="s">
        <v>81</v>
      </c>
      <c r="H256" s="4" t="s">
        <v>2256</v>
      </c>
      <c r="I256">
        <v>279635</v>
      </c>
      <c r="J256" s="8" t="s">
        <v>30</v>
      </c>
      <c r="K256" t="s">
        <v>268</v>
      </c>
      <c r="L256" t="s">
        <v>269</v>
      </c>
      <c r="M256" t="s">
        <v>26</v>
      </c>
      <c r="N256">
        <f t="shared" si="12"/>
        <v>3</v>
      </c>
      <c r="O256">
        <v>1</v>
      </c>
      <c r="P256" s="6">
        <v>86.56</v>
      </c>
      <c r="Q256">
        <v>12.98</v>
      </c>
      <c r="R256">
        <v>73.58</v>
      </c>
      <c r="S256">
        <v>3.68</v>
      </c>
      <c r="T256">
        <v>30</v>
      </c>
      <c r="U256">
        <v>10</v>
      </c>
      <c r="V256">
        <v>117.26</v>
      </c>
      <c r="W256" t="s">
        <v>27</v>
      </c>
      <c r="X256">
        <v>14</v>
      </c>
    </row>
    <row r="257" spans="1:24" ht="14.25" customHeight="1">
      <c r="A257" t="s">
        <v>960</v>
      </c>
      <c r="B257" t="s">
        <v>2285</v>
      </c>
      <c r="C257" s="6" t="str">
        <f t="shared" si="10"/>
        <v>January</v>
      </c>
      <c r="D257" s="6" t="str">
        <f t="shared" si="11"/>
        <v>12</v>
      </c>
      <c r="E257" t="s">
        <v>961</v>
      </c>
      <c r="F257" t="s">
        <v>21</v>
      </c>
      <c r="G257" t="s">
        <v>74</v>
      </c>
      <c r="H257" s="4" t="s">
        <v>2256</v>
      </c>
      <c r="I257">
        <v>222775</v>
      </c>
      <c r="J257" s="8" t="s">
        <v>2348</v>
      </c>
      <c r="K257" t="s">
        <v>272</v>
      </c>
      <c r="L257" t="s">
        <v>273</v>
      </c>
      <c r="M257" t="s">
        <v>45</v>
      </c>
      <c r="N257">
        <f t="shared" si="12"/>
        <v>6</v>
      </c>
      <c r="O257">
        <v>1</v>
      </c>
      <c r="P257" s="6">
        <v>217.76</v>
      </c>
      <c r="Q257">
        <v>32.659999999999997</v>
      </c>
      <c r="R257">
        <v>185.1</v>
      </c>
      <c r="S257">
        <v>9.26</v>
      </c>
      <c r="T257">
        <v>10</v>
      </c>
      <c r="U257">
        <v>0</v>
      </c>
      <c r="V257">
        <v>204.36</v>
      </c>
      <c r="W257" t="s">
        <v>27</v>
      </c>
      <c r="X257">
        <v>29</v>
      </c>
    </row>
    <row r="258" spans="1:24" ht="14.25" customHeight="1">
      <c r="A258" t="s">
        <v>962</v>
      </c>
      <c r="B258" t="s">
        <v>2262</v>
      </c>
      <c r="C258" s="6" t="str">
        <f t="shared" si="10"/>
        <v>February</v>
      </c>
      <c r="D258" s="6" t="str">
        <f t="shared" si="11"/>
        <v>08</v>
      </c>
      <c r="E258" t="s">
        <v>963</v>
      </c>
      <c r="F258" t="s">
        <v>21</v>
      </c>
      <c r="G258" t="s">
        <v>22</v>
      </c>
      <c r="H258" s="4" t="s">
        <v>2256</v>
      </c>
      <c r="I258">
        <v>361716</v>
      </c>
      <c r="J258" s="8" t="s">
        <v>2345</v>
      </c>
      <c r="K258" t="s">
        <v>276</v>
      </c>
      <c r="L258" t="s">
        <v>277</v>
      </c>
      <c r="M258" t="s">
        <v>33</v>
      </c>
      <c r="N258">
        <f t="shared" si="12"/>
        <v>10</v>
      </c>
      <c r="O258">
        <v>6</v>
      </c>
      <c r="P258" s="6">
        <v>102.27</v>
      </c>
      <c r="Q258">
        <v>0</v>
      </c>
      <c r="R258">
        <v>613.62</v>
      </c>
      <c r="S258">
        <v>30.68</v>
      </c>
      <c r="T258">
        <v>0</v>
      </c>
      <c r="U258">
        <v>10</v>
      </c>
      <c r="V258">
        <v>654.29999999999995</v>
      </c>
      <c r="W258" t="s">
        <v>27</v>
      </c>
      <c r="X258">
        <v>26</v>
      </c>
    </row>
    <row r="259" spans="1:24" ht="14.25" customHeight="1">
      <c r="A259" t="s">
        <v>964</v>
      </c>
      <c r="B259" t="s">
        <v>2279</v>
      </c>
      <c r="C259" s="6" t="str">
        <f t="shared" ref="C259:C322" si="13">TEXT(B259,"mmmm")</f>
        <v>January</v>
      </c>
      <c r="D259" s="6" t="str">
        <f t="shared" ref="D259:D322" si="14">TEXT(B259,"dd")</f>
        <v>02</v>
      </c>
      <c r="E259" t="s">
        <v>965</v>
      </c>
      <c r="F259" t="s">
        <v>21</v>
      </c>
      <c r="G259" t="s">
        <v>68</v>
      </c>
      <c r="H259" s="4" t="s">
        <v>2256</v>
      </c>
      <c r="I259">
        <v>522355</v>
      </c>
      <c r="J259" s="8" t="s">
        <v>2345</v>
      </c>
      <c r="K259" t="s">
        <v>280</v>
      </c>
      <c r="L259" t="s">
        <v>281</v>
      </c>
      <c r="M259" t="s">
        <v>26</v>
      </c>
      <c r="N259">
        <f t="shared" si="12"/>
        <v>3</v>
      </c>
      <c r="O259">
        <v>1</v>
      </c>
      <c r="P259" s="6">
        <v>125.17</v>
      </c>
      <c r="Q259">
        <v>0</v>
      </c>
      <c r="R259">
        <v>125.17</v>
      </c>
      <c r="S259">
        <v>6.26</v>
      </c>
      <c r="T259">
        <v>30</v>
      </c>
      <c r="U259">
        <v>10</v>
      </c>
      <c r="V259">
        <v>171.43</v>
      </c>
      <c r="W259" t="s">
        <v>27</v>
      </c>
      <c r="X259">
        <v>22</v>
      </c>
    </row>
    <row r="260" spans="1:24" ht="14.25" customHeight="1">
      <c r="A260" t="s">
        <v>966</v>
      </c>
      <c r="B260" t="s">
        <v>2277</v>
      </c>
      <c r="C260" s="6" t="str">
        <f t="shared" si="13"/>
        <v>January</v>
      </c>
      <c r="D260" s="6" t="str">
        <f t="shared" si="14"/>
        <v>03</v>
      </c>
      <c r="E260" t="s">
        <v>967</v>
      </c>
      <c r="F260" t="s">
        <v>21</v>
      </c>
      <c r="G260" t="s">
        <v>68</v>
      </c>
      <c r="H260" s="4" t="s">
        <v>2256</v>
      </c>
      <c r="I260">
        <v>106530</v>
      </c>
      <c r="J260" s="8" t="s">
        <v>2346</v>
      </c>
      <c r="K260" t="s">
        <v>284</v>
      </c>
      <c r="L260" t="s">
        <v>285</v>
      </c>
      <c r="M260" t="s">
        <v>55</v>
      </c>
      <c r="N260">
        <f t="shared" si="12"/>
        <v>5</v>
      </c>
      <c r="O260">
        <v>5</v>
      </c>
      <c r="P260" s="6">
        <v>93.1</v>
      </c>
      <c r="Q260">
        <v>0</v>
      </c>
      <c r="R260">
        <v>465.5</v>
      </c>
      <c r="S260">
        <v>23.28</v>
      </c>
      <c r="T260">
        <v>10</v>
      </c>
      <c r="U260">
        <v>10</v>
      </c>
      <c r="V260">
        <v>508.78</v>
      </c>
      <c r="W260" t="s">
        <v>27</v>
      </c>
      <c r="X260">
        <v>45</v>
      </c>
    </row>
    <row r="261" spans="1:24" ht="14.25" customHeight="1">
      <c r="A261" t="s">
        <v>968</v>
      </c>
      <c r="B261" t="s">
        <v>2287</v>
      </c>
      <c r="C261" s="6" t="str">
        <f t="shared" si="13"/>
        <v>February</v>
      </c>
      <c r="D261" s="6" t="str">
        <f t="shared" si="14"/>
        <v>18</v>
      </c>
      <c r="E261" t="s">
        <v>969</v>
      </c>
      <c r="F261" t="s">
        <v>21</v>
      </c>
      <c r="G261" t="s">
        <v>37</v>
      </c>
      <c r="H261" s="4" t="s">
        <v>2256</v>
      </c>
      <c r="I261">
        <v>919812</v>
      </c>
      <c r="J261" s="8" t="s">
        <v>2349</v>
      </c>
      <c r="K261" t="s">
        <v>288</v>
      </c>
      <c r="L261" t="s">
        <v>289</v>
      </c>
      <c r="M261" t="s">
        <v>130</v>
      </c>
      <c r="N261">
        <f t="shared" si="12"/>
        <v>7</v>
      </c>
      <c r="O261">
        <v>4</v>
      </c>
      <c r="P261" s="6">
        <v>243.45</v>
      </c>
      <c r="Q261">
        <v>36.520000000000003</v>
      </c>
      <c r="R261">
        <v>937.28</v>
      </c>
      <c r="S261">
        <v>46.86</v>
      </c>
      <c r="T261">
        <v>20</v>
      </c>
      <c r="U261">
        <v>0</v>
      </c>
      <c r="V261">
        <v>1004.14</v>
      </c>
      <c r="W261" t="s">
        <v>34</v>
      </c>
      <c r="X261">
        <v>25</v>
      </c>
    </row>
    <row r="262" spans="1:24" ht="14.25" customHeight="1">
      <c r="A262" t="s">
        <v>970</v>
      </c>
      <c r="B262" t="s">
        <v>2297</v>
      </c>
      <c r="C262" s="6" t="str">
        <f t="shared" si="13"/>
        <v>February</v>
      </c>
      <c r="D262" s="6" t="str">
        <f t="shared" si="14"/>
        <v>06</v>
      </c>
      <c r="E262" t="s">
        <v>971</v>
      </c>
      <c r="F262" t="s">
        <v>21</v>
      </c>
      <c r="G262" t="s">
        <v>106</v>
      </c>
      <c r="H262" s="4" t="s">
        <v>2256</v>
      </c>
      <c r="I262">
        <v>692131</v>
      </c>
      <c r="J262" s="8" t="s">
        <v>62</v>
      </c>
      <c r="K262" t="s">
        <v>292</v>
      </c>
      <c r="L262" t="s">
        <v>293</v>
      </c>
      <c r="M262" t="s">
        <v>89</v>
      </c>
      <c r="N262">
        <f t="shared" si="12"/>
        <v>7</v>
      </c>
      <c r="O262">
        <v>5</v>
      </c>
      <c r="P262" s="6">
        <v>123.42</v>
      </c>
      <c r="Q262">
        <v>18.510000000000002</v>
      </c>
      <c r="R262">
        <v>598.59</v>
      </c>
      <c r="S262">
        <v>29.93</v>
      </c>
      <c r="T262">
        <v>30</v>
      </c>
      <c r="U262">
        <v>10</v>
      </c>
      <c r="V262">
        <v>668.52</v>
      </c>
      <c r="W262" t="s">
        <v>27</v>
      </c>
      <c r="X262">
        <v>3</v>
      </c>
    </row>
    <row r="263" spans="1:24" ht="14.25" customHeight="1">
      <c r="A263" t="s">
        <v>972</v>
      </c>
      <c r="B263" t="s">
        <v>2287</v>
      </c>
      <c r="C263" s="6" t="str">
        <f t="shared" si="13"/>
        <v>February</v>
      </c>
      <c r="D263" s="6" t="str">
        <f t="shared" si="14"/>
        <v>18</v>
      </c>
      <c r="E263" t="s">
        <v>973</v>
      </c>
      <c r="F263" t="s">
        <v>21</v>
      </c>
      <c r="G263" t="s">
        <v>22</v>
      </c>
      <c r="H263" s="4" t="s">
        <v>2256</v>
      </c>
      <c r="I263">
        <v>939188</v>
      </c>
      <c r="J263" s="8" t="s">
        <v>2348</v>
      </c>
      <c r="K263" t="s">
        <v>296</v>
      </c>
      <c r="L263" t="s">
        <v>297</v>
      </c>
      <c r="M263" t="s">
        <v>45</v>
      </c>
      <c r="N263">
        <f t="shared" si="12"/>
        <v>6</v>
      </c>
      <c r="O263">
        <v>2</v>
      </c>
      <c r="P263" s="6">
        <v>91.04</v>
      </c>
      <c r="Q263">
        <v>9.1</v>
      </c>
      <c r="R263">
        <v>172.98</v>
      </c>
      <c r="S263">
        <v>8.65</v>
      </c>
      <c r="T263">
        <v>0</v>
      </c>
      <c r="U263">
        <v>5</v>
      </c>
      <c r="V263">
        <v>186.63</v>
      </c>
      <c r="W263" t="s">
        <v>27</v>
      </c>
      <c r="X263">
        <v>15</v>
      </c>
    </row>
    <row r="264" spans="1:24" ht="14.25" customHeight="1">
      <c r="A264" t="s">
        <v>974</v>
      </c>
      <c r="B264" t="s">
        <v>2320</v>
      </c>
      <c r="C264" s="6" t="str">
        <f t="shared" si="13"/>
        <v>February</v>
      </c>
      <c r="D264" s="6" t="str">
        <f t="shared" si="14"/>
        <v>25</v>
      </c>
      <c r="E264" t="s">
        <v>975</v>
      </c>
      <c r="F264" t="s">
        <v>21</v>
      </c>
      <c r="G264" t="s">
        <v>37</v>
      </c>
      <c r="H264" s="4" t="s">
        <v>2256</v>
      </c>
      <c r="I264">
        <v>298137</v>
      </c>
      <c r="J264" s="8" t="s">
        <v>2349</v>
      </c>
      <c r="K264" t="s">
        <v>300</v>
      </c>
      <c r="L264" t="s">
        <v>301</v>
      </c>
      <c r="M264" t="s">
        <v>55</v>
      </c>
      <c r="N264">
        <f t="shared" si="12"/>
        <v>5</v>
      </c>
      <c r="O264">
        <v>1</v>
      </c>
      <c r="P264" s="6">
        <v>125.7</v>
      </c>
      <c r="Q264">
        <v>0</v>
      </c>
      <c r="R264">
        <v>125.7</v>
      </c>
      <c r="S264">
        <v>6.29</v>
      </c>
      <c r="T264">
        <v>20</v>
      </c>
      <c r="U264">
        <v>5</v>
      </c>
      <c r="V264">
        <v>156.99</v>
      </c>
      <c r="W264" t="s">
        <v>27</v>
      </c>
      <c r="X264">
        <v>15</v>
      </c>
    </row>
    <row r="265" spans="1:24" ht="14.25" customHeight="1">
      <c r="A265" t="s">
        <v>976</v>
      </c>
      <c r="B265" t="s">
        <v>2307</v>
      </c>
      <c r="C265" s="6" t="str">
        <f t="shared" si="13"/>
        <v>January</v>
      </c>
      <c r="D265" s="6" t="str">
        <f t="shared" si="14"/>
        <v>17</v>
      </c>
      <c r="E265" t="s">
        <v>977</v>
      </c>
      <c r="F265" t="s">
        <v>21</v>
      </c>
      <c r="G265" t="s">
        <v>68</v>
      </c>
      <c r="H265" s="4" t="s">
        <v>2256</v>
      </c>
      <c r="I265">
        <v>501220</v>
      </c>
      <c r="J265" s="8" t="s">
        <v>30</v>
      </c>
      <c r="K265" t="s">
        <v>304</v>
      </c>
      <c r="L265" t="s">
        <v>305</v>
      </c>
      <c r="M265" t="s">
        <v>135</v>
      </c>
      <c r="N265">
        <f t="shared" si="12"/>
        <v>9</v>
      </c>
      <c r="O265">
        <v>3</v>
      </c>
      <c r="P265" s="6">
        <v>102.49</v>
      </c>
      <c r="Q265">
        <v>15.37</v>
      </c>
      <c r="R265">
        <v>292.10000000000002</v>
      </c>
      <c r="S265">
        <v>14.6</v>
      </c>
      <c r="T265">
        <v>10</v>
      </c>
      <c r="U265">
        <v>5</v>
      </c>
      <c r="V265">
        <v>321.7</v>
      </c>
      <c r="W265" t="s">
        <v>27</v>
      </c>
      <c r="X265">
        <v>9</v>
      </c>
    </row>
    <row r="266" spans="1:24" ht="14.25" customHeight="1">
      <c r="A266" t="s">
        <v>978</v>
      </c>
      <c r="B266" t="s">
        <v>2289</v>
      </c>
      <c r="C266" s="6" t="str">
        <f t="shared" si="13"/>
        <v>February</v>
      </c>
      <c r="D266" s="6" t="str">
        <f t="shared" si="14"/>
        <v>28</v>
      </c>
      <c r="E266" t="s">
        <v>979</v>
      </c>
      <c r="F266" t="s">
        <v>21</v>
      </c>
      <c r="G266" t="s">
        <v>106</v>
      </c>
      <c r="H266" s="4" t="s">
        <v>2256</v>
      </c>
      <c r="I266">
        <v>619165</v>
      </c>
      <c r="J266" s="8" t="s">
        <v>30</v>
      </c>
      <c r="K266" t="s">
        <v>308</v>
      </c>
      <c r="L266" t="s">
        <v>309</v>
      </c>
      <c r="M266" t="s">
        <v>130</v>
      </c>
      <c r="N266">
        <f t="shared" si="12"/>
        <v>7</v>
      </c>
      <c r="O266">
        <v>6</v>
      </c>
      <c r="P266" s="6">
        <v>241.14</v>
      </c>
      <c r="Q266">
        <v>0</v>
      </c>
      <c r="R266">
        <v>1446.84</v>
      </c>
      <c r="S266">
        <v>72.34</v>
      </c>
      <c r="T266">
        <v>20</v>
      </c>
      <c r="U266">
        <v>0</v>
      </c>
      <c r="V266">
        <v>1539.18</v>
      </c>
      <c r="W266" t="s">
        <v>27</v>
      </c>
      <c r="X266">
        <v>33</v>
      </c>
    </row>
    <row r="267" spans="1:24" ht="14.25" customHeight="1">
      <c r="A267" t="s">
        <v>980</v>
      </c>
      <c r="B267" t="s">
        <v>2287</v>
      </c>
      <c r="C267" s="6" t="str">
        <f t="shared" si="13"/>
        <v>February</v>
      </c>
      <c r="D267" s="6" t="str">
        <f t="shared" si="14"/>
        <v>18</v>
      </c>
      <c r="E267" t="s">
        <v>981</v>
      </c>
      <c r="F267" t="s">
        <v>21</v>
      </c>
      <c r="G267" t="s">
        <v>37</v>
      </c>
      <c r="H267" s="4" t="s">
        <v>2256</v>
      </c>
      <c r="I267">
        <v>542632</v>
      </c>
      <c r="J267" s="8" t="s">
        <v>2347</v>
      </c>
      <c r="K267" t="s">
        <v>312</v>
      </c>
      <c r="L267" t="s">
        <v>313</v>
      </c>
      <c r="M267" t="s">
        <v>26</v>
      </c>
      <c r="N267">
        <f t="shared" si="12"/>
        <v>3</v>
      </c>
      <c r="O267">
        <v>2</v>
      </c>
      <c r="P267" s="6">
        <v>195.87</v>
      </c>
      <c r="Q267">
        <v>9.7899999999999991</v>
      </c>
      <c r="R267">
        <v>381.95</v>
      </c>
      <c r="S267">
        <v>19.100000000000001</v>
      </c>
      <c r="T267">
        <v>20</v>
      </c>
      <c r="U267">
        <v>0</v>
      </c>
      <c r="V267">
        <v>421.05</v>
      </c>
      <c r="W267" t="s">
        <v>27</v>
      </c>
      <c r="X267">
        <v>20</v>
      </c>
    </row>
    <row r="268" spans="1:24" ht="14.25" customHeight="1">
      <c r="A268" t="s">
        <v>982</v>
      </c>
      <c r="B268" t="s">
        <v>2279</v>
      </c>
      <c r="C268" s="6" t="str">
        <f t="shared" si="13"/>
        <v>January</v>
      </c>
      <c r="D268" s="6" t="str">
        <f t="shared" si="14"/>
        <v>02</v>
      </c>
      <c r="E268" t="s">
        <v>983</v>
      </c>
      <c r="F268" t="s">
        <v>21</v>
      </c>
      <c r="G268" t="s">
        <v>22</v>
      </c>
      <c r="H268" s="4" t="s">
        <v>2256</v>
      </c>
      <c r="I268">
        <v>512104</v>
      </c>
      <c r="J268" s="8" t="s">
        <v>2345</v>
      </c>
      <c r="K268" t="s">
        <v>316</v>
      </c>
      <c r="L268" t="s">
        <v>317</v>
      </c>
      <c r="M268" t="s">
        <v>135</v>
      </c>
      <c r="N268">
        <f t="shared" si="12"/>
        <v>9</v>
      </c>
      <c r="O268">
        <v>1</v>
      </c>
      <c r="P268" s="6">
        <v>57.75</v>
      </c>
      <c r="Q268">
        <v>2.89</v>
      </c>
      <c r="R268">
        <v>54.86</v>
      </c>
      <c r="S268">
        <v>2.74</v>
      </c>
      <c r="T268">
        <v>30</v>
      </c>
      <c r="U268">
        <v>15</v>
      </c>
      <c r="V268">
        <v>102.6</v>
      </c>
      <c r="W268" t="s">
        <v>27</v>
      </c>
      <c r="X268">
        <v>26</v>
      </c>
    </row>
    <row r="269" spans="1:24" ht="14.25" customHeight="1">
      <c r="A269" t="s">
        <v>984</v>
      </c>
      <c r="B269" t="s">
        <v>2279</v>
      </c>
      <c r="C269" s="6" t="str">
        <f t="shared" si="13"/>
        <v>January</v>
      </c>
      <c r="D269" s="6" t="str">
        <f t="shared" si="14"/>
        <v>02</v>
      </c>
      <c r="E269" t="s">
        <v>985</v>
      </c>
      <c r="F269" t="s">
        <v>80</v>
      </c>
      <c r="G269" t="s">
        <v>81</v>
      </c>
      <c r="H269" s="4" t="s">
        <v>2256</v>
      </c>
      <c r="I269">
        <v>887019</v>
      </c>
      <c r="J269" s="8" t="s">
        <v>30</v>
      </c>
      <c r="K269" t="s">
        <v>320</v>
      </c>
      <c r="L269" t="s">
        <v>321</v>
      </c>
      <c r="M269" t="s">
        <v>33</v>
      </c>
      <c r="N269">
        <f t="shared" ref="N269:N332" si="15">LEN(M269)</f>
        <v>10</v>
      </c>
      <c r="O269">
        <v>1</v>
      </c>
      <c r="P269" s="6">
        <v>196.24</v>
      </c>
      <c r="Q269">
        <v>9.81</v>
      </c>
      <c r="R269">
        <v>186.43</v>
      </c>
      <c r="S269">
        <v>9.32</v>
      </c>
      <c r="T269">
        <v>20</v>
      </c>
      <c r="U269">
        <v>20</v>
      </c>
      <c r="V269">
        <v>235.75</v>
      </c>
      <c r="W269" t="s">
        <v>27</v>
      </c>
      <c r="X269">
        <v>17</v>
      </c>
    </row>
    <row r="270" spans="1:24" ht="14.25" customHeight="1">
      <c r="A270" t="s">
        <v>986</v>
      </c>
      <c r="B270" t="s">
        <v>2291</v>
      </c>
      <c r="C270" s="6" t="str">
        <f t="shared" si="13"/>
        <v>January</v>
      </c>
      <c r="D270" s="6" t="str">
        <f t="shared" si="14"/>
        <v>28</v>
      </c>
      <c r="E270" t="s">
        <v>987</v>
      </c>
      <c r="F270" t="s">
        <v>21</v>
      </c>
      <c r="G270" t="s">
        <v>68</v>
      </c>
      <c r="H270" s="4" t="s">
        <v>2256</v>
      </c>
      <c r="I270">
        <v>471233</v>
      </c>
      <c r="J270" s="8" t="s">
        <v>2345</v>
      </c>
      <c r="K270" t="s">
        <v>324</v>
      </c>
      <c r="L270" t="s">
        <v>325</v>
      </c>
      <c r="M270" t="s">
        <v>130</v>
      </c>
      <c r="N270">
        <f t="shared" si="15"/>
        <v>7</v>
      </c>
      <c r="O270">
        <v>5</v>
      </c>
      <c r="P270" s="6">
        <v>37.17</v>
      </c>
      <c r="Q270">
        <v>0</v>
      </c>
      <c r="R270">
        <v>185.85</v>
      </c>
      <c r="S270">
        <v>9.2899999999999991</v>
      </c>
      <c r="T270">
        <v>20</v>
      </c>
      <c r="U270">
        <v>10</v>
      </c>
      <c r="V270">
        <v>225.14</v>
      </c>
      <c r="W270" t="s">
        <v>27</v>
      </c>
      <c r="X270">
        <v>12</v>
      </c>
    </row>
    <row r="271" spans="1:24" ht="14.25" customHeight="1">
      <c r="A271" t="s">
        <v>988</v>
      </c>
      <c r="B271" t="s">
        <v>2309</v>
      </c>
      <c r="C271" s="6" t="str">
        <f t="shared" si="13"/>
        <v>February</v>
      </c>
      <c r="D271" s="6" t="str">
        <f t="shared" si="14"/>
        <v>23</v>
      </c>
      <c r="E271" t="s">
        <v>989</v>
      </c>
      <c r="F271" t="s">
        <v>21</v>
      </c>
      <c r="G271" t="s">
        <v>74</v>
      </c>
      <c r="H271" s="4" t="s">
        <v>2256</v>
      </c>
      <c r="I271">
        <v>133866</v>
      </c>
      <c r="J271" s="8" t="s">
        <v>30</v>
      </c>
      <c r="K271" t="s">
        <v>328</v>
      </c>
      <c r="L271" t="s">
        <v>329</v>
      </c>
      <c r="M271" t="s">
        <v>130</v>
      </c>
      <c r="N271">
        <f t="shared" si="15"/>
        <v>7</v>
      </c>
      <c r="O271">
        <v>3</v>
      </c>
      <c r="P271" s="6">
        <v>46.27</v>
      </c>
      <c r="Q271">
        <v>0</v>
      </c>
      <c r="R271">
        <v>138.81</v>
      </c>
      <c r="S271">
        <v>6.94</v>
      </c>
      <c r="T271">
        <v>20</v>
      </c>
      <c r="U271">
        <v>20</v>
      </c>
      <c r="V271">
        <v>185.75</v>
      </c>
      <c r="W271" t="s">
        <v>27</v>
      </c>
      <c r="X271">
        <v>27</v>
      </c>
    </row>
    <row r="272" spans="1:24" ht="14.25" customHeight="1">
      <c r="A272" t="s">
        <v>990</v>
      </c>
      <c r="B272" t="s">
        <v>2271</v>
      </c>
      <c r="C272" s="6" t="str">
        <f t="shared" si="13"/>
        <v>January</v>
      </c>
      <c r="D272" s="6" t="str">
        <f t="shared" si="14"/>
        <v>23</v>
      </c>
      <c r="E272" t="s">
        <v>991</v>
      </c>
      <c r="F272" t="s">
        <v>21</v>
      </c>
      <c r="G272" t="s">
        <v>68</v>
      </c>
      <c r="H272" s="4" t="s">
        <v>2256</v>
      </c>
      <c r="I272">
        <v>533934</v>
      </c>
      <c r="J272" s="8" t="s">
        <v>30</v>
      </c>
      <c r="K272" t="s">
        <v>332</v>
      </c>
      <c r="L272" t="s">
        <v>333</v>
      </c>
      <c r="M272" t="s">
        <v>130</v>
      </c>
      <c r="N272">
        <f t="shared" si="15"/>
        <v>7</v>
      </c>
      <c r="O272">
        <v>4</v>
      </c>
      <c r="P272" s="6">
        <v>103.69</v>
      </c>
      <c r="Q272">
        <v>5.18</v>
      </c>
      <c r="R272">
        <v>409.58</v>
      </c>
      <c r="S272">
        <v>20.48</v>
      </c>
      <c r="T272">
        <v>0</v>
      </c>
      <c r="U272">
        <v>20</v>
      </c>
      <c r="V272">
        <v>450.06</v>
      </c>
      <c r="W272" t="s">
        <v>27</v>
      </c>
      <c r="X272">
        <v>19</v>
      </c>
    </row>
    <row r="273" spans="1:24" ht="14.25" customHeight="1">
      <c r="A273" t="s">
        <v>992</v>
      </c>
      <c r="B273" t="s">
        <v>2297</v>
      </c>
      <c r="C273" s="6" t="str">
        <f t="shared" si="13"/>
        <v>February</v>
      </c>
      <c r="D273" s="6" t="str">
        <f t="shared" si="14"/>
        <v>06</v>
      </c>
      <c r="E273" t="s">
        <v>993</v>
      </c>
      <c r="F273" t="s">
        <v>21</v>
      </c>
      <c r="G273" t="s">
        <v>106</v>
      </c>
      <c r="H273" s="4" t="s">
        <v>2256</v>
      </c>
      <c r="I273">
        <v>305735</v>
      </c>
      <c r="J273" s="8" t="s">
        <v>30</v>
      </c>
      <c r="K273" t="s">
        <v>336</v>
      </c>
      <c r="L273" t="s">
        <v>337</v>
      </c>
      <c r="M273" t="s">
        <v>77</v>
      </c>
      <c r="N273">
        <f t="shared" si="15"/>
        <v>5</v>
      </c>
      <c r="O273">
        <v>1</v>
      </c>
      <c r="P273" s="6">
        <v>166.91</v>
      </c>
      <c r="Q273">
        <v>16.690000000000001</v>
      </c>
      <c r="R273">
        <v>150.22</v>
      </c>
      <c r="S273">
        <v>7.51</v>
      </c>
      <c r="T273">
        <v>30</v>
      </c>
      <c r="U273">
        <v>5</v>
      </c>
      <c r="V273">
        <v>192.73</v>
      </c>
      <c r="W273" t="s">
        <v>27</v>
      </c>
      <c r="X273">
        <v>30</v>
      </c>
    </row>
    <row r="274" spans="1:24" ht="14.25" customHeight="1">
      <c r="A274" t="s">
        <v>994</v>
      </c>
      <c r="B274" t="s">
        <v>2319</v>
      </c>
      <c r="C274" s="6" t="str">
        <f t="shared" si="13"/>
        <v>February</v>
      </c>
      <c r="D274" s="6" t="str">
        <f t="shared" si="14"/>
        <v>01</v>
      </c>
      <c r="E274" t="s">
        <v>995</v>
      </c>
      <c r="F274" t="s">
        <v>21</v>
      </c>
      <c r="G274" t="s">
        <v>74</v>
      </c>
      <c r="H274" s="4" t="s">
        <v>2256</v>
      </c>
      <c r="I274">
        <v>356190</v>
      </c>
      <c r="J274" s="8" t="s">
        <v>30</v>
      </c>
      <c r="K274" t="s">
        <v>340</v>
      </c>
      <c r="L274" t="s">
        <v>341</v>
      </c>
      <c r="M274" t="s">
        <v>140</v>
      </c>
      <c r="N274">
        <f t="shared" si="15"/>
        <v>3</v>
      </c>
      <c r="O274">
        <v>1</v>
      </c>
      <c r="P274" s="6">
        <v>188.54</v>
      </c>
      <c r="Q274">
        <v>28.28</v>
      </c>
      <c r="R274">
        <v>160.26</v>
      </c>
      <c r="S274">
        <v>8.01</v>
      </c>
      <c r="T274">
        <v>10</v>
      </c>
      <c r="U274">
        <v>20</v>
      </c>
      <c r="V274">
        <v>198.27</v>
      </c>
      <c r="W274" t="s">
        <v>27</v>
      </c>
      <c r="X274">
        <v>27</v>
      </c>
    </row>
    <row r="275" spans="1:24" ht="14.25" customHeight="1">
      <c r="A275" t="s">
        <v>996</v>
      </c>
      <c r="B275" t="s">
        <v>2284</v>
      </c>
      <c r="C275" s="6" t="str">
        <f t="shared" si="13"/>
        <v>February</v>
      </c>
      <c r="D275" s="6" t="str">
        <f t="shared" si="14"/>
        <v>02</v>
      </c>
      <c r="E275" t="s">
        <v>997</v>
      </c>
      <c r="F275" t="s">
        <v>21</v>
      </c>
      <c r="G275" t="s">
        <v>22</v>
      </c>
      <c r="H275" s="4" t="s">
        <v>2256</v>
      </c>
      <c r="I275">
        <v>679365</v>
      </c>
      <c r="J275" s="8" t="s">
        <v>2347</v>
      </c>
      <c r="K275" t="s">
        <v>344</v>
      </c>
      <c r="L275" t="s">
        <v>345</v>
      </c>
      <c r="M275" t="s">
        <v>98</v>
      </c>
      <c r="N275">
        <f t="shared" si="15"/>
        <v>4</v>
      </c>
      <c r="O275">
        <v>2</v>
      </c>
      <c r="P275" s="6">
        <v>64.650000000000006</v>
      </c>
      <c r="Q275">
        <v>0</v>
      </c>
      <c r="R275">
        <v>129.30000000000001</v>
      </c>
      <c r="S275">
        <v>6.47</v>
      </c>
      <c r="T275">
        <v>0</v>
      </c>
      <c r="U275">
        <v>10</v>
      </c>
      <c r="V275">
        <v>145.77000000000001</v>
      </c>
      <c r="W275" t="s">
        <v>34</v>
      </c>
      <c r="X275">
        <v>25</v>
      </c>
    </row>
    <row r="276" spans="1:24" ht="14.25" customHeight="1">
      <c r="A276" t="s">
        <v>998</v>
      </c>
      <c r="B276" t="s">
        <v>2316</v>
      </c>
      <c r="C276" s="6" t="str">
        <f t="shared" si="13"/>
        <v>January</v>
      </c>
      <c r="D276" s="6" t="str">
        <f t="shared" si="14"/>
        <v>01</v>
      </c>
      <c r="E276" t="s">
        <v>999</v>
      </c>
      <c r="F276" t="s">
        <v>101</v>
      </c>
      <c r="G276" t="s">
        <v>81</v>
      </c>
      <c r="H276" s="4" t="s">
        <v>2256</v>
      </c>
      <c r="I276">
        <v>543316</v>
      </c>
      <c r="J276" s="8" t="s">
        <v>30</v>
      </c>
      <c r="K276" t="s">
        <v>348</v>
      </c>
      <c r="L276" t="s">
        <v>349</v>
      </c>
      <c r="M276" t="s">
        <v>71</v>
      </c>
      <c r="N276">
        <f t="shared" si="15"/>
        <v>6</v>
      </c>
      <c r="O276">
        <v>5</v>
      </c>
      <c r="P276" s="6">
        <v>48.66</v>
      </c>
      <c r="Q276">
        <v>2.4300000000000002</v>
      </c>
      <c r="R276">
        <v>240.87</v>
      </c>
      <c r="S276">
        <v>12.04</v>
      </c>
      <c r="T276">
        <v>0</v>
      </c>
      <c r="U276">
        <v>5</v>
      </c>
      <c r="V276">
        <v>257.91000000000003</v>
      </c>
      <c r="W276" t="s">
        <v>27</v>
      </c>
      <c r="X276">
        <v>22</v>
      </c>
    </row>
    <row r="277" spans="1:24" ht="14.25" customHeight="1">
      <c r="A277" t="s">
        <v>1000</v>
      </c>
      <c r="B277" t="s">
        <v>2270</v>
      </c>
      <c r="C277" s="6" t="str">
        <f t="shared" si="13"/>
        <v>January</v>
      </c>
      <c r="D277" s="6" t="str">
        <f t="shared" si="14"/>
        <v>19</v>
      </c>
      <c r="E277" t="s">
        <v>1001</v>
      </c>
      <c r="F277" t="s">
        <v>21</v>
      </c>
      <c r="G277" t="s">
        <v>106</v>
      </c>
      <c r="H277" s="4" t="s">
        <v>2256</v>
      </c>
      <c r="I277">
        <v>517168</v>
      </c>
      <c r="J277" s="8" t="s">
        <v>30</v>
      </c>
      <c r="K277" t="s">
        <v>352</v>
      </c>
      <c r="L277" t="s">
        <v>353</v>
      </c>
      <c r="M277" t="s">
        <v>130</v>
      </c>
      <c r="N277">
        <f t="shared" si="15"/>
        <v>7</v>
      </c>
      <c r="O277">
        <v>5</v>
      </c>
      <c r="P277" s="6">
        <v>275.37</v>
      </c>
      <c r="Q277">
        <v>27.54</v>
      </c>
      <c r="R277">
        <v>1349.31</v>
      </c>
      <c r="S277">
        <v>67.47</v>
      </c>
      <c r="T277">
        <v>20</v>
      </c>
      <c r="U277">
        <v>20</v>
      </c>
      <c r="V277">
        <v>1456.78</v>
      </c>
      <c r="W277" t="s">
        <v>27</v>
      </c>
      <c r="X277">
        <v>19</v>
      </c>
    </row>
    <row r="278" spans="1:24" ht="14.25" customHeight="1">
      <c r="A278" t="s">
        <v>1002</v>
      </c>
      <c r="B278" t="s">
        <v>2279</v>
      </c>
      <c r="C278" s="6" t="str">
        <f t="shared" si="13"/>
        <v>January</v>
      </c>
      <c r="D278" s="6" t="str">
        <f t="shared" si="14"/>
        <v>02</v>
      </c>
      <c r="E278" t="s">
        <v>1003</v>
      </c>
      <c r="F278" t="s">
        <v>101</v>
      </c>
      <c r="G278" t="s">
        <v>81</v>
      </c>
      <c r="H278" s="4" t="s">
        <v>2256</v>
      </c>
      <c r="I278">
        <v>973093</v>
      </c>
      <c r="J278" s="8" t="s">
        <v>30</v>
      </c>
      <c r="K278" t="s">
        <v>356</v>
      </c>
      <c r="L278" t="s">
        <v>357</v>
      </c>
      <c r="M278" t="s">
        <v>45</v>
      </c>
      <c r="N278">
        <f t="shared" si="15"/>
        <v>6</v>
      </c>
      <c r="O278">
        <v>4</v>
      </c>
      <c r="P278" s="6">
        <v>71.680000000000007</v>
      </c>
      <c r="Q278">
        <v>7.17</v>
      </c>
      <c r="R278">
        <v>279.55</v>
      </c>
      <c r="S278">
        <v>13.98</v>
      </c>
      <c r="T278">
        <v>20</v>
      </c>
      <c r="U278">
        <v>0</v>
      </c>
      <c r="V278">
        <v>313.52999999999997</v>
      </c>
      <c r="W278" t="s">
        <v>27</v>
      </c>
      <c r="X278">
        <v>30</v>
      </c>
    </row>
    <row r="279" spans="1:24" ht="14.25" customHeight="1">
      <c r="A279" t="s">
        <v>1004</v>
      </c>
      <c r="B279" t="s">
        <v>2274</v>
      </c>
      <c r="C279" s="6" t="str">
        <f t="shared" si="13"/>
        <v>February</v>
      </c>
      <c r="D279" s="6" t="str">
        <f t="shared" si="14"/>
        <v>22</v>
      </c>
      <c r="E279" t="s">
        <v>1005</v>
      </c>
      <c r="F279" t="s">
        <v>21</v>
      </c>
      <c r="G279" t="s">
        <v>106</v>
      </c>
      <c r="H279" s="4" t="s">
        <v>2256</v>
      </c>
      <c r="I279">
        <v>576513</v>
      </c>
      <c r="J279" s="8" t="s">
        <v>2347</v>
      </c>
      <c r="K279" t="s">
        <v>360</v>
      </c>
      <c r="L279" t="s">
        <v>361</v>
      </c>
      <c r="M279" t="s">
        <v>177</v>
      </c>
      <c r="N279">
        <f t="shared" si="15"/>
        <v>5</v>
      </c>
      <c r="O279">
        <v>3</v>
      </c>
      <c r="P279" s="6">
        <v>199.06</v>
      </c>
      <c r="Q279">
        <v>0</v>
      </c>
      <c r="R279">
        <v>597.18000000000006</v>
      </c>
      <c r="S279">
        <v>29.86</v>
      </c>
      <c r="T279">
        <v>10</v>
      </c>
      <c r="U279">
        <v>10</v>
      </c>
      <c r="V279">
        <v>647.04000000000008</v>
      </c>
      <c r="W279" t="s">
        <v>27</v>
      </c>
      <c r="X279">
        <v>27</v>
      </c>
    </row>
    <row r="280" spans="1:24" ht="14.25" customHeight="1">
      <c r="A280" t="s">
        <v>1006</v>
      </c>
      <c r="B280" t="s">
        <v>2280</v>
      </c>
      <c r="C280" s="6" t="str">
        <f t="shared" si="13"/>
        <v>February</v>
      </c>
      <c r="D280" s="6" t="str">
        <f t="shared" si="14"/>
        <v>13</v>
      </c>
      <c r="E280" t="s">
        <v>1007</v>
      </c>
      <c r="F280" t="s">
        <v>21</v>
      </c>
      <c r="G280" t="s">
        <v>74</v>
      </c>
      <c r="H280" s="4" t="s">
        <v>2256</v>
      </c>
      <c r="I280">
        <v>802098</v>
      </c>
      <c r="J280" s="8" t="s">
        <v>2348</v>
      </c>
      <c r="K280" t="s">
        <v>364</v>
      </c>
      <c r="L280" t="s">
        <v>365</v>
      </c>
      <c r="M280" t="s">
        <v>55</v>
      </c>
      <c r="N280">
        <f t="shared" si="15"/>
        <v>5</v>
      </c>
      <c r="O280">
        <v>4</v>
      </c>
      <c r="P280" s="6">
        <v>114.53</v>
      </c>
      <c r="Q280">
        <v>11.45</v>
      </c>
      <c r="R280">
        <v>446.67</v>
      </c>
      <c r="S280">
        <v>22.33</v>
      </c>
      <c r="T280">
        <v>0</v>
      </c>
      <c r="U280">
        <v>0</v>
      </c>
      <c r="V280">
        <v>469</v>
      </c>
      <c r="W280" t="s">
        <v>27</v>
      </c>
      <c r="X280">
        <v>2</v>
      </c>
    </row>
    <row r="281" spans="1:24" ht="14.25" customHeight="1">
      <c r="A281" t="s">
        <v>1008</v>
      </c>
      <c r="B281" t="s">
        <v>2304</v>
      </c>
      <c r="C281" s="6" t="str">
        <f t="shared" si="13"/>
        <v>January</v>
      </c>
      <c r="D281" s="6" t="str">
        <f t="shared" si="14"/>
        <v>26</v>
      </c>
      <c r="E281" t="s">
        <v>1009</v>
      </c>
      <c r="F281" t="s">
        <v>21</v>
      </c>
      <c r="G281" t="s">
        <v>106</v>
      </c>
      <c r="H281" s="4" t="s">
        <v>2256</v>
      </c>
      <c r="I281">
        <v>423853</v>
      </c>
      <c r="J281" s="8" t="s">
        <v>2347</v>
      </c>
      <c r="K281" t="s">
        <v>368</v>
      </c>
      <c r="L281" t="s">
        <v>369</v>
      </c>
      <c r="M281" t="s">
        <v>40</v>
      </c>
      <c r="N281">
        <f t="shared" si="15"/>
        <v>6</v>
      </c>
      <c r="O281">
        <v>1</v>
      </c>
      <c r="P281" s="6">
        <v>89.71</v>
      </c>
      <c r="Q281">
        <v>13.46</v>
      </c>
      <c r="R281">
        <v>76.25</v>
      </c>
      <c r="S281">
        <v>3.81</v>
      </c>
      <c r="T281">
        <v>10</v>
      </c>
      <c r="U281">
        <v>5</v>
      </c>
      <c r="V281">
        <v>95.06</v>
      </c>
      <c r="W281" t="s">
        <v>27</v>
      </c>
      <c r="X281">
        <v>19</v>
      </c>
    </row>
    <row r="282" spans="1:24" ht="14.25" customHeight="1">
      <c r="A282" t="s">
        <v>1010</v>
      </c>
      <c r="B282" t="s">
        <v>2319</v>
      </c>
      <c r="C282" s="6" t="str">
        <f t="shared" si="13"/>
        <v>February</v>
      </c>
      <c r="D282" s="6" t="str">
        <f t="shared" si="14"/>
        <v>01</v>
      </c>
      <c r="E282" t="s">
        <v>1011</v>
      </c>
      <c r="F282" t="s">
        <v>21</v>
      </c>
      <c r="G282" t="s">
        <v>22</v>
      </c>
      <c r="H282" s="4" t="s">
        <v>2256</v>
      </c>
      <c r="I282">
        <v>569164</v>
      </c>
      <c r="J282" s="8" t="s">
        <v>2345</v>
      </c>
      <c r="K282" t="s">
        <v>372</v>
      </c>
      <c r="L282" t="s">
        <v>373</v>
      </c>
      <c r="M282" t="s">
        <v>26</v>
      </c>
      <c r="N282">
        <f t="shared" si="15"/>
        <v>3</v>
      </c>
      <c r="O282">
        <v>6</v>
      </c>
      <c r="P282" s="6">
        <v>80.239999999999995</v>
      </c>
      <c r="Q282">
        <v>8.02</v>
      </c>
      <c r="R282">
        <v>473.42</v>
      </c>
      <c r="S282">
        <v>23.67</v>
      </c>
      <c r="T282">
        <v>30</v>
      </c>
      <c r="U282">
        <v>10</v>
      </c>
      <c r="V282">
        <v>537.08999999999992</v>
      </c>
      <c r="W282" t="s">
        <v>27</v>
      </c>
      <c r="X282">
        <v>4</v>
      </c>
    </row>
    <row r="283" spans="1:24" ht="14.25" customHeight="1">
      <c r="A283" t="s">
        <v>1012</v>
      </c>
      <c r="B283" t="s">
        <v>2308</v>
      </c>
      <c r="C283" s="6" t="str">
        <f t="shared" si="13"/>
        <v>January</v>
      </c>
      <c r="D283" s="6" t="str">
        <f t="shared" si="14"/>
        <v>06</v>
      </c>
      <c r="E283" t="s">
        <v>1013</v>
      </c>
      <c r="F283" t="s">
        <v>21</v>
      </c>
      <c r="G283" t="s">
        <v>22</v>
      </c>
      <c r="H283" s="4" t="s">
        <v>2256</v>
      </c>
      <c r="I283">
        <v>440754</v>
      </c>
      <c r="J283" s="8" t="s">
        <v>2346</v>
      </c>
      <c r="K283" t="s">
        <v>376</v>
      </c>
      <c r="L283" t="s">
        <v>377</v>
      </c>
      <c r="M283" t="s">
        <v>77</v>
      </c>
      <c r="N283">
        <f t="shared" si="15"/>
        <v>5</v>
      </c>
      <c r="O283">
        <v>5</v>
      </c>
      <c r="P283" s="6">
        <v>211.28</v>
      </c>
      <c r="Q283">
        <v>31.69</v>
      </c>
      <c r="R283">
        <v>1024.71</v>
      </c>
      <c r="S283">
        <v>51.24</v>
      </c>
      <c r="T283">
        <v>30</v>
      </c>
      <c r="U283">
        <v>15</v>
      </c>
      <c r="V283">
        <v>1120.95</v>
      </c>
      <c r="W283" t="s">
        <v>27</v>
      </c>
      <c r="X283">
        <v>32</v>
      </c>
    </row>
    <row r="284" spans="1:24" ht="14.25" customHeight="1">
      <c r="A284" t="s">
        <v>1014</v>
      </c>
      <c r="B284" t="s">
        <v>2319</v>
      </c>
      <c r="C284" s="6" t="str">
        <f t="shared" si="13"/>
        <v>February</v>
      </c>
      <c r="D284" s="6" t="str">
        <f t="shared" si="14"/>
        <v>01</v>
      </c>
      <c r="E284" t="s">
        <v>1015</v>
      </c>
      <c r="F284" t="s">
        <v>21</v>
      </c>
      <c r="G284" t="s">
        <v>68</v>
      </c>
      <c r="H284" s="4" t="s">
        <v>2256</v>
      </c>
      <c r="I284">
        <v>935869</v>
      </c>
      <c r="J284" s="8" t="s">
        <v>30</v>
      </c>
      <c r="K284" t="s">
        <v>380</v>
      </c>
      <c r="L284" t="s">
        <v>381</v>
      </c>
      <c r="M284" t="s">
        <v>65</v>
      </c>
      <c r="N284">
        <f t="shared" si="15"/>
        <v>6</v>
      </c>
      <c r="O284">
        <v>4</v>
      </c>
      <c r="P284" s="6">
        <v>90.65</v>
      </c>
      <c r="Q284">
        <v>0</v>
      </c>
      <c r="R284">
        <v>362.6</v>
      </c>
      <c r="S284">
        <v>18.13</v>
      </c>
      <c r="T284">
        <v>0</v>
      </c>
      <c r="U284">
        <v>10</v>
      </c>
      <c r="V284">
        <v>390.73</v>
      </c>
      <c r="W284" t="s">
        <v>27</v>
      </c>
      <c r="X284">
        <v>27</v>
      </c>
    </row>
    <row r="285" spans="1:24" ht="14.25" customHeight="1">
      <c r="A285" t="s">
        <v>1016</v>
      </c>
      <c r="B285" t="s">
        <v>2295</v>
      </c>
      <c r="C285" s="6" t="str">
        <f t="shared" si="13"/>
        <v>February</v>
      </c>
      <c r="D285" s="6" t="str">
        <f t="shared" si="14"/>
        <v>24</v>
      </c>
      <c r="E285" t="s">
        <v>1017</v>
      </c>
      <c r="F285" t="s">
        <v>21</v>
      </c>
      <c r="G285" t="s">
        <v>37</v>
      </c>
      <c r="H285" s="4" t="s">
        <v>2256</v>
      </c>
      <c r="I285">
        <v>609666</v>
      </c>
      <c r="J285" s="8" t="s">
        <v>2346</v>
      </c>
      <c r="K285" t="s">
        <v>384</v>
      </c>
      <c r="L285" t="s">
        <v>385</v>
      </c>
      <c r="M285" t="s">
        <v>135</v>
      </c>
      <c r="N285">
        <f t="shared" si="15"/>
        <v>9</v>
      </c>
      <c r="O285">
        <v>3</v>
      </c>
      <c r="P285" s="6">
        <v>59.61</v>
      </c>
      <c r="Q285">
        <v>5.96</v>
      </c>
      <c r="R285">
        <v>172.87</v>
      </c>
      <c r="S285">
        <v>8.64</v>
      </c>
      <c r="T285">
        <v>10</v>
      </c>
      <c r="U285">
        <v>5</v>
      </c>
      <c r="V285">
        <v>196.51</v>
      </c>
      <c r="W285" t="s">
        <v>27</v>
      </c>
      <c r="X285">
        <v>19</v>
      </c>
    </row>
    <row r="286" spans="1:24" ht="14.25" customHeight="1">
      <c r="A286" t="s">
        <v>1018</v>
      </c>
      <c r="B286" t="s">
        <v>2301</v>
      </c>
      <c r="C286" s="6" t="str">
        <f t="shared" si="13"/>
        <v>January</v>
      </c>
      <c r="D286" s="6" t="str">
        <f t="shared" si="14"/>
        <v>04</v>
      </c>
      <c r="E286" t="s">
        <v>1019</v>
      </c>
      <c r="F286" t="s">
        <v>21</v>
      </c>
      <c r="G286" t="s">
        <v>106</v>
      </c>
      <c r="H286" s="4" t="s">
        <v>2256</v>
      </c>
      <c r="I286">
        <v>302435</v>
      </c>
      <c r="J286" s="8" t="s">
        <v>62</v>
      </c>
      <c r="K286" t="s">
        <v>388</v>
      </c>
      <c r="L286" t="s">
        <v>389</v>
      </c>
      <c r="M286" t="s">
        <v>130</v>
      </c>
      <c r="N286">
        <f t="shared" si="15"/>
        <v>7</v>
      </c>
      <c r="O286">
        <v>4</v>
      </c>
      <c r="P286" s="6">
        <v>172.07</v>
      </c>
      <c r="Q286">
        <v>0</v>
      </c>
      <c r="R286">
        <v>688.28</v>
      </c>
      <c r="S286">
        <v>34.409999999999997</v>
      </c>
      <c r="T286">
        <v>20</v>
      </c>
      <c r="U286">
        <v>20</v>
      </c>
      <c r="V286">
        <v>762.68999999999994</v>
      </c>
      <c r="W286" t="s">
        <v>27</v>
      </c>
      <c r="X286">
        <v>21</v>
      </c>
    </row>
    <row r="287" spans="1:24" ht="14.25" customHeight="1">
      <c r="A287" t="s">
        <v>1020</v>
      </c>
      <c r="B287" t="s">
        <v>2295</v>
      </c>
      <c r="C287" s="6" t="str">
        <f t="shared" si="13"/>
        <v>February</v>
      </c>
      <c r="D287" s="6" t="str">
        <f t="shared" si="14"/>
        <v>24</v>
      </c>
      <c r="E287" t="s">
        <v>1021</v>
      </c>
      <c r="F287" t="s">
        <v>21</v>
      </c>
      <c r="G287" t="s">
        <v>68</v>
      </c>
      <c r="H287" s="4" t="s">
        <v>2256</v>
      </c>
      <c r="I287">
        <v>163095</v>
      </c>
      <c r="J287" s="8" t="s">
        <v>2347</v>
      </c>
      <c r="K287" t="s">
        <v>392</v>
      </c>
      <c r="L287" t="s">
        <v>393</v>
      </c>
      <c r="M287" t="s">
        <v>45</v>
      </c>
      <c r="N287">
        <f t="shared" si="15"/>
        <v>6</v>
      </c>
      <c r="O287">
        <v>1</v>
      </c>
      <c r="P287" s="6">
        <v>108.46</v>
      </c>
      <c r="Q287">
        <v>0</v>
      </c>
      <c r="R287">
        <v>108.46</v>
      </c>
      <c r="S287">
        <v>5.42</v>
      </c>
      <c r="T287">
        <v>20</v>
      </c>
      <c r="U287">
        <v>5</v>
      </c>
      <c r="V287">
        <v>138.88</v>
      </c>
      <c r="W287" t="s">
        <v>34</v>
      </c>
      <c r="X287">
        <v>25</v>
      </c>
    </row>
    <row r="288" spans="1:24" ht="14.25" customHeight="1">
      <c r="A288" t="s">
        <v>1022</v>
      </c>
      <c r="B288" t="s">
        <v>2272</v>
      </c>
      <c r="C288" s="6" t="str">
        <f t="shared" si="13"/>
        <v>January</v>
      </c>
      <c r="D288" s="6" t="str">
        <f t="shared" si="14"/>
        <v>11</v>
      </c>
      <c r="E288" t="s">
        <v>1023</v>
      </c>
      <c r="F288" t="s">
        <v>21</v>
      </c>
      <c r="G288" t="s">
        <v>106</v>
      </c>
      <c r="H288" s="4" t="s">
        <v>2256</v>
      </c>
      <c r="I288">
        <v>522381</v>
      </c>
      <c r="J288" s="8" t="s">
        <v>62</v>
      </c>
      <c r="K288" t="s">
        <v>396</v>
      </c>
      <c r="L288" t="s">
        <v>397</v>
      </c>
      <c r="M288" t="s">
        <v>33</v>
      </c>
      <c r="N288">
        <f t="shared" si="15"/>
        <v>10</v>
      </c>
      <c r="O288">
        <v>4</v>
      </c>
      <c r="P288" s="6">
        <v>130.77000000000001</v>
      </c>
      <c r="Q288">
        <v>13.08</v>
      </c>
      <c r="R288">
        <v>510.00000000000011</v>
      </c>
      <c r="S288">
        <v>25.5</v>
      </c>
      <c r="T288">
        <v>20</v>
      </c>
      <c r="U288">
        <v>5</v>
      </c>
      <c r="V288">
        <v>560.5</v>
      </c>
      <c r="W288" t="s">
        <v>84</v>
      </c>
      <c r="X288">
        <v>25</v>
      </c>
    </row>
    <row r="289" spans="1:24" ht="14.25" customHeight="1">
      <c r="A289" t="s">
        <v>1024</v>
      </c>
      <c r="B289" t="s">
        <v>2320</v>
      </c>
      <c r="C289" s="6" t="str">
        <f t="shared" si="13"/>
        <v>February</v>
      </c>
      <c r="D289" s="6" t="str">
        <f t="shared" si="14"/>
        <v>25</v>
      </c>
      <c r="E289" t="s">
        <v>1025</v>
      </c>
      <c r="F289" t="s">
        <v>21</v>
      </c>
      <c r="G289" t="s">
        <v>37</v>
      </c>
      <c r="H289" s="4" t="s">
        <v>2256</v>
      </c>
      <c r="I289">
        <v>902720</v>
      </c>
      <c r="J289" s="8" t="s">
        <v>2348</v>
      </c>
      <c r="K289" t="s">
        <v>400</v>
      </c>
      <c r="L289" t="s">
        <v>401</v>
      </c>
      <c r="M289" t="s">
        <v>55</v>
      </c>
      <c r="N289">
        <f t="shared" si="15"/>
        <v>5</v>
      </c>
      <c r="O289">
        <v>4</v>
      </c>
      <c r="P289" s="6">
        <v>160.05000000000001</v>
      </c>
      <c r="Q289">
        <v>16.010000000000002</v>
      </c>
      <c r="R289">
        <v>624.19000000000005</v>
      </c>
      <c r="S289">
        <v>31.21</v>
      </c>
      <c r="T289">
        <v>20</v>
      </c>
      <c r="U289">
        <v>15</v>
      </c>
      <c r="V289">
        <v>690.40000000000009</v>
      </c>
      <c r="W289" t="s">
        <v>27</v>
      </c>
      <c r="X289">
        <v>27</v>
      </c>
    </row>
    <row r="290" spans="1:24" ht="14.25" customHeight="1">
      <c r="A290" t="s">
        <v>1026</v>
      </c>
      <c r="B290" t="s">
        <v>2289</v>
      </c>
      <c r="C290" s="6" t="str">
        <f t="shared" si="13"/>
        <v>February</v>
      </c>
      <c r="D290" s="6" t="str">
        <f t="shared" si="14"/>
        <v>28</v>
      </c>
      <c r="E290" t="s">
        <v>1027</v>
      </c>
      <c r="F290" t="s">
        <v>21</v>
      </c>
      <c r="G290" t="s">
        <v>37</v>
      </c>
      <c r="H290" s="4" t="s">
        <v>2256</v>
      </c>
      <c r="I290">
        <v>237653</v>
      </c>
      <c r="J290" s="8" t="s">
        <v>2346</v>
      </c>
      <c r="K290" t="s">
        <v>404</v>
      </c>
      <c r="L290" t="s">
        <v>405</v>
      </c>
      <c r="M290" t="s">
        <v>45</v>
      </c>
      <c r="N290">
        <f t="shared" si="15"/>
        <v>6</v>
      </c>
      <c r="O290">
        <v>4</v>
      </c>
      <c r="P290" s="6">
        <v>160.35</v>
      </c>
      <c r="Q290">
        <v>16.04</v>
      </c>
      <c r="R290">
        <v>625.36</v>
      </c>
      <c r="S290">
        <v>31.27</v>
      </c>
      <c r="T290">
        <v>30</v>
      </c>
      <c r="U290">
        <v>5</v>
      </c>
      <c r="V290">
        <v>691.63</v>
      </c>
      <c r="W290" t="s">
        <v>27</v>
      </c>
      <c r="X290">
        <v>43</v>
      </c>
    </row>
    <row r="291" spans="1:24" ht="14.25" customHeight="1">
      <c r="A291" t="s">
        <v>1028</v>
      </c>
      <c r="B291" t="s">
        <v>2307</v>
      </c>
      <c r="C291" s="6" t="str">
        <f t="shared" si="13"/>
        <v>January</v>
      </c>
      <c r="D291" s="6" t="str">
        <f t="shared" si="14"/>
        <v>17</v>
      </c>
      <c r="E291" t="s">
        <v>1029</v>
      </c>
      <c r="F291" t="s">
        <v>80</v>
      </c>
      <c r="G291" t="s">
        <v>81</v>
      </c>
      <c r="H291" s="4" t="s">
        <v>2256</v>
      </c>
      <c r="I291">
        <v>913081</v>
      </c>
      <c r="J291" s="8" t="s">
        <v>30</v>
      </c>
      <c r="K291" t="s">
        <v>408</v>
      </c>
      <c r="L291" t="s">
        <v>409</v>
      </c>
      <c r="M291" t="s">
        <v>45</v>
      </c>
      <c r="N291">
        <f t="shared" si="15"/>
        <v>6</v>
      </c>
      <c r="O291">
        <v>1</v>
      </c>
      <c r="P291" s="6">
        <v>16.62</v>
      </c>
      <c r="Q291">
        <v>1.66</v>
      </c>
      <c r="R291">
        <v>14.96</v>
      </c>
      <c r="S291">
        <v>0.75</v>
      </c>
      <c r="T291">
        <v>20</v>
      </c>
      <c r="U291">
        <v>20</v>
      </c>
      <c r="V291">
        <v>55.71</v>
      </c>
      <c r="W291" t="s">
        <v>27</v>
      </c>
      <c r="X291">
        <v>15</v>
      </c>
    </row>
    <row r="292" spans="1:24" ht="14.25" customHeight="1">
      <c r="A292" t="s">
        <v>1030</v>
      </c>
      <c r="B292" t="s">
        <v>2282</v>
      </c>
      <c r="C292" s="6" t="str">
        <f t="shared" si="13"/>
        <v>February</v>
      </c>
      <c r="D292" s="6" t="str">
        <f t="shared" si="14"/>
        <v>07</v>
      </c>
      <c r="E292" t="s">
        <v>1031</v>
      </c>
      <c r="F292" t="s">
        <v>21</v>
      </c>
      <c r="G292" t="s">
        <v>74</v>
      </c>
      <c r="H292" s="4" t="s">
        <v>2256</v>
      </c>
      <c r="I292">
        <v>964434</v>
      </c>
      <c r="J292" s="8" t="s">
        <v>62</v>
      </c>
      <c r="K292" t="s">
        <v>412</v>
      </c>
      <c r="L292" t="s">
        <v>413</v>
      </c>
      <c r="M292" t="s">
        <v>140</v>
      </c>
      <c r="N292">
        <f t="shared" si="15"/>
        <v>3</v>
      </c>
      <c r="O292">
        <v>2</v>
      </c>
      <c r="P292" s="6">
        <v>87.88</v>
      </c>
      <c r="Q292">
        <v>0</v>
      </c>
      <c r="R292">
        <v>175.76</v>
      </c>
      <c r="S292">
        <v>8.7899999999999991</v>
      </c>
      <c r="T292">
        <v>20</v>
      </c>
      <c r="U292">
        <v>5</v>
      </c>
      <c r="V292">
        <v>209.55</v>
      </c>
      <c r="W292" t="s">
        <v>27</v>
      </c>
      <c r="X292">
        <v>24</v>
      </c>
    </row>
    <row r="293" spans="1:24" ht="14.25" customHeight="1">
      <c r="A293" t="s">
        <v>1032</v>
      </c>
      <c r="B293" t="s">
        <v>2273</v>
      </c>
      <c r="C293" s="6" t="str">
        <f t="shared" si="13"/>
        <v>January</v>
      </c>
      <c r="D293" s="6" t="str">
        <f t="shared" si="14"/>
        <v>24</v>
      </c>
      <c r="E293" t="s">
        <v>1033</v>
      </c>
      <c r="F293" t="s">
        <v>21</v>
      </c>
      <c r="G293" t="s">
        <v>74</v>
      </c>
      <c r="H293" s="4" t="s">
        <v>2256</v>
      </c>
      <c r="I293">
        <v>330147</v>
      </c>
      <c r="J293" s="8" t="s">
        <v>2347</v>
      </c>
      <c r="K293" t="s">
        <v>416</v>
      </c>
      <c r="L293" t="s">
        <v>417</v>
      </c>
      <c r="M293" t="s">
        <v>71</v>
      </c>
      <c r="N293">
        <f t="shared" si="15"/>
        <v>6</v>
      </c>
      <c r="O293">
        <v>2</v>
      </c>
      <c r="P293" s="6">
        <v>145.30000000000001</v>
      </c>
      <c r="Q293">
        <v>7.27</v>
      </c>
      <c r="R293">
        <v>283.33</v>
      </c>
      <c r="S293">
        <v>14.17</v>
      </c>
      <c r="T293">
        <v>0</v>
      </c>
      <c r="U293">
        <v>10</v>
      </c>
      <c r="V293">
        <v>307.50000000000011</v>
      </c>
      <c r="W293" t="s">
        <v>27</v>
      </c>
      <c r="X293">
        <v>33</v>
      </c>
    </row>
    <row r="294" spans="1:24" ht="14.25" customHeight="1">
      <c r="A294" t="s">
        <v>1034</v>
      </c>
      <c r="B294" t="s">
        <v>2317</v>
      </c>
      <c r="C294" s="6" t="str">
        <f t="shared" si="13"/>
        <v>January</v>
      </c>
      <c r="D294" s="6" t="str">
        <f t="shared" si="14"/>
        <v>05</v>
      </c>
      <c r="E294" t="s">
        <v>1035</v>
      </c>
      <c r="F294" t="s">
        <v>21</v>
      </c>
      <c r="G294" t="s">
        <v>37</v>
      </c>
      <c r="H294" s="4" t="s">
        <v>2256</v>
      </c>
      <c r="I294">
        <v>897622</v>
      </c>
      <c r="J294" s="8" t="s">
        <v>30</v>
      </c>
      <c r="K294" t="s">
        <v>420</v>
      </c>
      <c r="L294" t="s">
        <v>421</v>
      </c>
      <c r="M294" t="s">
        <v>98</v>
      </c>
      <c r="N294">
        <f t="shared" si="15"/>
        <v>4</v>
      </c>
      <c r="O294">
        <v>3</v>
      </c>
      <c r="P294" s="6">
        <v>173.32</v>
      </c>
      <c r="Q294">
        <v>0</v>
      </c>
      <c r="R294">
        <v>519.96</v>
      </c>
      <c r="S294">
        <v>26</v>
      </c>
      <c r="T294">
        <v>10</v>
      </c>
      <c r="U294">
        <v>20</v>
      </c>
      <c r="V294">
        <v>575.96</v>
      </c>
      <c r="W294" t="s">
        <v>27</v>
      </c>
      <c r="X294">
        <v>19</v>
      </c>
    </row>
    <row r="295" spans="1:24" ht="14.25" customHeight="1">
      <c r="A295" t="s">
        <v>1036</v>
      </c>
      <c r="B295" t="s">
        <v>2263</v>
      </c>
      <c r="C295" s="6" t="str">
        <f t="shared" si="13"/>
        <v>February</v>
      </c>
      <c r="D295" s="6" t="str">
        <f t="shared" si="14"/>
        <v>21</v>
      </c>
      <c r="E295" t="s">
        <v>1037</v>
      </c>
      <c r="F295" t="s">
        <v>21</v>
      </c>
      <c r="G295" t="s">
        <v>22</v>
      </c>
      <c r="H295" s="4" t="s">
        <v>2256</v>
      </c>
      <c r="I295">
        <v>257584</v>
      </c>
      <c r="J295" s="8" t="s">
        <v>62</v>
      </c>
      <c r="K295" t="s">
        <v>424</v>
      </c>
      <c r="L295" t="s">
        <v>425</v>
      </c>
      <c r="M295" t="s">
        <v>40</v>
      </c>
      <c r="N295">
        <f t="shared" si="15"/>
        <v>6</v>
      </c>
      <c r="O295">
        <v>3</v>
      </c>
      <c r="P295" s="6">
        <v>230.29</v>
      </c>
      <c r="Q295">
        <v>11.51</v>
      </c>
      <c r="R295">
        <v>679.36</v>
      </c>
      <c r="S295">
        <v>33.97</v>
      </c>
      <c r="T295">
        <v>0</v>
      </c>
      <c r="U295">
        <v>10</v>
      </c>
      <c r="V295">
        <v>723.33</v>
      </c>
      <c r="W295" t="s">
        <v>117</v>
      </c>
      <c r="X295">
        <v>25</v>
      </c>
    </row>
    <row r="296" spans="1:24" ht="14.25" customHeight="1">
      <c r="A296" t="s">
        <v>1038</v>
      </c>
      <c r="B296" t="s">
        <v>2310</v>
      </c>
      <c r="C296" s="6" t="str">
        <f t="shared" si="13"/>
        <v>February</v>
      </c>
      <c r="D296" s="6" t="str">
        <f t="shared" si="14"/>
        <v>03</v>
      </c>
      <c r="E296" t="s">
        <v>1039</v>
      </c>
      <c r="F296" t="s">
        <v>21</v>
      </c>
      <c r="G296" t="s">
        <v>37</v>
      </c>
      <c r="H296" s="4" t="s">
        <v>2256</v>
      </c>
      <c r="I296">
        <v>981506</v>
      </c>
      <c r="J296" s="8" t="s">
        <v>30</v>
      </c>
      <c r="K296" t="s">
        <v>428</v>
      </c>
      <c r="L296" t="s">
        <v>429</v>
      </c>
      <c r="M296" t="s">
        <v>140</v>
      </c>
      <c r="N296">
        <f t="shared" si="15"/>
        <v>3</v>
      </c>
      <c r="O296">
        <v>3</v>
      </c>
      <c r="P296" s="6">
        <v>85.2</v>
      </c>
      <c r="Q296">
        <v>12.78</v>
      </c>
      <c r="R296">
        <v>242.82</v>
      </c>
      <c r="S296">
        <v>12.14</v>
      </c>
      <c r="T296">
        <v>0</v>
      </c>
      <c r="U296">
        <v>15</v>
      </c>
      <c r="V296">
        <v>269.95999999999998</v>
      </c>
      <c r="W296" t="s">
        <v>27</v>
      </c>
      <c r="X296">
        <v>32</v>
      </c>
    </row>
    <row r="297" spans="1:24" ht="14.25" customHeight="1">
      <c r="A297" t="s">
        <v>1040</v>
      </c>
      <c r="B297" t="s">
        <v>2308</v>
      </c>
      <c r="C297" s="6" t="str">
        <f t="shared" si="13"/>
        <v>January</v>
      </c>
      <c r="D297" s="6" t="str">
        <f t="shared" si="14"/>
        <v>06</v>
      </c>
      <c r="E297" t="s">
        <v>1041</v>
      </c>
      <c r="F297" t="s">
        <v>21</v>
      </c>
      <c r="G297" t="s">
        <v>68</v>
      </c>
      <c r="H297" s="4" t="s">
        <v>2256</v>
      </c>
      <c r="I297">
        <v>818675</v>
      </c>
      <c r="J297" s="8" t="s">
        <v>30</v>
      </c>
      <c r="K297" t="s">
        <v>432</v>
      </c>
      <c r="L297" t="s">
        <v>433</v>
      </c>
      <c r="M297" t="s">
        <v>65</v>
      </c>
      <c r="N297">
        <f t="shared" si="15"/>
        <v>6</v>
      </c>
      <c r="O297">
        <v>1</v>
      </c>
      <c r="P297" s="6">
        <v>164.72</v>
      </c>
      <c r="Q297">
        <v>24.71</v>
      </c>
      <c r="R297">
        <v>140.01</v>
      </c>
      <c r="S297">
        <v>7</v>
      </c>
      <c r="T297">
        <v>30</v>
      </c>
      <c r="U297">
        <v>15</v>
      </c>
      <c r="V297">
        <v>192.01</v>
      </c>
      <c r="W297" t="s">
        <v>27</v>
      </c>
      <c r="X297">
        <v>16</v>
      </c>
    </row>
    <row r="298" spans="1:24" ht="14.25" customHeight="1">
      <c r="A298" t="s">
        <v>1042</v>
      </c>
      <c r="B298" t="s">
        <v>2278</v>
      </c>
      <c r="C298" s="6" t="str">
        <f t="shared" si="13"/>
        <v>January</v>
      </c>
      <c r="D298" s="6" t="str">
        <f t="shared" si="14"/>
        <v>22</v>
      </c>
      <c r="E298" t="s">
        <v>1043</v>
      </c>
      <c r="F298" t="s">
        <v>21</v>
      </c>
      <c r="G298" t="s">
        <v>68</v>
      </c>
      <c r="H298" s="4" t="s">
        <v>2256</v>
      </c>
      <c r="I298">
        <v>585757</v>
      </c>
      <c r="J298" s="8" t="s">
        <v>2345</v>
      </c>
      <c r="K298" t="s">
        <v>436</v>
      </c>
      <c r="L298" t="s">
        <v>437</v>
      </c>
      <c r="M298" t="s">
        <v>33</v>
      </c>
      <c r="N298">
        <f t="shared" si="15"/>
        <v>10</v>
      </c>
      <c r="O298">
        <v>2</v>
      </c>
      <c r="P298" s="6">
        <v>167.66</v>
      </c>
      <c r="Q298">
        <v>0</v>
      </c>
      <c r="R298">
        <v>335.32</v>
      </c>
      <c r="S298">
        <v>16.77</v>
      </c>
      <c r="T298">
        <v>30</v>
      </c>
      <c r="U298">
        <v>20</v>
      </c>
      <c r="V298">
        <v>402.09</v>
      </c>
      <c r="W298" t="s">
        <v>34</v>
      </c>
      <c r="X298">
        <v>25</v>
      </c>
    </row>
    <row r="299" spans="1:24" ht="14.25" customHeight="1">
      <c r="A299" t="s">
        <v>1044</v>
      </c>
      <c r="B299" t="s">
        <v>2272</v>
      </c>
      <c r="C299" s="6" t="str">
        <f t="shared" si="13"/>
        <v>January</v>
      </c>
      <c r="D299" s="6" t="str">
        <f t="shared" si="14"/>
        <v>11</v>
      </c>
      <c r="E299" t="s">
        <v>1045</v>
      </c>
      <c r="F299" t="s">
        <v>21</v>
      </c>
      <c r="G299" t="s">
        <v>37</v>
      </c>
      <c r="H299" s="4" t="s">
        <v>2256</v>
      </c>
      <c r="I299">
        <v>628936</v>
      </c>
      <c r="J299" s="8" t="s">
        <v>2349</v>
      </c>
      <c r="K299" t="s">
        <v>440</v>
      </c>
      <c r="L299" t="s">
        <v>441</v>
      </c>
      <c r="M299" t="s">
        <v>177</v>
      </c>
      <c r="N299">
        <f t="shared" si="15"/>
        <v>5</v>
      </c>
      <c r="O299">
        <v>4</v>
      </c>
      <c r="P299" s="6">
        <v>81.040000000000006</v>
      </c>
      <c r="Q299">
        <v>4.05</v>
      </c>
      <c r="R299">
        <v>320.11</v>
      </c>
      <c r="S299">
        <v>16.010000000000002</v>
      </c>
      <c r="T299">
        <v>20</v>
      </c>
      <c r="U299">
        <v>10</v>
      </c>
      <c r="V299">
        <v>366.12</v>
      </c>
      <c r="W299" t="s">
        <v>27</v>
      </c>
      <c r="X299">
        <v>8</v>
      </c>
    </row>
    <row r="300" spans="1:24" ht="14.25" customHeight="1">
      <c r="A300" t="s">
        <v>1046</v>
      </c>
      <c r="B300" t="s">
        <v>2313</v>
      </c>
      <c r="C300" s="6" t="str">
        <f t="shared" si="13"/>
        <v>February</v>
      </c>
      <c r="D300" s="6" t="str">
        <f t="shared" si="14"/>
        <v>17</v>
      </c>
      <c r="E300" t="s">
        <v>1047</v>
      </c>
      <c r="F300" t="s">
        <v>21</v>
      </c>
      <c r="G300" t="s">
        <v>74</v>
      </c>
      <c r="H300" s="4" t="s">
        <v>2256</v>
      </c>
      <c r="I300">
        <v>694316</v>
      </c>
      <c r="J300" s="8" t="s">
        <v>30</v>
      </c>
      <c r="K300" t="s">
        <v>444</v>
      </c>
      <c r="L300" t="s">
        <v>445</v>
      </c>
      <c r="M300" t="s">
        <v>55</v>
      </c>
      <c r="N300">
        <f t="shared" si="15"/>
        <v>5</v>
      </c>
      <c r="O300">
        <v>2</v>
      </c>
      <c r="P300" s="6">
        <v>124.2</v>
      </c>
      <c r="Q300">
        <v>6.21</v>
      </c>
      <c r="R300">
        <v>242.19</v>
      </c>
      <c r="S300">
        <v>12.11</v>
      </c>
      <c r="T300">
        <v>20</v>
      </c>
      <c r="U300">
        <v>0</v>
      </c>
      <c r="V300">
        <v>274.3</v>
      </c>
      <c r="W300" t="s">
        <v>27</v>
      </c>
      <c r="X300">
        <v>36</v>
      </c>
    </row>
    <row r="301" spans="1:24" ht="14.25" customHeight="1">
      <c r="A301" t="s">
        <v>1048</v>
      </c>
      <c r="B301" t="s">
        <v>2292</v>
      </c>
      <c r="C301" s="6" t="str">
        <f t="shared" si="13"/>
        <v>January</v>
      </c>
      <c r="D301" s="6" t="str">
        <f t="shared" si="14"/>
        <v>16</v>
      </c>
      <c r="E301" t="s">
        <v>1049</v>
      </c>
      <c r="F301" t="s">
        <v>101</v>
      </c>
      <c r="G301" t="s">
        <v>81</v>
      </c>
      <c r="H301" s="4" t="s">
        <v>2256</v>
      </c>
      <c r="I301">
        <v>414925</v>
      </c>
      <c r="J301" s="8" t="s">
        <v>30</v>
      </c>
      <c r="K301" t="s">
        <v>448</v>
      </c>
      <c r="L301" t="s">
        <v>449</v>
      </c>
      <c r="M301" t="s">
        <v>98</v>
      </c>
      <c r="N301">
        <f t="shared" si="15"/>
        <v>4</v>
      </c>
      <c r="O301">
        <v>1</v>
      </c>
      <c r="P301" s="6">
        <v>77.069999999999993</v>
      </c>
      <c r="Q301">
        <v>3.85</v>
      </c>
      <c r="R301">
        <v>73.22</v>
      </c>
      <c r="S301">
        <v>3.66</v>
      </c>
      <c r="T301">
        <v>0</v>
      </c>
      <c r="U301">
        <v>0</v>
      </c>
      <c r="V301">
        <v>76.88</v>
      </c>
      <c r="W301" t="s">
        <v>34</v>
      </c>
      <c r="X301">
        <v>25</v>
      </c>
    </row>
    <row r="302" spans="1:24" ht="14.25" customHeight="1">
      <c r="A302" t="s">
        <v>1050</v>
      </c>
      <c r="B302" t="s">
        <v>2284</v>
      </c>
      <c r="C302" s="6" t="str">
        <f t="shared" si="13"/>
        <v>February</v>
      </c>
      <c r="D302" s="6" t="str">
        <f t="shared" si="14"/>
        <v>02</v>
      </c>
      <c r="E302" t="s">
        <v>20</v>
      </c>
      <c r="F302" t="s">
        <v>21</v>
      </c>
      <c r="G302" t="s">
        <v>22</v>
      </c>
      <c r="H302" s="4" t="s">
        <v>2256</v>
      </c>
      <c r="I302">
        <v>668651</v>
      </c>
      <c r="J302" s="8" t="s">
        <v>2348</v>
      </c>
      <c r="K302" t="s">
        <v>452</v>
      </c>
      <c r="L302" t="s">
        <v>453</v>
      </c>
      <c r="M302" t="s">
        <v>22</v>
      </c>
      <c r="N302">
        <f t="shared" si="15"/>
        <v>6</v>
      </c>
      <c r="O302">
        <v>3</v>
      </c>
      <c r="P302" s="6">
        <v>222.55</v>
      </c>
      <c r="Q302">
        <v>33.380000000000003</v>
      </c>
      <c r="R302">
        <v>634.2700000000001</v>
      </c>
      <c r="S302">
        <v>31.71</v>
      </c>
      <c r="T302">
        <v>0</v>
      </c>
      <c r="U302">
        <v>20</v>
      </c>
      <c r="V302">
        <v>685.98000000000013</v>
      </c>
      <c r="W302" t="s">
        <v>27</v>
      </c>
      <c r="X302">
        <v>19</v>
      </c>
    </row>
    <row r="303" spans="1:24" ht="14.25" customHeight="1">
      <c r="A303" t="s">
        <v>1051</v>
      </c>
      <c r="B303" t="s">
        <v>2299</v>
      </c>
      <c r="C303" s="6" t="str">
        <f t="shared" si="13"/>
        <v>January</v>
      </c>
      <c r="D303" s="6" t="str">
        <f t="shared" si="14"/>
        <v>09</v>
      </c>
      <c r="E303" t="s">
        <v>29</v>
      </c>
      <c r="F303" t="s">
        <v>21</v>
      </c>
      <c r="G303" t="s">
        <v>106</v>
      </c>
      <c r="H303" s="4" t="s">
        <v>2256</v>
      </c>
      <c r="I303">
        <v>952694</v>
      </c>
      <c r="J303" s="8" t="s">
        <v>30</v>
      </c>
      <c r="K303" t="s">
        <v>456</v>
      </c>
      <c r="L303" t="s">
        <v>457</v>
      </c>
      <c r="M303" t="s">
        <v>65</v>
      </c>
      <c r="N303">
        <f t="shared" si="15"/>
        <v>6</v>
      </c>
      <c r="O303">
        <v>3</v>
      </c>
      <c r="P303" s="6">
        <v>208.44</v>
      </c>
      <c r="Q303">
        <v>0</v>
      </c>
      <c r="R303">
        <v>625.31999999999994</v>
      </c>
      <c r="S303">
        <v>31.27</v>
      </c>
      <c r="T303">
        <v>10</v>
      </c>
      <c r="U303">
        <v>0</v>
      </c>
      <c r="V303">
        <v>666.58999999999992</v>
      </c>
      <c r="W303" t="s">
        <v>27</v>
      </c>
      <c r="X303">
        <v>21</v>
      </c>
    </row>
    <row r="304" spans="1:24" ht="14.25" customHeight="1">
      <c r="A304" t="s">
        <v>1052</v>
      </c>
      <c r="B304" t="s">
        <v>2283</v>
      </c>
      <c r="C304" s="6" t="str">
        <f t="shared" si="13"/>
        <v>March</v>
      </c>
      <c r="D304" s="6" t="str">
        <f t="shared" si="14"/>
        <v>01</v>
      </c>
      <c r="E304" t="s">
        <v>36</v>
      </c>
      <c r="F304" t="s">
        <v>21</v>
      </c>
      <c r="G304" t="s">
        <v>68</v>
      </c>
      <c r="H304" s="4" t="s">
        <v>2256</v>
      </c>
      <c r="I304">
        <v>853298</v>
      </c>
      <c r="J304" s="8" t="s">
        <v>2348</v>
      </c>
      <c r="K304" t="s">
        <v>460</v>
      </c>
      <c r="L304" t="s">
        <v>461</v>
      </c>
      <c r="M304" t="s">
        <v>71</v>
      </c>
      <c r="N304">
        <f t="shared" si="15"/>
        <v>6</v>
      </c>
      <c r="O304">
        <v>2</v>
      </c>
      <c r="P304" s="6">
        <v>98.69</v>
      </c>
      <c r="Q304">
        <v>4.93</v>
      </c>
      <c r="R304">
        <v>192.45</v>
      </c>
      <c r="S304">
        <v>9.6199999999999992</v>
      </c>
      <c r="T304">
        <v>0</v>
      </c>
      <c r="U304">
        <v>5</v>
      </c>
      <c r="V304">
        <v>207.07</v>
      </c>
      <c r="W304" t="s">
        <v>27</v>
      </c>
      <c r="X304">
        <v>37</v>
      </c>
    </row>
    <row r="305" spans="1:24" ht="14.25" customHeight="1">
      <c r="A305" t="s">
        <v>1053</v>
      </c>
      <c r="B305" t="s">
        <v>2289</v>
      </c>
      <c r="C305" s="6" t="str">
        <f t="shared" si="13"/>
        <v>February</v>
      </c>
      <c r="D305" s="6" t="str">
        <f t="shared" si="14"/>
        <v>28</v>
      </c>
      <c r="E305" t="s">
        <v>42</v>
      </c>
      <c r="F305" t="s">
        <v>80</v>
      </c>
      <c r="G305" t="s">
        <v>81</v>
      </c>
      <c r="H305" s="4" t="s">
        <v>2256</v>
      </c>
      <c r="I305">
        <v>988544</v>
      </c>
      <c r="J305" s="8" t="s">
        <v>2349</v>
      </c>
      <c r="K305" t="s">
        <v>464</v>
      </c>
      <c r="L305" t="s">
        <v>465</v>
      </c>
      <c r="M305" t="s">
        <v>26</v>
      </c>
      <c r="N305">
        <f t="shared" si="15"/>
        <v>3</v>
      </c>
      <c r="O305">
        <v>6</v>
      </c>
      <c r="P305" s="6">
        <v>124.53</v>
      </c>
      <c r="Q305">
        <v>12.45</v>
      </c>
      <c r="R305">
        <v>734.73</v>
      </c>
      <c r="S305">
        <v>36.74</v>
      </c>
      <c r="T305">
        <v>30</v>
      </c>
      <c r="U305">
        <v>15</v>
      </c>
      <c r="V305">
        <v>816.47</v>
      </c>
      <c r="W305" t="s">
        <v>27</v>
      </c>
      <c r="X305">
        <v>8</v>
      </c>
    </row>
    <row r="306" spans="1:24" ht="14.25" customHeight="1">
      <c r="A306" t="s">
        <v>1054</v>
      </c>
      <c r="B306" t="s">
        <v>2308</v>
      </c>
      <c r="C306" s="6" t="str">
        <f t="shared" si="13"/>
        <v>January</v>
      </c>
      <c r="D306" s="6" t="str">
        <f t="shared" si="14"/>
        <v>06</v>
      </c>
      <c r="E306" t="s">
        <v>47</v>
      </c>
      <c r="F306" t="s">
        <v>21</v>
      </c>
      <c r="G306" t="s">
        <v>22</v>
      </c>
      <c r="H306" s="4" t="s">
        <v>2256</v>
      </c>
      <c r="I306">
        <v>423494</v>
      </c>
      <c r="J306" s="8" t="s">
        <v>62</v>
      </c>
      <c r="K306" t="s">
        <v>468</v>
      </c>
      <c r="L306" t="s">
        <v>469</v>
      </c>
      <c r="M306" t="s">
        <v>33</v>
      </c>
      <c r="N306">
        <f t="shared" si="15"/>
        <v>10</v>
      </c>
      <c r="O306">
        <v>2</v>
      </c>
      <c r="P306" s="6">
        <v>24.17</v>
      </c>
      <c r="Q306">
        <v>1.21</v>
      </c>
      <c r="R306">
        <v>47.13</v>
      </c>
      <c r="S306">
        <v>2.36</v>
      </c>
      <c r="T306">
        <v>20</v>
      </c>
      <c r="U306">
        <v>0</v>
      </c>
      <c r="V306">
        <v>69.490000000000009</v>
      </c>
      <c r="W306" t="s">
        <v>27</v>
      </c>
      <c r="X306">
        <v>16</v>
      </c>
    </row>
    <row r="307" spans="1:24" ht="14.25" customHeight="1">
      <c r="A307" t="s">
        <v>1055</v>
      </c>
      <c r="B307" t="s">
        <v>2292</v>
      </c>
      <c r="C307" s="6" t="str">
        <f t="shared" si="13"/>
        <v>January</v>
      </c>
      <c r="D307" s="6" t="str">
        <f t="shared" si="14"/>
        <v>16</v>
      </c>
      <c r="E307" t="s">
        <v>52</v>
      </c>
      <c r="F307" t="s">
        <v>21</v>
      </c>
      <c r="G307" t="s">
        <v>68</v>
      </c>
      <c r="H307" s="4" t="s">
        <v>2256</v>
      </c>
      <c r="I307">
        <v>621481</v>
      </c>
      <c r="J307" s="8" t="s">
        <v>2349</v>
      </c>
      <c r="K307" t="s">
        <v>472</v>
      </c>
      <c r="L307" t="s">
        <v>473</v>
      </c>
      <c r="M307" t="s">
        <v>22</v>
      </c>
      <c r="N307">
        <f t="shared" si="15"/>
        <v>6</v>
      </c>
      <c r="O307">
        <v>1</v>
      </c>
      <c r="P307" s="6">
        <v>174.41</v>
      </c>
      <c r="Q307">
        <v>17.440000000000001</v>
      </c>
      <c r="R307">
        <v>156.97</v>
      </c>
      <c r="S307">
        <v>7.85</v>
      </c>
      <c r="T307">
        <v>10</v>
      </c>
      <c r="U307">
        <v>0</v>
      </c>
      <c r="V307">
        <v>174.82</v>
      </c>
      <c r="W307" t="s">
        <v>27</v>
      </c>
      <c r="X307">
        <v>22</v>
      </c>
    </row>
    <row r="308" spans="1:24" ht="14.25" customHeight="1">
      <c r="A308" t="s">
        <v>1056</v>
      </c>
      <c r="B308" t="s">
        <v>2264</v>
      </c>
      <c r="C308" s="6" t="str">
        <f t="shared" si="13"/>
        <v>January</v>
      </c>
      <c r="D308" s="6" t="str">
        <f t="shared" si="14"/>
        <v>29</v>
      </c>
      <c r="E308" t="s">
        <v>57</v>
      </c>
      <c r="F308" t="s">
        <v>21</v>
      </c>
      <c r="G308" t="s">
        <v>74</v>
      </c>
      <c r="H308" s="4" t="s">
        <v>2256</v>
      </c>
      <c r="I308">
        <v>205848</v>
      </c>
      <c r="J308" s="8" t="s">
        <v>62</v>
      </c>
      <c r="K308" t="s">
        <v>476</v>
      </c>
      <c r="L308" t="s">
        <v>477</v>
      </c>
      <c r="M308" t="s">
        <v>33</v>
      </c>
      <c r="N308">
        <f t="shared" si="15"/>
        <v>10</v>
      </c>
      <c r="O308">
        <v>3</v>
      </c>
      <c r="P308" s="6">
        <v>91.83</v>
      </c>
      <c r="Q308">
        <v>9.18</v>
      </c>
      <c r="R308">
        <v>266.31</v>
      </c>
      <c r="S308">
        <v>13.32</v>
      </c>
      <c r="T308">
        <v>0</v>
      </c>
      <c r="U308">
        <v>10</v>
      </c>
      <c r="V308">
        <v>289.63</v>
      </c>
      <c r="W308" t="s">
        <v>117</v>
      </c>
      <c r="X308">
        <v>25</v>
      </c>
    </row>
    <row r="309" spans="1:24" ht="14.25" customHeight="1">
      <c r="A309" t="s">
        <v>1057</v>
      </c>
      <c r="B309" t="s">
        <v>2277</v>
      </c>
      <c r="C309" s="6" t="str">
        <f t="shared" si="13"/>
        <v>January</v>
      </c>
      <c r="D309" s="6" t="str">
        <f t="shared" si="14"/>
        <v>03</v>
      </c>
      <c r="E309" t="s">
        <v>61</v>
      </c>
      <c r="F309" t="s">
        <v>21</v>
      </c>
      <c r="G309" t="s">
        <v>74</v>
      </c>
      <c r="H309" s="4" t="s">
        <v>2256</v>
      </c>
      <c r="I309">
        <v>303047</v>
      </c>
      <c r="J309" s="8" t="s">
        <v>30</v>
      </c>
      <c r="K309" t="s">
        <v>480</v>
      </c>
      <c r="L309" t="s">
        <v>481</v>
      </c>
      <c r="M309" t="s">
        <v>33</v>
      </c>
      <c r="N309">
        <f t="shared" si="15"/>
        <v>10</v>
      </c>
      <c r="O309">
        <v>2</v>
      </c>
      <c r="P309" s="6">
        <v>78.45</v>
      </c>
      <c r="Q309">
        <v>0</v>
      </c>
      <c r="R309">
        <v>156.9</v>
      </c>
      <c r="S309">
        <v>7.85</v>
      </c>
      <c r="T309">
        <v>10</v>
      </c>
      <c r="U309">
        <v>10</v>
      </c>
      <c r="V309">
        <v>184.75</v>
      </c>
      <c r="W309" t="s">
        <v>27</v>
      </c>
      <c r="X309">
        <v>10</v>
      </c>
    </row>
    <row r="310" spans="1:24" ht="14.25" customHeight="1">
      <c r="A310" t="s">
        <v>1058</v>
      </c>
      <c r="B310" t="s">
        <v>2305</v>
      </c>
      <c r="C310" s="6" t="str">
        <f t="shared" si="13"/>
        <v>January</v>
      </c>
      <c r="D310" s="6" t="str">
        <f t="shared" si="14"/>
        <v>20</v>
      </c>
      <c r="E310" t="s">
        <v>67</v>
      </c>
      <c r="F310" t="s">
        <v>21</v>
      </c>
      <c r="G310" t="s">
        <v>68</v>
      </c>
      <c r="H310" s="4" t="s">
        <v>2256</v>
      </c>
      <c r="I310">
        <v>610370</v>
      </c>
      <c r="J310" s="8" t="s">
        <v>30</v>
      </c>
      <c r="K310" t="s">
        <v>484</v>
      </c>
      <c r="L310" t="s">
        <v>485</v>
      </c>
      <c r="M310" t="s">
        <v>40</v>
      </c>
      <c r="N310">
        <f t="shared" si="15"/>
        <v>6</v>
      </c>
      <c r="O310">
        <v>1</v>
      </c>
      <c r="P310" s="6">
        <v>147.12</v>
      </c>
      <c r="Q310">
        <v>0</v>
      </c>
      <c r="R310">
        <v>147.12</v>
      </c>
      <c r="S310">
        <v>7.36</v>
      </c>
      <c r="T310">
        <v>20</v>
      </c>
      <c r="U310">
        <v>15</v>
      </c>
      <c r="V310">
        <v>189.48</v>
      </c>
      <c r="W310" t="s">
        <v>27</v>
      </c>
      <c r="X310">
        <v>12</v>
      </c>
    </row>
    <row r="311" spans="1:24" ht="14.25" customHeight="1">
      <c r="A311" t="s">
        <v>1059</v>
      </c>
      <c r="B311" t="s">
        <v>2283</v>
      </c>
      <c r="C311" s="6" t="str">
        <f t="shared" si="13"/>
        <v>March</v>
      </c>
      <c r="D311" s="6" t="str">
        <f t="shared" si="14"/>
        <v>01</v>
      </c>
      <c r="E311" t="s">
        <v>73</v>
      </c>
      <c r="F311" t="s">
        <v>21</v>
      </c>
      <c r="G311" t="s">
        <v>37</v>
      </c>
      <c r="H311" s="4" t="s">
        <v>2256</v>
      </c>
      <c r="I311">
        <v>743294</v>
      </c>
      <c r="J311" s="8" t="s">
        <v>2348</v>
      </c>
      <c r="K311" t="s">
        <v>488</v>
      </c>
      <c r="L311" t="s">
        <v>489</v>
      </c>
      <c r="M311" t="s">
        <v>98</v>
      </c>
      <c r="N311">
        <f t="shared" si="15"/>
        <v>4</v>
      </c>
      <c r="O311">
        <v>3</v>
      </c>
      <c r="P311" s="6">
        <v>32.549999999999997</v>
      </c>
      <c r="Q311">
        <v>4.88</v>
      </c>
      <c r="R311">
        <v>92.77</v>
      </c>
      <c r="S311">
        <v>4.6399999999999997</v>
      </c>
      <c r="T311">
        <v>20</v>
      </c>
      <c r="U311">
        <v>15</v>
      </c>
      <c r="V311">
        <v>132.41</v>
      </c>
      <c r="W311" t="s">
        <v>34</v>
      </c>
      <c r="X311">
        <v>25</v>
      </c>
    </row>
    <row r="312" spans="1:24" ht="14.25" customHeight="1">
      <c r="A312" t="s">
        <v>1060</v>
      </c>
      <c r="B312" t="s">
        <v>2289</v>
      </c>
      <c r="C312" s="6" t="str">
        <f t="shared" si="13"/>
        <v>February</v>
      </c>
      <c r="D312" s="6" t="str">
        <f t="shared" si="14"/>
        <v>28</v>
      </c>
      <c r="E312" t="s">
        <v>79</v>
      </c>
      <c r="F312" t="s">
        <v>80</v>
      </c>
      <c r="G312" t="s">
        <v>81</v>
      </c>
      <c r="H312" s="4" t="s">
        <v>2256</v>
      </c>
      <c r="I312">
        <v>724411</v>
      </c>
      <c r="J312" s="8" t="s">
        <v>30</v>
      </c>
      <c r="K312" t="s">
        <v>492</v>
      </c>
      <c r="L312" t="s">
        <v>493</v>
      </c>
      <c r="M312" t="s">
        <v>177</v>
      </c>
      <c r="N312">
        <f t="shared" si="15"/>
        <v>5</v>
      </c>
      <c r="O312">
        <v>5</v>
      </c>
      <c r="P312" s="6">
        <v>85.35</v>
      </c>
      <c r="Q312">
        <v>0</v>
      </c>
      <c r="R312">
        <v>426.75</v>
      </c>
      <c r="S312">
        <v>21.34</v>
      </c>
      <c r="T312">
        <v>10</v>
      </c>
      <c r="U312">
        <v>0</v>
      </c>
      <c r="V312">
        <v>458.09</v>
      </c>
      <c r="W312" t="s">
        <v>27</v>
      </c>
      <c r="X312">
        <v>6</v>
      </c>
    </row>
    <row r="313" spans="1:24" ht="14.25" customHeight="1">
      <c r="A313" t="s">
        <v>1061</v>
      </c>
      <c r="B313" t="s">
        <v>2275</v>
      </c>
      <c r="C313" s="6" t="str">
        <f t="shared" si="13"/>
        <v>February</v>
      </c>
      <c r="D313" s="6" t="str">
        <f t="shared" si="14"/>
        <v>05</v>
      </c>
      <c r="E313" t="s">
        <v>86</v>
      </c>
      <c r="F313" t="s">
        <v>21</v>
      </c>
      <c r="G313" t="s">
        <v>22</v>
      </c>
      <c r="H313" s="4" t="s">
        <v>2256</v>
      </c>
      <c r="I313">
        <v>594178</v>
      </c>
      <c r="J313" s="8" t="s">
        <v>30</v>
      </c>
      <c r="K313" t="s">
        <v>496</v>
      </c>
      <c r="L313" t="s">
        <v>497</v>
      </c>
      <c r="M313" t="s">
        <v>26</v>
      </c>
      <c r="N313">
        <f t="shared" si="15"/>
        <v>3</v>
      </c>
      <c r="O313">
        <v>3</v>
      </c>
      <c r="P313" s="6">
        <v>169.76</v>
      </c>
      <c r="Q313">
        <v>0</v>
      </c>
      <c r="R313">
        <v>509.28</v>
      </c>
      <c r="S313">
        <v>25.46</v>
      </c>
      <c r="T313">
        <v>30</v>
      </c>
      <c r="U313">
        <v>5</v>
      </c>
      <c r="V313">
        <v>569.74</v>
      </c>
      <c r="W313" t="s">
        <v>27</v>
      </c>
      <c r="X313">
        <v>19</v>
      </c>
    </row>
    <row r="314" spans="1:24" ht="14.25" customHeight="1">
      <c r="A314" t="s">
        <v>1062</v>
      </c>
      <c r="B314" t="s">
        <v>2270</v>
      </c>
      <c r="C314" s="6" t="str">
        <f t="shared" si="13"/>
        <v>January</v>
      </c>
      <c r="D314" s="6" t="str">
        <f t="shared" si="14"/>
        <v>19</v>
      </c>
      <c r="E314" t="s">
        <v>91</v>
      </c>
      <c r="F314" t="s">
        <v>21</v>
      </c>
      <c r="G314" t="s">
        <v>68</v>
      </c>
      <c r="H314" s="4" t="s">
        <v>2256</v>
      </c>
      <c r="I314">
        <v>986559</v>
      </c>
      <c r="J314" s="8" t="s">
        <v>2347</v>
      </c>
      <c r="K314" t="s">
        <v>500</v>
      </c>
      <c r="L314" t="s">
        <v>501</v>
      </c>
      <c r="M314" t="s">
        <v>89</v>
      </c>
      <c r="N314">
        <f t="shared" si="15"/>
        <v>7</v>
      </c>
      <c r="O314">
        <v>3</v>
      </c>
      <c r="P314" s="6">
        <v>199.84</v>
      </c>
      <c r="Q314">
        <v>19.98</v>
      </c>
      <c r="R314">
        <v>579.54</v>
      </c>
      <c r="S314">
        <v>28.98</v>
      </c>
      <c r="T314">
        <v>30</v>
      </c>
      <c r="U314">
        <v>20</v>
      </c>
      <c r="V314">
        <v>658.52</v>
      </c>
      <c r="W314" t="s">
        <v>27</v>
      </c>
      <c r="X314">
        <v>35</v>
      </c>
    </row>
    <row r="315" spans="1:24" ht="14.25" customHeight="1">
      <c r="A315" t="s">
        <v>1063</v>
      </c>
      <c r="B315" t="s">
        <v>2304</v>
      </c>
      <c r="C315" s="6" t="str">
        <f t="shared" si="13"/>
        <v>January</v>
      </c>
      <c r="D315" s="6" t="str">
        <f t="shared" si="14"/>
        <v>26</v>
      </c>
      <c r="E315" t="s">
        <v>95</v>
      </c>
      <c r="F315" t="s">
        <v>21</v>
      </c>
      <c r="G315" t="s">
        <v>37</v>
      </c>
      <c r="H315" s="4" t="s">
        <v>2256</v>
      </c>
      <c r="I315">
        <v>416456</v>
      </c>
      <c r="J315" s="8" t="s">
        <v>2346</v>
      </c>
      <c r="K315" t="s">
        <v>504</v>
      </c>
      <c r="L315" t="s">
        <v>505</v>
      </c>
      <c r="M315" t="s">
        <v>40</v>
      </c>
      <c r="N315">
        <f t="shared" si="15"/>
        <v>6</v>
      </c>
      <c r="O315">
        <v>3</v>
      </c>
      <c r="P315" s="6">
        <v>102.39</v>
      </c>
      <c r="Q315">
        <v>10.24</v>
      </c>
      <c r="R315">
        <v>296.93</v>
      </c>
      <c r="S315">
        <v>14.85</v>
      </c>
      <c r="T315">
        <v>20</v>
      </c>
      <c r="U315">
        <v>0</v>
      </c>
      <c r="V315">
        <v>331.78</v>
      </c>
      <c r="W315" t="s">
        <v>34</v>
      </c>
      <c r="X315">
        <v>25</v>
      </c>
    </row>
    <row r="316" spans="1:24" ht="14.25" customHeight="1">
      <c r="A316" t="s">
        <v>1064</v>
      </c>
      <c r="B316" t="s">
        <v>2277</v>
      </c>
      <c r="C316" s="6" t="str">
        <f t="shared" si="13"/>
        <v>January</v>
      </c>
      <c r="D316" s="6" t="str">
        <f t="shared" si="14"/>
        <v>03</v>
      </c>
      <c r="E316" t="s">
        <v>100</v>
      </c>
      <c r="F316" t="s">
        <v>101</v>
      </c>
      <c r="G316" t="s">
        <v>81</v>
      </c>
      <c r="H316" s="4" t="s">
        <v>2256</v>
      </c>
      <c r="I316">
        <v>863799</v>
      </c>
      <c r="J316" s="8" t="s">
        <v>30</v>
      </c>
      <c r="K316" t="s">
        <v>508</v>
      </c>
      <c r="L316" t="s">
        <v>509</v>
      </c>
      <c r="M316" t="s">
        <v>26</v>
      </c>
      <c r="N316">
        <f t="shared" si="15"/>
        <v>3</v>
      </c>
      <c r="O316">
        <v>3</v>
      </c>
      <c r="P316" s="6">
        <v>97.83</v>
      </c>
      <c r="Q316">
        <v>4.8899999999999997</v>
      </c>
      <c r="R316">
        <v>288.60000000000002</v>
      </c>
      <c r="S316">
        <v>14.43</v>
      </c>
      <c r="T316">
        <v>20</v>
      </c>
      <c r="U316">
        <v>20</v>
      </c>
      <c r="V316">
        <v>343.03</v>
      </c>
      <c r="W316" t="s">
        <v>27</v>
      </c>
      <c r="X316">
        <v>13</v>
      </c>
    </row>
    <row r="317" spans="1:24" ht="14.25" customHeight="1">
      <c r="A317" t="s">
        <v>1065</v>
      </c>
      <c r="B317" t="s">
        <v>2270</v>
      </c>
      <c r="C317" s="6" t="str">
        <f t="shared" si="13"/>
        <v>January</v>
      </c>
      <c r="D317" s="6" t="str">
        <f t="shared" si="14"/>
        <v>19</v>
      </c>
      <c r="E317" t="s">
        <v>105</v>
      </c>
      <c r="F317" t="s">
        <v>101</v>
      </c>
      <c r="G317" t="s">
        <v>81</v>
      </c>
      <c r="H317" s="4" t="s">
        <v>2256</v>
      </c>
      <c r="I317">
        <v>168803</v>
      </c>
      <c r="J317" s="8" t="s">
        <v>30</v>
      </c>
      <c r="K317" t="s">
        <v>512</v>
      </c>
      <c r="L317" t="s">
        <v>513</v>
      </c>
      <c r="M317" t="s">
        <v>135</v>
      </c>
      <c r="N317">
        <f t="shared" si="15"/>
        <v>9</v>
      </c>
      <c r="O317">
        <v>3</v>
      </c>
      <c r="P317" s="6">
        <v>166.13</v>
      </c>
      <c r="Q317">
        <v>0</v>
      </c>
      <c r="R317">
        <v>498.39</v>
      </c>
      <c r="S317">
        <v>24.92</v>
      </c>
      <c r="T317">
        <v>10</v>
      </c>
      <c r="U317">
        <v>0</v>
      </c>
      <c r="V317">
        <v>533.30999999999995</v>
      </c>
      <c r="W317" t="s">
        <v>27</v>
      </c>
      <c r="X317">
        <v>9</v>
      </c>
    </row>
    <row r="318" spans="1:24" ht="14.25" customHeight="1">
      <c r="A318" t="s">
        <v>1066</v>
      </c>
      <c r="B318" t="s">
        <v>2305</v>
      </c>
      <c r="C318" s="6" t="str">
        <f t="shared" si="13"/>
        <v>January</v>
      </c>
      <c r="D318" s="6" t="str">
        <f t="shared" si="14"/>
        <v>20</v>
      </c>
      <c r="E318" t="s">
        <v>110</v>
      </c>
      <c r="F318" t="s">
        <v>21</v>
      </c>
      <c r="G318" t="s">
        <v>22</v>
      </c>
      <c r="H318" s="4" t="s">
        <v>2256</v>
      </c>
      <c r="I318">
        <v>220234</v>
      </c>
      <c r="J318" s="8" t="s">
        <v>2345</v>
      </c>
      <c r="K318" t="s">
        <v>516</v>
      </c>
      <c r="L318" t="s">
        <v>517</v>
      </c>
      <c r="M318" t="s">
        <v>71</v>
      </c>
      <c r="N318">
        <f t="shared" si="15"/>
        <v>6</v>
      </c>
      <c r="O318">
        <v>4</v>
      </c>
      <c r="P318" s="6">
        <v>91.02</v>
      </c>
      <c r="Q318">
        <v>13.65</v>
      </c>
      <c r="R318">
        <v>350.43</v>
      </c>
      <c r="S318">
        <v>17.52</v>
      </c>
      <c r="T318">
        <v>10</v>
      </c>
      <c r="U318">
        <v>5</v>
      </c>
      <c r="V318">
        <v>382.95</v>
      </c>
      <c r="W318" t="s">
        <v>27</v>
      </c>
      <c r="X318">
        <v>26</v>
      </c>
    </row>
    <row r="319" spans="1:24" ht="14.25" customHeight="1">
      <c r="A319" t="s">
        <v>1067</v>
      </c>
      <c r="B319" t="s">
        <v>2319</v>
      </c>
      <c r="C319" s="6" t="str">
        <f t="shared" si="13"/>
        <v>February</v>
      </c>
      <c r="D319" s="6" t="str">
        <f t="shared" si="14"/>
        <v>01</v>
      </c>
      <c r="E319" t="s">
        <v>114</v>
      </c>
      <c r="F319" t="s">
        <v>21</v>
      </c>
      <c r="G319" t="s">
        <v>68</v>
      </c>
      <c r="H319" s="4" t="s">
        <v>2256</v>
      </c>
      <c r="I319">
        <v>441383</v>
      </c>
      <c r="J319" s="8" t="s">
        <v>2349</v>
      </c>
      <c r="K319" t="s">
        <v>520</v>
      </c>
      <c r="L319" t="s">
        <v>521</v>
      </c>
      <c r="M319" t="s">
        <v>89</v>
      </c>
      <c r="N319">
        <f t="shared" si="15"/>
        <v>7</v>
      </c>
      <c r="O319">
        <v>4</v>
      </c>
      <c r="P319" s="6">
        <v>47.7</v>
      </c>
      <c r="Q319">
        <v>0</v>
      </c>
      <c r="R319">
        <v>190.8</v>
      </c>
      <c r="S319">
        <v>9.5399999999999991</v>
      </c>
      <c r="T319">
        <v>10</v>
      </c>
      <c r="U319">
        <v>5</v>
      </c>
      <c r="V319">
        <v>215.34</v>
      </c>
      <c r="W319" t="s">
        <v>27</v>
      </c>
      <c r="X319">
        <v>3</v>
      </c>
    </row>
    <row r="320" spans="1:24" ht="14.25" customHeight="1">
      <c r="A320" t="s">
        <v>1068</v>
      </c>
      <c r="B320" t="s">
        <v>2298</v>
      </c>
      <c r="C320" s="6" t="str">
        <f t="shared" si="13"/>
        <v>January</v>
      </c>
      <c r="D320" s="6" t="str">
        <f t="shared" si="14"/>
        <v>07</v>
      </c>
      <c r="E320" t="s">
        <v>119</v>
      </c>
      <c r="F320" t="s">
        <v>80</v>
      </c>
      <c r="G320" t="s">
        <v>81</v>
      </c>
      <c r="H320" s="4" t="s">
        <v>2256</v>
      </c>
      <c r="I320">
        <v>630032</v>
      </c>
      <c r="J320" s="8" t="s">
        <v>2345</v>
      </c>
      <c r="K320" t="s">
        <v>524</v>
      </c>
      <c r="L320" t="s">
        <v>525</v>
      </c>
      <c r="M320" t="s">
        <v>65</v>
      </c>
      <c r="N320">
        <f t="shared" si="15"/>
        <v>6</v>
      </c>
      <c r="O320">
        <v>1</v>
      </c>
      <c r="P320" s="6">
        <v>187.92</v>
      </c>
      <c r="Q320">
        <v>18.79</v>
      </c>
      <c r="R320">
        <v>169.13</v>
      </c>
      <c r="S320">
        <v>8.4600000000000009</v>
      </c>
      <c r="T320">
        <v>0</v>
      </c>
      <c r="U320">
        <v>10</v>
      </c>
      <c r="V320">
        <v>187.59</v>
      </c>
      <c r="W320" t="s">
        <v>117</v>
      </c>
      <c r="X320">
        <v>25</v>
      </c>
    </row>
    <row r="321" spans="1:24" ht="14.25" customHeight="1">
      <c r="A321" t="s">
        <v>1069</v>
      </c>
      <c r="B321" t="s">
        <v>2263</v>
      </c>
      <c r="C321" s="6" t="str">
        <f t="shared" si="13"/>
        <v>February</v>
      </c>
      <c r="D321" s="6" t="str">
        <f t="shared" si="14"/>
        <v>21</v>
      </c>
      <c r="E321" t="s">
        <v>123</v>
      </c>
      <c r="F321" t="s">
        <v>21</v>
      </c>
      <c r="G321" t="s">
        <v>106</v>
      </c>
      <c r="H321" s="4" t="s">
        <v>2256</v>
      </c>
      <c r="I321">
        <v>775159</v>
      </c>
      <c r="J321" s="8" t="s">
        <v>2348</v>
      </c>
      <c r="K321" t="s">
        <v>528</v>
      </c>
      <c r="L321" t="s">
        <v>529</v>
      </c>
      <c r="M321" t="s">
        <v>77</v>
      </c>
      <c r="N321">
        <f t="shared" si="15"/>
        <v>5</v>
      </c>
      <c r="O321">
        <v>7</v>
      </c>
      <c r="P321" s="6">
        <v>19.53</v>
      </c>
      <c r="Q321">
        <v>0.98</v>
      </c>
      <c r="R321">
        <v>135.72999999999999</v>
      </c>
      <c r="S321">
        <v>6.79</v>
      </c>
      <c r="T321">
        <v>10</v>
      </c>
      <c r="U321">
        <v>0</v>
      </c>
      <c r="V321">
        <v>152.52000000000001</v>
      </c>
      <c r="W321" t="s">
        <v>27</v>
      </c>
      <c r="X321">
        <v>16</v>
      </c>
    </row>
    <row r="322" spans="1:24" ht="14.25" customHeight="1">
      <c r="A322" t="s">
        <v>1070</v>
      </c>
      <c r="B322" t="s">
        <v>2315</v>
      </c>
      <c r="C322" s="6" t="str">
        <f t="shared" si="13"/>
        <v>February</v>
      </c>
      <c r="D322" s="6" t="str">
        <f t="shared" si="14"/>
        <v>10</v>
      </c>
      <c r="E322" t="s">
        <v>127</v>
      </c>
      <c r="F322" t="s">
        <v>21</v>
      </c>
      <c r="G322" t="s">
        <v>22</v>
      </c>
      <c r="H322" s="4" t="s">
        <v>2256</v>
      </c>
      <c r="I322">
        <v>530442</v>
      </c>
      <c r="J322" s="8" t="s">
        <v>30</v>
      </c>
      <c r="K322" t="s">
        <v>532</v>
      </c>
      <c r="L322" t="s">
        <v>533</v>
      </c>
      <c r="M322" t="s">
        <v>177</v>
      </c>
      <c r="N322">
        <f t="shared" si="15"/>
        <v>5</v>
      </c>
      <c r="O322">
        <v>6</v>
      </c>
      <c r="P322" s="6">
        <v>56.09</v>
      </c>
      <c r="Q322">
        <v>0</v>
      </c>
      <c r="R322">
        <v>336.54</v>
      </c>
      <c r="S322">
        <v>16.829999999999998</v>
      </c>
      <c r="T322">
        <v>30</v>
      </c>
      <c r="U322">
        <v>15</v>
      </c>
      <c r="V322">
        <v>398.37</v>
      </c>
      <c r="W322" t="s">
        <v>27</v>
      </c>
      <c r="X322">
        <v>36</v>
      </c>
    </row>
    <row r="323" spans="1:24" ht="14.25" customHeight="1">
      <c r="A323" t="s">
        <v>1071</v>
      </c>
      <c r="B323" t="s">
        <v>2284</v>
      </c>
      <c r="C323" s="6" t="str">
        <f t="shared" ref="C323:C386" si="16">TEXT(B323,"mmmm")</f>
        <v>February</v>
      </c>
      <c r="D323" s="6" t="str">
        <f t="shared" ref="D323:D386" si="17">TEXT(B323,"dd")</f>
        <v>02</v>
      </c>
      <c r="E323" t="s">
        <v>132</v>
      </c>
      <c r="F323" t="s">
        <v>80</v>
      </c>
      <c r="G323" t="s">
        <v>81</v>
      </c>
      <c r="H323" s="4" t="s">
        <v>2256</v>
      </c>
      <c r="I323">
        <v>572890</v>
      </c>
      <c r="J323" s="8" t="s">
        <v>30</v>
      </c>
      <c r="K323" t="s">
        <v>536</v>
      </c>
      <c r="L323" t="s">
        <v>537</v>
      </c>
      <c r="M323" t="s">
        <v>177</v>
      </c>
      <c r="N323">
        <f t="shared" si="15"/>
        <v>5</v>
      </c>
      <c r="O323">
        <v>1</v>
      </c>
      <c r="P323" s="6">
        <v>51.55</v>
      </c>
      <c r="Q323">
        <v>7.73</v>
      </c>
      <c r="R323">
        <v>43.819999999999993</v>
      </c>
      <c r="S323">
        <v>2.19</v>
      </c>
      <c r="T323">
        <v>20</v>
      </c>
      <c r="U323">
        <v>15</v>
      </c>
      <c r="V323">
        <v>81.009999999999991</v>
      </c>
      <c r="W323" t="s">
        <v>27</v>
      </c>
      <c r="X323">
        <v>25</v>
      </c>
    </row>
    <row r="324" spans="1:24" ht="14.25" customHeight="1">
      <c r="A324" t="s">
        <v>1072</v>
      </c>
      <c r="B324" t="s">
        <v>2276</v>
      </c>
      <c r="C324" s="6" t="str">
        <f t="shared" si="16"/>
        <v>February</v>
      </c>
      <c r="D324" s="6" t="str">
        <f t="shared" si="17"/>
        <v>09</v>
      </c>
      <c r="E324" t="s">
        <v>137</v>
      </c>
      <c r="F324" t="s">
        <v>21</v>
      </c>
      <c r="G324" t="s">
        <v>68</v>
      </c>
      <c r="H324" s="4" t="s">
        <v>2256</v>
      </c>
      <c r="I324">
        <v>304923</v>
      </c>
      <c r="J324" s="8" t="s">
        <v>2346</v>
      </c>
      <c r="K324" t="s">
        <v>540</v>
      </c>
      <c r="L324" t="s">
        <v>541</v>
      </c>
      <c r="M324" t="s">
        <v>33</v>
      </c>
      <c r="N324">
        <f t="shared" si="15"/>
        <v>10</v>
      </c>
      <c r="O324">
        <v>2</v>
      </c>
      <c r="P324" s="6">
        <v>100.96</v>
      </c>
      <c r="Q324">
        <v>5.05</v>
      </c>
      <c r="R324">
        <v>196.87</v>
      </c>
      <c r="S324">
        <v>9.84</v>
      </c>
      <c r="T324">
        <v>0</v>
      </c>
      <c r="U324">
        <v>15</v>
      </c>
      <c r="V324">
        <v>221.71</v>
      </c>
      <c r="W324" t="s">
        <v>27</v>
      </c>
      <c r="X324">
        <v>25</v>
      </c>
    </row>
    <row r="325" spans="1:24" ht="14.25" customHeight="1">
      <c r="A325" t="s">
        <v>1073</v>
      </c>
      <c r="B325" t="s">
        <v>2262</v>
      </c>
      <c r="C325" s="6" t="str">
        <f t="shared" si="16"/>
        <v>February</v>
      </c>
      <c r="D325" s="6" t="str">
        <f t="shared" si="17"/>
        <v>08</v>
      </c>
      <c r="E325" t="s">
        <v>142</v>
      </c>
      <c r="F325" t="s">
        <v>21</v>
      </c>
      <c r="G325" t="s">
        <v>106</v>
      </c>
      <c r="H325" s="4" t="s">
        <v>2256</v>
      </c>
      <c r="I325">
        <v>302747</v>
      </c>
      <c r="J325" s="8" t="s">
        <v>2346</v>
      </c>
      <c r="K325" t="s">
        <v>544</v>
      </c>
      <c r="L325" t="s">
        <v>545</v>
      </c>
      <c r="M325" t="s">
        <v>130</v>
      </c>
      <c r="N325">
        <f t="shared" si="15"/>
        <v>7</v>
      </c>
      <c r="O325">
        <v>1</v>
      </c>
      <c r="P325" s="6">
        <v>153.53</v>
      </c>
      <c r="Q325">
        <v>15.35</v>
      </c>
      <c r="R325">
        <v>138.18</v>
      </c>
      <c r="S325">
        <v>6.91</v>
      </c>
      <c r="T325">
        <v>10</v>
      </c>
      <c r="U325">
        <v>10</v>
      </c>
      <c r="V325">
        <v>165.09</v>
      </c>
      <c r="W325" t="s">
        <v>27</v>
      </c>
      <c r="X325">
        <v>34</v>
      </c>
    </row>
    <row r="326" spans="1:24" ht="14.25" customHeight="1">
      <c r="A326" t="s">
        <v>1074</v>
      </c>
      <c r="B326" t="s">
        <v>2300</v>
      </c>
      <c r="C326" s="6" t="str">
        <f t="shared" si="16"/>
        <v>January</v>
      </c>
      <c r="D326" s="6" t="str">
        <f t="shared" si="17"/>
        <v>18</v>
      </c>
      <c r="E326" t="s">
        <v>146</v>
      </c>
      <c r="F326" t="s">
        <v>21</v>
      </c>
      <c r="G326" t="s">
        <v>106</v>
      </c>
      <c r="H326" s="4" t="s">
        <v>2256</v>
      </c>
      <c r="I326">
        <v>159500</v>
      </c>
      <c r="J326" s="8" t="s">
        <v>2346</v>
      </c>
      <c r="K326" t="s">
        <v>548</v>
      </c>
      <c r="L326" t="s">
        <v>549</v>
      </c>
      <c r="M326" t="s">
        <v>77</v>
      </c>
      <c r="N326">
        <f t="shared" si="15"/>
        <v>5</v>
      </c>
      <c r="O326">
        <v>1</v>
      </c>
      <c r="P326" s="6">
        <v>113.83</v>
      </c>
      <c r="Q326">
        <v>11.38</v>
      </c>
      <c r="R326">
        <v>102.45</v>
      </c>
      <c r="S326">
        <v>5.12</v>
      </c>
      <c r="T326">
        <v>0</v>
      </c>
      <c r="U326">
        <v>5</v>
      </c>
      <c r="V326">
        <v>112.57</v>
      </c>
      <c r="W326" t="s">
        <v>27</v>
      </c>
      <c r="X326">
        <v>26</v>
      </c>
    </row>
    <row r="327" spans="1:24" ht="14.25" customHeight="1">
      <c r="A327" t="s">
        <v>1075</v>
      </c>
      <c r="B327" t="s">
        <v>2276</v>
      </c>
      <c r="C327" s="6" t="str">
        <f t="shared" si="16"/>
        <v>February</v>
      </c>
      <c r="D327" s="6" t="str">
        <f t="shared" si="17"/>
        <v>09</v>
      </c>
      <c r="E327" t="s">
        <v>150</v>
      </c>
      <c r="F327" t="s">
        <v>80</v>
      </c>
      <c r="G327" t="s">
        <v>81</v>
      </c>
      <c r="H327" s="4" t="s">
        <v>2256</v>
      </c>
      <c r="I327">
        <v>632844</v>
      </c>
      <c r="J327" s="8" t="s">
        <v>2348</v>
      </c>
      <c r="K327" t="s">
        <v>552</v>
      </c>
      <c r="L327" t="s">
        <v>553</v>
      </c>
      <c r="M327" t="s">
        <v>65</v>
      </c>
      <c r="N327">
        <f t="shared" si="15"/>
        <v>6</v>
      </c>
      <c r="O327">
        <v>1</v>
      </c>
      <c r="P327" s="6">
        <v>200.15</v>
      </c>
      <c r="Q327">
        <v>20.02</v>
      </c>
      <c r="R327">
        <v>180.13</v>
      </c>
      <c r="S327">
        <v>9.01</v>
      </c>
      <c r="T327">
        <v>0</v>
      </c>
      <c r="U327">
        <v>5</v>
      </c>
      <c r="V327">
        <v>194.14</v>
      </c>
      <c r="W327" t="s">
        <v>34</v>
      </c>
      <c r="X327">
        <v>25</v>
      </c>
    </row>
    <row r="328" spans="1:24" ht="14.25" customHeight="1">
      <c r="A328" t="s">
        <v>1076</v>
      </c>
      <c r="B328" t="s">
        <v>2316</v>
      </c>
      <c r="C328" s="6" t="str">
        <f t="shared" si="16"/>
        <v>January</v>
      </c>
      <c r="D328" s="6" t="str">
        <f t="shared" si="17"/>
        <v>01</v>
      </c>
      <c r="E328" t="s">
        <v>154</v>
      </c>
      <c r="F328" t="s">
        <v>21</v>
      </c>
      <c r="G328" t="s">
        <v>74</v>
      </c>
      <c r="H328" s="4" t="s">
        <v>2256</v>
      </c>
      <c r="I328">
        <v>474313</v>
      </c>
      <c r="J328" s="8" t="s">
        <v>30</v>
      </c>
      <c r="K328" t="s">
        <v>556</v>
      </c>
      <c r="L328" t="s">
        <v>557</v>
      </c>
      <c r="M328" t="s">
        <v>55</v>
      </c>
      <c r="N328">
        <f t="shared" si="15"/>
        <v>5</v>
      </c>
      <c r="O328">
        <v>2</v>
      </c>
      <c r="P328" s="6">
        <v>182.88</v>
      </c>
      <c r="Q328">
        <v>27.43</v>
      </c>
      <c r="R328">
        <v>338.33</v>
      </c>
      <c r="S328">
        <v>16.920000000000002</v>
      </c>
      <c r="T328">
        <v>20</v>
      </c>
      <c r="U328">
        <v>0</v>
      </c>
      <c r="V328">
        <v>375.25</v>
      </c>
      <c r="W328" t="s">
        <v>27</v>
      </c>
      <c r="X328">
        <v>21</v>
      </c>
    </row>
    <row r="329" spans="1:24" ht="14.25" customHeight="1">
      <c r="A329" t="s">
        <v>1077</v>
      </c>
      <c r="B329" t="s">
        <v>2272</v>
      </c>
      <c r="C329" s="6" t="str">
        <f t="shared" si="16"/>
        <v>January</v>
      </c>
      <c r="D329" s="6" t="str">
        <f t="shared" si="17"/>
        <v>11</v>
      </c>
      <c r="E329" t="s">
        <v>158</v>
      </c>
      <c r="F329" t="s">
        <v>21</v>
      </c>
      <c r="G329" t="s">
        <v>106</v>
      </c>
      <c r="H329" s="4" t="s">
        <v>2256</v>
      </c>
      <c r="I329">
        <v>847028</v>
      </c>
      <c r="J329" s="8" t="s">
        <v>2348</v>
      </c>
      <c r="K329" t="s">
        <v>560</v>
      </c>
      <c r="L329" t="s">
        <v>561</v>
      </c>
      <c r="M329" t="s">
        <v>22</v>
      </c>
      <c r="N329">
        <f t="shared" si="15"/>
        <v>6</v>
      </c>
      <c r="O329">
        <v>3</v>
      </c>
      <c r="P329" s="6">
        <v>71.7</v>
      </c>
      <c r="Q329">
        <v>3.59</v>
      </c>
      <c r="R329">
        <v>211.51</v>
      </c>
      <c r="S329">
        <v>10.58</v>
      </c>
      <c r="T329">
        <v>0</v>
      </c>
      <c r="U329">
        <v>0</v>
      </c>
      <c r="V329">
        <v>222.09</v>
      </c>
      <c r="W329" t="s">
        <v>27</v>
      </c>
      <c r="X329">
        <v>10</v>
      </c>
    </row>
    <row r="330" spans="1:24" ht="14.25" customHeight="1">
      <c r="A330" t="s">
        <v>1078</v>
      </c>
      <c r="B330" t="s">
        <v>2291</v>
      </c>
      <c r="C330" s="6" t="str">
        <f t="shared" si="16"/>
        <v>January</v>
      </c>
      <c r="D330" s="6" t="str">
        <f t="shared" si="17"/>
        <v>28</v>
      </c>
      <c r="E330" t="s">
        <v>162</v>
      </c>
      <c r="F330" t="s">
        <v>21</v>
      </c>
      <c r="G330" t="s">
        <v>74</v>
      </c>
      <c r="H330" s="4" t="s">
        <v>2256</v>
      </c>
      <c r="I330">
        <v>971808</v>
      </c>
      <c r="J330" s="8" t="s">
        <v>30</v>
      </c>
      <c r="K330" t="s">
        <v>564</v>
      </c>
      <c r="L330" t="s">
        <v>565</v>
      </c>
      <c r="M330" t="s">
        <v>33</v>
      </c>
      <c r="N330">
        <f t="shared" si="15"/>
        <v>10</v>
      </c>
      <c r="O330">
        <v>3</v>
      </c>
      <c r="P330" s="6">
        <v>137.32</v>
      </c>
      <c r="Q330">
        <v>20.6</v>
      </c>
      <c r="R330">
        <v>391.36</v>
      </c>
      <c r="S330">
        <v>19.57</v>
      </c>
      <c r="T330">
        <v>0</v>
      </c>
      <c r="U330">
        <v>15</v>
      </c>
      <c r="V330">
        <v>425.92999999999989</v>
      </c>
      <c r="W330" t="s">
        <v>27</v>
      </c>
      <c r="X330">
        <v>27</v>
      </c>
    </row>
    <row r="331" spans="1:24" ht="14.25" customHeight="1">
      <c r="A331" t="s">
        <v>1079</v>
      </c>
      <c r="B331" t="s">
        <v>2296</v>
      </c>
      <c r="C331" s="6" t="str">
        <f t="shared" si="16"/>
        <v>February</v>
      </c>
      <c r="D331" s="6" t="str">
        <f t="shared" si="17"/>
        <v>26</v>
      </c>
      <c r="E331" t="s">
        <v>166</v>
      </c>
      <c r="F331" t="s">
        <v>21</v>
      </c>
      <c r="G331" t="s">
        <v>74</v>
      </c>
      <c r="H331" s="4" t="s">
        <v>2256</v>
      </c>
      <c r="I331">
        <v>662060</v>
      </c>
      <c r="J331" s="8" t="s">
        <v>62</v>
      </c>
      <c r="K331" t="s">
        <v>568</v>
      </c>
      <c r="L331" t="s">
        <v>569</v>
      </c>
      <c r="M331" t="s">
        <v>130</v>
      </c>
      <c r="N331">
        <f t="shared" si="15"/>
        <v>7</v>
      </c>
      <c r="O331">
        <v>1</v>
      </c>
      <c r="P331" s="6">
        <v>78.41</v>
      </c>
      <c r="Q331">
        <v>11.76</v>
      </c>
      <c r="R331">
        <v>66.649999999999991</v>
      </c>
      <c r="S331">
        <v>3.33</v>
      </c>
      <c r="T331">
        <v>20</v>
      </c>
      <c r="U331">
        <v>0</v>
      </c>
      <c r="V331">
        <v>89.97999999999999</v>
      </c>
      <c r="W331" t="s">
        <v>27</v>
      </c>
      <c r="X331">
        <v>24</v>
      </c>
    </row>
    <row r="332" spans="1:24" ht="14.25" customHeight="1">
      <c r="A332" t="s">
        <v>1080</v>
      </c>
      <c r="B332" t="s">
        <v>2286</v>
      </c>
      <c r="C332" s="6" t="str">
        <f t="shared" si="16"/>
        <v>January</v>
      </c>
      <c r="D332" s="6" t="str">
        <f t="shared" si="17"/>
        <v>25</v>
      </c>
      <c r="E332" t="s">
        <v>170</v>
      </c>
      <c r="F332" t="s">
        <v>80</v>
      </c>
      <c r="G332" t="s">
        <v>81</v>
      </c>
      <c r="H332" s="4" t="s">
        <v>2256</v>
      </c>
      <c r="I332">
        <v>943601</v>
      </c>
      <c r="J332" s="8" t="s">
        <v>2349</v>
      </c>
      <c r="K332" t="s">
        <v>572</v>
      </c>
      <c r="L332" t="s">
        <v>573</v>
      </c>
      <c r="M332" t="s">
        <v>40</v>
      </c>
      <c r="N332">
        <f t="shared" si="15"/>
        <v>6</v>
      </c>
      <c r="O332">
        <v>2</v>
      </c>
      <c r="P332" s="6">
        <v>54.54</v>
      </c>
      <c r="Q332">
        <v>8.18</v>
      </c>
      <c r="R332">
        <v>100.9</v>
      </c>
      <c r="S332">
        <v>5.05</v>
      </c>
      <c r="T332">
        <v>30</v>
      </c>
      <c r="U332">
        <v>20</v>
      </c>
      <c r="V332">
        <v>155.94999999999999</v>
      </c>
      <c r="W332" t="s">
        <v>27</v>
      </c>
      <c r="X332">
        <v>20</v>
      </c>
    </row>
    <row r="333" spans="1:24" ht="14.25" customHeight="1">
      <c r="A333" t="s">
        <v>1081</v>
      </c>
      <c r="B333" t="s">
        <v>2303</v>
      </c>
      <c r="C333" s="6" t="str">
        <f t="shared" si="16"/>
        <v>February</v>
      </c>
      <c r="D333" s="6" t="str">
        <f t="shared" si="17"/>
        <v>19</v>
      </c>
      <c r="E333" t="s">
        <v>174</v>
      </c>
      <c r="F333" t="s">
        <v>21</v>
      </c>
      <c r="G333" t="s">
        <v>22</v>
      </c>
      <c r="H333" s="4" t="s">
        <v>2256</v>
      </c>
      <c r="I333">
        <v>184754</v>
      </c>
      <c r="J333" s="8" t="s">
        <v>62</v>
      </c>
      <c r="K333" t="s">
        <v>576</v>
      </c>
      <c r="L333" t="s">
        <v>577</v>
      </c>
      <c r="M333" t="s">
        <v>33</v>
      </c>
      <c r="N333">
        <f t="shared" ref="N333:N396" si="18">LEN(M333)</f>
        <v>10</v>
      </c>
      <c r="O333">
        <v>2</v>
      </c>
      <c r="P333" s="6">
        <v>145.83000000000001</v>
      </c>
      <c r="Q333">
        <v>7.29</v>
      </c>
      <c r="R333">
        <v>284.37</v>
      </c>
      <c r="S333">
        <v>14.22</v>
      </c>
      <c r="T333">
        <v>0</v>
      </c>
      <c r="U333">
        <v>15</v>
      </c>
      <c r="V333">
        <v>313.58999999999997</v>
      </c>
      <c r="W333" t="s">
        <v>27</v>
      </c>
      <c r="X333">
        <v>38</v>
      </c>
    </row>
    <row r="334" spans="1:24" ht="14.25" customHeight="1">
      <c r="A334" t="s">
        <v>1082</v>
      </c>
      <c r="B334" t="s">
        <v>2271</v>
      </c>
      <c r="C334" s="6" t="str">
        <f t="shared" si="16"/>
        <v>January</v>
      </c>
      <c r="D334" s="6" t="str">
        <f t="shared" si="17"/>
        <v>23</v>
      </c>
      <c r="E334" t="s">
        <v>179</v>
      </c>
      <c r="F334" t="s">
        <v>21</v>
      </c>
      <c r="G334" t="s">
        <v>106</v>
      </c>
      <c r="H334" s="4" t="s">
        <v>2256</v>
      </c>
      <c r="I334">
        <v>888140</v>
      </c>
      <c r="J334" s="8" t="s">
        <v>30</v>
      </c>
      <c r="K334" t="s">
        <v>580</v>
      </c>
      <c r="L334" t="s">
        <v>581</v>
      </c>
      <c r="M334" t="s">
        <v>71</v>
      </c>
      <c r="N334">
        <f t="shared" si="18"/>
        <v>6</v>
      </c>
      <c r="O334">
        <v>5</v>
      </c>
      <c r="P334" s="6">
        <v>196.42</v>
      </c>
      <c r="Q334">
        <v>29.46</v>
      </c>
      <c r="R334">
        <v>952.63999999999987</v>
      </c>
      <c r="S334">
        <v>47.63</v>
      </c>
      <c r="T334">
        <v>10</v>
      </c>
      <c r="U334">
        <v>0</v>
      </c>
      <c r="V334">
        <v>1010.27</v>
      </c>
      <c r="W334" t="s">
        <v>27</v>
      </c>
      <c r="X334">
        <v>20</v>
      </c>
    </row>
    <row r="335" spans="1:24" ht="14.25" customHeight="1">
      <c r="A335" t="s">
        <v>1083</v>
      </c>
      <c r="B335" t="s">
        <v>2312</v>
      </c>
      <c r="C335" s="6" t="str">
        <f t="shared" si="16"/>
        <v>January</v>
      </c>
      <c r="D335" s="6" t="str">
        <f t="shared" si="17"/>
        <v>31</v>
      </c>
      <c r="E335" t="s">
        <v>183</v>
      </c>
      <c r="F335" t="s">
        <v>101</v>
      </c>
      <c r="G335" t="s">
        <v>81</v>
      </c>
      <c r="H335" s="4" t="s">
        <v>2256</v>
      </c>
      <c r="I335">
        <v>126086</v>
      </c>
      <c r="J335" s="8" t="s">
        <v>30</v>
      </c>
      <c r="K335" t="s">
        <v>584</v>
      </c>
      <c r="L335" t="s">
        <v>585</v>
      </c>
      <c r="M335" t="s">
        <v>140</v>
      </c>
      <c r="N335">
        <f t="shared" si="18"/>
        <v>3</v>
      </c>
      <c r="O335">
        <v>5</v>
      </c>
      <c r="P335" s="6">
        <v>49</v>
      </c>
      <c r="Q335">
        <v>4.9000000000000004</v>
      </c>
      <c r="R335">
        <v>240.1</v>
      </c>
      <c r="S335">
        <v>12.01</v>
      </c>
      <c r="T335">
        <v>20</v>
      </c>
      <c r="U335">
        <v>0</v>
      </c>
      <c r="V335">
        <v>272.11</v>
      </c>
      <c r="W335" t="s">
        <v>34</v>
      </c>
      <c r="X335">
        <v>25</v>
      </c>
    </row>
    <row r="336" spans="1:24" ht="14.25" customHeight="1">
      <c r="A336" t="s">
        <v>1084</v>
      </c>
      <c r="B336" t="s">
        <v>2281</v>
      </c>
      <c r="C336" s="6" t="str">
        <f t="shared" si="16"/>
        <v>January</v>
      </c>
      <c r="D336" s="6" t="str">
        <f t="shared" si="17"/>
        <v>30</v>
      </c>
      <c r="E336" t="s">
        <v>187</v>
      </c>
      <c r="F336" t="s">
        <v>21</v>
      </c>
      <c r="G336" t="s">
        <v>22</v>
      </c>
      <c r="H336" s="4" t="s">
        <v>2256</v>
      </c>
      <c r="I336">
        <v>638181</v>
      </c>
      <c r="J336" s="8" t="s">
        <v>2345</v>
      </c>
      <c r="K336" t="s">
        <v>588</v>
      </c>
      <c r="L336" t="s">
        <v>589</v>
      </c>
      <c r="M336" t="s">
        <v>55</v>
      </c>
      <c r="N336">
        <f t="shared" si="18"/>
        <v>5</v>
      </c>
      <c r="O336">
        <v>1</v>
      </c>
      <c r="P336" s="6">
        <v>84.45</v>
      </c>
      <c r="Q336">
        <v>8.4499999999999993</v>
      </c>
      <c r="R336">
        <v>76</v>
      </c>
      <c r="S336">
        <v>3.8</v>
      </c>
      <c r="T336">
        <v>30</v>
      </c>
      <c r="U336">
        <v>10</v>
      </c>
      <c r="V336">
        <v>119.8</v>
      </c>
      <c r="W336" t="s">
        <v>27</v>
      </c>
      <c r="X336">
        <v>15</v>
      </c>
    </row>
    <row r="337" spans="1:24" ht="14.25" customHeight="1">
      <c r="A337" t="s">
        <v>1085</v>
      </c>
      <c r="B337" t="s">
        <v>2290</v>
      </c>
      <c r="C337" s="6" t="str">
        <f t="shared" si="16"/>
        <v>February</v>
      </c>
      <c r="D337" s="6" t="str">
        <f t="shared" si="17"/>
        <v>11</v>
      </c>
      <c r="E337" t="s">
        <v>191</v>
      </c>
      <c r="F337" t="s">
        <v>101</v>
      </c>
      <c r="G337" t="s">
        <v>81</v>
      </c>
      <c r="H337" s="4" t="s">
        <v>2256</v>
      </c>
      <c r="I337">
        <v>815371</v>
      </c>
      <c r="J337" s="8" t="s">
        <v>62</v>
      </c>
      <c r="K337" t="s">
        <v>592</v>
      </c>
      <c r="L337" t="s">
        <v>593</v>
      </c>
      <c r="M337" t="s">
        <v>89</v>
      </c>
      <c r="N337">
        <f t="shared" si="18"/>
        <v>7</v>
      </c>
      <c r="O337">
        <v>3</v>
      </c>
      <c r="P337" s="6">
        <v>117.24</v>
      </c>
      <c r="Q337">
        <v>5.86</v>
      </c>
      <c r="R337">
        <v>345.86</v>
      </c>
      <c r="S337">
        <v>17.29</v>
      </c>
      <c r="T337">
        <v>0</v>
      </c>
      <c r="U337">
        <v>15</v>
      </c>
      <c r="V337">
        <v>378.15</v>
      </c>
      <c r="W337" t="s">
        <v>27</v>
      </c>
      <c r="X337">
        <v>13</v>
      </c>
    </row>
    <row r="338" spans="1:24" ht="14.25" customHeight="1">
      <c r="A338" t="s">
        <v>1086</v>
      </c>
      <c r="B338" t="s">
        <v>2306</v>
      </c>
      <c r="C338" s="6" t="str">
        <f t="shared" si="16"/>
        <v>February</v>
      </c>
      <c r="D338" s="6" t="str">
        <f t="shared" si="17"/>
        <v>04</v>
      </c>
      <c r="E338" t="s">
        <v>195</v>
      </c>
      <c r="F338" t="s">
        <v>21</v>
      </c>
      <c r="G338" t="s">
        <v>106</v>
      </c>
      <c r="H338" s="4" t="s">
        <v>2256</v>
      </c>
      <c r="I338">
        <v>521280</v>
      </c>
      <c r="J338" s="8" t="s">
        <v>2345</v>
      </c>
      <c r="K338" t="s">
        <v>596</v>
      </c>
      <c r="L338" t="s">
        <v>597</v>
      </c>
      <c r="M338" t="s">
        <v>98</v>
      </c>
      <c r="N338">
        <f t="shared" si="18"/>
        <v>4</v>
      </c>
      <c r="O338">
        <v>4</v>
      </c>
      <c r="P338" s="6">
        <v>120.39</v>
      </c>
      <c r="Q338">
        <v>6.02</v>
      </c>
      <c r="R338">
        <v>475.54</v>
      </c>
      <c r="S338">
        <v>23.78</v>
      </c>
      <c r="T338">
        <v>30</v>
      </c>
      <c r="U338">
        <v>5</v>
      </c>
      <c r="V338">
        <v>534.32000000000005</v>
      </c>
      <c r="W338" t="s">
        <v>27</v>
      </c>
      <c r="X338">
        <v>23</v>
      </c>
    </row>
    <row r="339" spans="1:24" ht="14.25" customHeight="1">
      <c r="A339" t="s">
        <v>1087</v>
      </c>
      <c r="B339" t="s">
        <v>2298</v>
      </c>
      <c r="C339" s="6" t="str">
        <f t="shared" si="16"/>
        <v>January</v>
      </c>
      <c r="D339" s="6" t="str">
        <f t="shared" si="17"/>
        <v>07</v>
      </c>
      <c r="E339" t="s">
        <v>199</v>
      </c>
      <c r="F339" t="s">
        <v>21</v>
      </c>
      <c r="G339" t="s">
        <v>106</v>
      </c>
      <c r="H339" s="4" t="s">
        <v>2256</v>
      </c>
      <c r="I339">
        <v>244063</v>
      </c>
      <c r="J339" s="8" t="s">
        <v>2347</v>
      </c>
      <c r="K339" t="s">
        <v>600</v>
      </c>
      <c r="L339" t="s">
        <v>601</v>
      </c>
      <c r="M339" t="s">
        <v>55</v>
      </c>
      <c r="N339">
        <f t="shared" si="18"/>
        <v>5</v>
      </c>
      <c r="O339">
        <v>2</v>
      </c>
      <c r="P339" s="6">
        <v>54.11</v>
      </c>
      <c r="Q339">
        <v>2.71</v>
      </c>
      <c r="R339">
        <v>105.51</v>
      </c>
      <c r="S339">
        <v>5.28</v>
      </c>
      <c r="T339">
        <v>10</v>
      </c>
      <c r="U339">
        <v>0</v>
      </c>
      <c r="V339">
        <v>120.79</v>
      </c>
      <c r="W339" t="s">
        <v>27</v>
      </c>
      <c r="X339">
        <v>21</v>
      </c>
    </row>
    <row r="340" spans="1:24" ht="14.25" customHeight="1">
      <c r="A340" t="s">
        <v>1088</v>
      </c>
      <c r="B340" t="s">
        <v>2283</v>
      </c>
      <c r="C340" s="6" t="str">
        <f t="shared" si="16"/>
        <v>March</v>
      </c>
      <c r="D340" s="6" t="str">
        <f t="shared" si="17"/>
        <v>01</v>
      </c>
      <c r="E340" t="s">
        <v>203</v>
      </c>
      <c r="F340" t="s">
        <v>21</v>
      </c>
      <c r="G340" t="s">
        <v>106</v>
      </c>
      <c r="H340" s="4" t="s">
        <v>2256</v>
      </c>
      <c r="I340">
        <v>514299</v>
      </c>
      <c r="J340" s="8" t="s">
        <v>2345</v>
      </c>
      <c r="K340" t="s">
        <v>604</v>
      </c>
      <c r="L340" t="s">
        <v>605</v>
      </c>
      <c r="M340" t="s">
        <v>89</v>
      </c>
      <c r="N340">
        <f t="shared" si="18"/>
        <v>7</v>
      </c>
      <c r="O340">
        <v>2</v>
      </c>
      <c r="P340" s="6">
        <v>49.28</v>
      </c>
      <c r="Q340">
        <v>0</v>
      </c>
      <c r="R340">
        <v>98.56</v>
      </c>
      <c r="S340">
        <v>4.93</v>
      </c>
      <c r="T340">
        <v>10</v>
      </c>
      <c r="U340">
        <v>5</v>
      </c>
      <c r="V340">
        <v>118.49</v>
      </c>
      <c r="W340" t="s">
        <v>27</v>
      </c>
      <c r="X340">
        <v>20</v>
      </c>
    </row>
    <row r="341" spans="1:24" ht="14.25" customHeight="1">
      <c r="A341" t="s">
        <v>1089</v>
      </c>
      <c r="B341" t="s">
        <v>2292</v>
      </c>
      <c r="C341" s="6" t="str">
        <f t="shared" si="16"/>
        <v>January</v>
      </c>
      <c r="D341" s="6" t="str">
        <f t="shared" si="17"/>
        <v>16</v>
      </c>
      <c r="E341" t="s">
        <v>207</v>
      </c>
      <c r="F341" t="s">
        <v>21</v>
      </c>
      <c r="G341" t="s">
        <v>74</v>
      </c>
      <c r="H341" s="4" t="s">
        <v>2256</v>
      </c>
      <c r="I341">
        <v>928294</v>
      </c>
      <c r="J341" s="8" t="s">
        <v>2346</v>
      </c>
      <c r="K341" t="s">
        <v>608</v>
      </c>
      <c r="L341" t="s">
        <v>609</v>
      </c>
      <c r="M341" t="s">
        <v>22</v>
      </c>
      <c r="N341">
        <f t="shared" si="18"/>
        <v>6</v>
      </c>
      <c r="O341">
        <v>5</v>
      </c>
      <c r="P341" s="6">
        <v>161.82</v>
      </c>
      <c r="Q341">
        <v>0</v>
      </c>
      <c r="R341">
        <v>809.09999999999991</v>
      </c>
      <c r="S341">
        <v>40.450000000000003</v>
      </c>
      <c r="T341">
        <v>20</v>
      </c>
      <c r="U341">
        <v>20</v>
      </c>
      <c r="V341">
        <v>889.55</v>
      </c>
      <c r="W341" t="s">
        <v>27</v>
      </c>
      <c r="X341">
        <v>21</v>
      </c>
    </row>
    <row r="342" spans="1:24" ht="14.25" customHeight="1">
      <c r="A342" t="s">
        <v>1090</v>
      </c>
      <c r="B342" t="s">
        <v>2304</v>
      </c>
      <c r="C342" s="6" t="str">
        <f t="shared" si="16"/>
        <v>January</v>
      </c>
      <c r="D342" s="6" t="str">
        <f t="shared" si="17"/>
        <v>26</v>
      </c>
      <c r="E342" t="s">
        <v>211</v>
      </c>
      <c r="F342" t="s">
        <v>21</v>
      </c>
      <c r="G342" t="s">
        <v>37</v>
      </c>
      <c r="H342" s="4" t="s">
        <v>2256</v>
      </c>
      <c r="I342">
        <v>908258</v>
      </c>
      <c r="J342" s="8" t="s">
        <v>30</v>
      </c>
      <c r="K342" t="s">
        <v>612</v>
      </c>
      <c r="L342" t="s">
        <v>613</v>
      </c>
      <c r="M342" t="s">
        <v>135</v>
      </c>
      <c r="N342">
        <f t="shared" si="18"/>
        <v>9</v>
      </c>
      <c r="O342">
        <v>1</v>
      </c>
      <c r="P342" s="6">
        <v>125.7</v>
      </c>
      <c r="Q342">
        <v>0</v>
      </c>
      <c r="R342">
        <v>125.7</v>
      </c>
      <c r="S342">
        <v>6.29</v>
      </c>
      <c r="T342">
        <v>20</v>
      </c>
      <c r="U342">
        <v>0</v>
      </c>
      <c r="V342">
        <v>151.99</v>
      </c>
      <c r="W342" t="s">
        <v>27</v>
      </c>
      <c r="X342">
        <v>23</v>
      </c>
    </row>
    <row r="343" spans="1:24" ht="14.25" customHeight="1">
      <c r="A343" t="s">
        <v>1091</v>
      </c>
      <c r="B343" t="s">
        <v>2313</v>
      </c>
      <c r="C343" s="6" t="str">
        <f t="shared" si="16"/>
        <v>February</v>
      </c>
      <c r="D343" s="6" t="str">
        <f t="shared" si="17"/>
        <v>17</v>
      </c>
      <c r="E343" t="s">
        <v>215</v>
      </c>
      <c r="F343" t="s">
        <v>21</v>
      </c>
      <c r="G343" t="s">
        <v>22</v>
      </c>
      <c r="H343" s="4" t="s">
        <v>2256</v>
      </c>
      <c r="I343">
        <v>281948</v>
      </c>
      <c r="J343" s="8" t="s">
        <v>30</v>
      </c>
      <c r="K343" t="s">
        <v>616</v>
      </c>
      <c r="L343" t="s">
        <v>617</v>
      </c>
      <c r="M343" t="s">
        <v>71</v>
      </c>
      <c r="N343">
        <f t="shared" si="18"/>
        <v>6</v>
      </c>
      <c r="O343">
        <v>3</v>
      </c>
      <c r="P343" s="6">
        <v>118.9</v>
      </c>
      <c r="Q343">
        <v>5.95</v>
      </c>
      <c r="R343">
        <v>350.75000000000011</v>
      </c>
      <c r="S343">
        <v>17.54</v>
      </c>
      <c r="T343">
        <v>20</v>
      </c>
      <c r="U343">
        <v>20</v>
      </c>
      <c r="V343">
        <v>408.29000000000008</v>
      </c>
      <c r="W343" t="s">
        <v>27</v>
      </c>
      <c r="X343">
        <v>28</v>
      </c>
    </row>
    <row r="344" spans="1:24" ht="14.25" customHeight="1">
      <c r="A344" t="s">
        <v>1092</v>
      </c>
      <c r="B344" t="s">
        <v>2296</v>
      </c>
      <c r="C344" s="6" t="str">
        <f t="shared" si="16"/>
        <v>February</v>
      </c>
      <c r="D344" s="6" t="str">
        <f t="shared" si="17"/>
        <v>26</v>
      </c>
      <c r="E344" t="s">
        <v>219</v>
      </c>
      <c r="F344" t="s">
        <v>101</v>
      </c>
      <c r="G344" t="s">
        <v>81</v>
      </c>
      <c r="H344" s="4" t="s">
        <v>2256</v>
      </c>
      <c r="I344">
        <v>440093</v>
      </c>
      <c r="J344" s="8" t="s">
        <v>2348</v>
      </c>
      <c r="K344" t="s">
        <v>620</v>
      </c>
      <c r="L344" t="s">
        <v>621</v>
      </c>
      <c r="M344" t="s">
        <v>140</v>
      </c>
      <c r="N344">
        <f t="shared" si="18"/>
        <v>3</v>
      </c>
      <c r="O344">
        <v>4</v>
      </c>
      <c r="P344" s="6">
        <v>150.05000000000001</v>
      </c>
      <c r="Q344">
        <v>7.5</v>
      </c>
      <c r="R344">
        <v>592.70000000000005</v>
      </c>
      <c r="S344">
        <v>29.64</v>
      </c>
      <c r="T344">
        <v>30</v>
      </c>
      <c r="U344">
        <v>0</v>
      </c>
      <c r="V344">
        <v>652.34</v>
      </c>
      <c r="W344" t="s">
        <v>117</v>
      </c>
      <c r="X344">
        <v>25</v>
      </c>
    </row>
    <row r="345" spans="1:24" ht="14.25" customHeight="1">
      <c r="A345" t="s">
        <v>1093</v>
      </c>
      <c r="B345" t="s">
        <v>2263</v>
      </c>
      <c r="C345" s="6" t="str">
        <f t="shared" si="16"/>
        <v>February</v>
      </c>
      <c r="D345" s="6" t="str">
        <f t="shared" si="17"/>
        <v>21</v>
      </c>
      <c r="E345" t="s">
        <v>223</v>
      </c>
      <c r="F345" t="s">
        <v>21</v>
      </c>
      <c r="G345" t="s">
        <v>74</v>
      </c>
      <c r="H345" s="4" t="s">
        <v>2256</v>
      </c>
      <c r="I345">
        <v>939319</v>
      </c>
      <c r="J345" s="8" t="s">
        <v>2349</v>
      </c>
      <c r="K345" t="s">
        <v>624</v>
      </c>
      <c r="L345" t="s">
        <v>625</v>
      </c>
      <c r="M345" t="s">
        <v>33</v>
      </c>
      <c r="N345">
        <f t="shared" si="18"/>
        <v>10</v>
      </c>
      <c r="O345">
        <v>4</v>
      </c>
      <c r="P345" s="6">
        <v>170.93</v>
      </c>
      <c r="Q345">
        <v>17.09</v>
      </c>
      <c r="R345">
        <v>666.63</v>
      </c>
      <c r="S345">
        <v>33.33</v>
      </c>
      <c r="T345">
        <v>20</v>
      </c>
      <c r="U345">
        <v>15</v>
      </c>
      <c r="V345">
        <v>734.96</v>
      </c>
      <c r="W345" t="s">
        <v>27</v>
      </c>
      <c r="X345">
        <v>23</v>
      </c>
    </row>
    <row r="346" spans="1:24" ht="14.25" customHeight="1">
      <c r="A346" t="s">
        <v>1094</v>
      </c>
      <c r="B346" t="s">
        <v>2283</v>
      </c>
      <c r="C346" s="6" t="str">
        <f t="shared" si="16"/>
        <v>March</v>
      </c>
      <c r="D346" s="6" t="str">
        <f t="shared" si="17"/>
        <v>01</v>
      </c>
      <c r="E346" t="s">
        <v>227</v>
      </c>
      <c r="F346" t="s">
        <v>101</v>
      </c>
      <c r="G346" t="s">
        <v>81</v>
      </c>
      <c r="H346" s="4" t="s">
        <v>2256</v>
      </c>
      <c r="I346">
        <v>418766</v>
      </c>
      <c r="J346" s="8" t="s">
        <v>2345</v>
      </c>
      <c r="K346" t="s">
        <v>628</v>
      </c>
      <c r="L346" t="s">
        <v>629</v>
      </c>
      <c r="M346" t="s">
        <v>130</v>
      </c>
      <c r="N346">
        <f t="shared" si="18"/>
        <v>7</v>
      </c>
      <c r="O346">
        <v>2</v>
      </c>
      <c r="P346" s="6">
        <v>123.67</v>
      </c>
      <c r="Q346">
        <v>0</v>
      </c>
      <c r="R346">
        <v>247.34</v>
      </c>
      <c r="S346">
        <v>12.37</v>
      </c>
      <c r="T346">
        <v>30</v>
      </c>
      <c r="U346">
        <v>20</v>
      </c>
      <c r="V346">
        <v>309.70999999999998</v>
      </c>
      <c r="W346" t="s">
        <v>117</v>
      </c>
      <c r="X346">
        <v>25</v>
      </c>
    </row>
    <row r="347" spans="1:24" ht="14.25" customHeight="1">
      <c r="A347" t="s">
        <v>1095</v>
      </c>
      <c r="B347" t="s">
        <v>2287</v>
      </c>
      <c r="C347" s="6" t="str">
        <f t="shared" si="16"/>
        <v>February</v>
      </c>
      <c r="D347" s="6" t="str">
        <f t="shared" si="17"/>
        <v>18</v>
      </c>
      <c r="E347" t="s">
        <v>231</v>
      </c>
      <c r="F347" t="s">
        <v>21</v>
      </c>
      <c r="G347" t="s">
        <v>68</v>
      </c>
      <c r="H347" s="4" t="s">
        <v>2256</v>
      </c>
      <c r="I347">
        <v>731040</v>
      </c>
      <c r="J347" s="8" t="s">
        <v>2348</v>
      </c>
      <c r="K347" t="s">
        <v>632</v>
      </c>
      <c r="L347" t="s">
        <v>633</v>
      </c>
      <c r="M347" t="s">
        <v>50</v>
      </c>
      <c r="N347">
        <f t="shared" si="18"/>
        <v>5</v>
      </c>
      <c r="O347">
        <v>3</v>
      </c>
      <c r="P347" s="6">
        <v>55.64</v>
      </c>
      <c r="Q347">
        <v>0</v>
      </c>
      <c r="R347">
        <v>166.92</v>
      </c>
      <c r="S347">
        <v>8.35</v>
      </c>
      <c r="T347">
        <v>30</v>
      </c>
      <c r="U347">
        <v>5</v>
      </c>
      <c r="V347">
        <v>210.27</v>
      </c>
      <c r="W347" t="s">
        <v>27</v>
      </c>
      <c r="X347">
        <v>27</v>
      </c>
    </row>
    <row r="348" spans="1:24" ht="14.25" customHeight="1">
      <c r="A348" t="s">
        <v>1096</v>
      </c>
      <c r="B348" t="s">
        <v>2279</v>
      </c>
      <c r="C348" s="6" t="str">
        <f t="shared" si="16"/>
        <v>January</v>
      </c>
      <c r="D348" s="6" t="str">
        <f t="shared" si="17"/>
        <v>02</v>
      </c>
      <c r="E348" t="s">
        <v>235</v>
      </c>
      <c r="F348" t="s">
        <v>21</v>
      </c>
      <c r="G348" t="s">
        <v>37</v>
      </c>
      <c r="H348" s="4" t="s">
        <v>2256</v>
      </c>
      <c r="I348">
        <v>141869</v>
      </c>
      <c r="J348" s="8" t="s">
        <v>2346</v>
      </c>
      <c r="K348" t="s">
        <v>636</v>
      </c>
      <c r="L348" t="s">
        <v>637</v>
      </c>
      <c r="M348" t="s">
        <v>65</v>
      </c>
      <c r="N348">
        <f t="shared" si="18"/>
        <v>6</v>
      </c>
      <c r="O348">
        <v>2</v>
      </c>
      <c r="P348" s="6">
        <v>260.05</v>
      </c>
      <c r="Q348">
        <v>26.01</v>
      </c>
      <c r="R348">
        <v>494.09</v>
      </c>
      <c r="S348">
        <v>24.7</v>
      </c>
      <c r="T348">
        <v>0</v>
      </c>
      <c r="U348">
        <v>0</v>
      </c>
      <c r="V348">
        <v>518.79000000000008</v>
      </c>
      <c r="W348" t="s">
        <v>27</v>
      </c>
      <c r="X348">
        <v>32</v>
      </c>
    </row>
    <row r="349" spans="1:24" ht="14.25" customHeight="1">
      <c r="A349" t="s">
        <v>1097</v>
      </c>
      <c r="B349" t="s">
        <v>2316</v>
      </c>
      <c r="C349" s="6" t="str">
        <f t="shared" si="16"/>
        <v>January</v>
      </c>
      <c r="D349" s="6" t="str">
        <f t="shared" si="17"/>
        <v>01</v>
      </c>
      <c r="E349" t="s">
        <v>239</v>
      </c>
      <c r="F349" t="s">
        <v>21</v>
      </c>
      <c r="G349" t="s">
        <v>106</v>
      </c>
      <c r="H349" s="4" t="s">
        <v>2256</v>
      </c>
      <c r="I349">
        <v>684054</v>
      </c>
      <c r="J349" s="8" t="s">
        <v>30</v>
      </c>
      <c r="K349" t="s">
        <v>640</v>
      </c>
      <c r="L349" t="s">
        <v>641</v>
      </c>
      <c r="M349" t="s">
        <v>77</v>
      </c>
      <c r="N349">
        <f t="shared" si="18"/>
        <v>5</v>
      </c>
      <c r="O349">
        <v>4</v>
      </c>
      <c r="P349" s="6">
        <v>186.06</v>
      </c>
      <c r="Q349">
        <v>0</v>
      </c>
      <c r="R349">
        <v>744.24</v>
      </c>
      <c r="S349">
        <v>37.21</v>
      </c>
      <c r="T349">
        <v>20</v>
      </c>
      <c r="U349">
        <v>20</v>
      </c>
      <c r="V349">
        <v>821.45</v>
      </c>
      <c r="W349" t="s">
        <v>27</v>
      </c>
      <c r="X349">
        <v>44</v>
      </c>
    </row>
    <row r="350" spans="1:24" ht="14.25" customHeight="1">
      <c r="A350" t="s">
        <v>1098</v>
      </c>
      <c r="B350" t="s">
        <v>2313</v>
      </c>
      <c r="C350" s="6" t="str">
        <f t="shared" si="16"/>
        <v>February</v>
      </c>
      <c r="D350" s="6" t="str">
        <f t="shared" si="17"/>
        <v>17</v>
      </c>
      <c r="E350" t="s">
        <v>243</v>
      </c>
      <c r="F350" t="s">
        <v>21</v>
      </c>
      <c r="G350" t="s">
        <v>106</v>
      </c>
      <c r="H350" s="4" t="s">
        <v>2256</v>
      </c>
      <c r="I350">
        <v>987291</v>
      </c>
      <c r="J350" s="8" t="s">
        <v>2347</v>
      </c>
      <c r="K350" t="s">
        <v>644</v>
      </c>
      <c r="L350" t="s">
        <v>645</v>
      </c>
      <c r="M350" t="s">
        <v>135</v>
      </c>
      <c r="N350">
        <f t="shared" si="18"/>
        <v>9</v>
      </c>
      <c r="O350">
        <v>2</v>
      </c>
      <c r="P350" s="6">
        <v>43.45</v>
      </c>
      <c r="Q350">
        <v>4.3499999999999996</v>
      </c>
      <c r="R350">
        <v>82.550000000000011</v>
      </c>
      <c r="S350">
        <v>4.13</v>
      </c>
      <c r="T350">
        <v>20</v>
      </c>
      <c r="U350">
        <v>15</v>
      </c>
      <c r="V350">
        <v>121.68</v>
      </c>
      <c r="W350" t="s">
        <v>27</v>
      </c>
      <c r="X350">
        <v>29</v>
      </c>
    </row>
    <row r="351" spans="1:24" ht="14.25" customHeight="1">
      <c r="A351" t="s">
        <v>1099</v>
      </c>
      <c r="B351" t="s">
        <v>2285</v>
      </c>
      <c r="C351" s="6" t="str">
        <f t="shared" si="16"/>
        <v>January</v>
      </c>
      <c r="D351" s="6" t="str">
        <f t="shared" si="17"/>
        <v>12</v>
      </c>
      <c r="E351" t="s">
        <v>247</v>
      </c>
      <c r="F351" t="s">
        <v>80</v>
      </c>
      <c r="G351" t="s">
        <v>81</v>
      </c>
      <c r="H351" s="4" t="s">
        <v>2256</v>
      </c>
      <c r="I351">
        <v>223853</v>
      </c>
      <c r="J351" s="8" t="s">
        <v>2346</v>
      </c>
      <c r="K351" t="s">
        <v>648</v>
      </c>
      <c r="L351" t="s">
        <v>649</v>
      </c>
      <c r="M351" t="s">
        <v>33</v>
      </c>
      <c r="N351">
        <f t="shared" si="18"/>
        <v>10</v>
      </c>
      <c r="O351">
        <v>4</v>
      </c>
      <c r="P351" s="6">
        <v>219.87</v>
      </c>
      <c r="Q351">
        <v>10.99</v>
      </c>
      <c r="R351">
        <v>868.49</v>
      </c>
      <c r="S351">
        <v>43.42</v>
      </c>
      <c r="T351">
        <v>10</v>
      </c>
      <c r="U351">
        <v>20</v>
      </c>
      <c r="V351">
        <v>941.91</v>
      </c>
      <c r="W351" t="s">
        <v>27</v>
      </c>
      <c r="X351">
        <v>40</v>
      </c>
    </row>
    <row r="352" spans="1:24" ht="14.25" customHeight="1">
      <c r="A352" t="s">
        <v>1100</v>
      </c>
      <c r="B352" t="s">
        <v>2317</v>
      </c>
      <c r="C352" s="6" t="str">
        <f t="shared" si="16"/>
        <v>January</v>
      </c>
      <c r="D352" s="6" t="str">
        <f t="shared" si="17"/>
        <v>05</v>
      </c>
      <c r="E352" t="s">
        <v>251</v>
      </c>
      <c r="F352" t="s">
        <v>21</v>
      </c>
      <c r="G352" t="s">
        <v>106</v>
      </c>
      <c r="H352" s="4" t="s">
        <v>2256</v>
      </c>
      <c r="I352">
        <v>954336</v>
      </c>
      <c r="J352" s="8" t="s">
        <v>2349</v>
      </c>
      <c r="K352" t="s">
        <v>652</v>
      </c>
      <c r="L352" t="s">
        <v>653</v>
      </c>
      <c r="M352" t="s">
        <v>89</v>
      </c>
      <c r="N352">
        <f t="shared" si="18"/>
        <v>7</v>
      </c>
      <c r="O352">
        <v>1</v>
      </c>
      <c r="P352" s="6">
        <v>117.06</v>
      </c>
      <c r="Q352">
        <v>0</v>
      </c>
      <c r="R352">
        <v>117.06</v>
      </c>
      <c r="S352">
        <v>5.85</v>
      </c>
      <c r="T352">
        <v>30</v>
      </c>
      <c r="U352">
        <v>5</v>
      </c>
      <c r="V352">
        <v>157.91</v>
      </c>
      <c r="W352" t="s">
        <v>34</v>
      </c>
      <c r="X352">
        <v>25</v>
      </c>
    </row>
    <row r="353" spans="1:24" ht="14.25" customHeight="1">
      <c r="A353" t="s">
        <v>1101</v>
      </c>
      <c r="B353" t="s">
        <v>2297</v>
      </c>
      <c r="C353" s="6" t="str">
        <f t="shared" si="16"/>
        <v>February</v>
      </c>
      <c r="D353" s="6" t="str">
        <f t="shared" si="17"/>
        <v>06</v>
      </c>
      <c r="E353" t="s">
        <v>255</v>
      </c>
      <c r="F353" t="s">
        <v>21</v>
      </c>
      <c r="G353" t="s">
        <v>106</v>
      </c>
      <c r="H353" s="4" t="s">
        <v>2256</v>
      </c>
      <c r="I353">
        <v>222258</v>
      </c>
      <c r="J353" s="8" t="s">
        <v>2349</v>
      </c>
      <c r="K353" t="s">
        <v>656</v>
      </c>
      <c r="L353" t="s">
        <v>657</v>
      </c>
      <c r="M353" t="s">
        <v>140</v>
      </c>
      <c r="N353">
        <f t="shared" si="18"/>
        <v>3</v>
      </c>
      <c r="O353">
        <v>3</v>
      </c>
      <c r="P353" s="6">
        <v>99.41</v>
      </c>
      <c r="Q353">
        <v>0</v>
      </c>
      <c r="R353">
        <v>298.23</v>
      </c>
      <c r="S353">
        <v>14.91</v>
      </c>
      <c r="T353">
        <v>10</v>
      </c>
      <c r="U353">
        <v>5</v>
      </c>
      <c r="V353">
        <v>328.14</v>
      </c>
      <c r="W353" t="s">
        <v>27</v>
      </c>
      <c r="X353">
        <v>19</v>
      </c>
    </row>
    <row r="354" spans="1:24" ht="14.25" customHeight="1">
      <c r="A354" t="s">
        <v>1102</v>
      </c>
      <c r="B354" t="s">
        <v>2319</v>
      </c>
      <c r="C354" s="6" t="str">
        <f t="shared" si="16"/>
        <v>February</v>
      </c>
      <c r="D354" s="6" t="str">
        <f t="shared" si="17"/>
        <v>01</v>
      </c>
      <c r="E354" t="s">
        <v>259</v>
      </c>
      <c r="F354" t="s">
        <v>21</v>
      </c>
      <c r="G354" t="s">
        <v>37</v>
      </c>
      <c r="H354" s="4" t="s">
        <v>2256</v>
      </c>
      <c r="I354">
        <v>662621</v>
      </c>
      <c r="J354" s="8" t="s">
        <v>30</v>
      </c>
      <c r="K354" t="s">
        <v>660</v>
      </c>
      <c r="L354" t="s">
        <v>661</v>
      </c>
      <c r="M354" t="s">
        <v>130</v>
      </c>
      <c r="N354">
        <f t="shared" si="18"/>
        <v>7</v>
      </c>
      <c r="O354">
        <v>2</v>
      </c>
      <c r="P354" s="6">
        <v>112.52</v>
      </c>
      <c r="Q354">
        <v>16.88</v>
      </c>
      <c r="R354">
        <v>208.16</v>
      </c>
      <c r="S354">
        <v>10.41</v>
      </c>
      <c r="T354">
        <v>20</v>
      </c>
      <c r="U354">
        <v>20</v>
      </c>
      <c r="V354">
        <v>258.57</v>
      </c>
      <c r="W354" t="s">
        <v>27</v>
      </c>
      <c r="X354">
        <v>13</v>
      </c>
    </row>
    <row r="355" spans="1:24" ht="14.25" customHeight="1">
      <c r="A355" t="s">
        <v>1103</v>
      </c>
      <c r="B355" t="s">
        <v>2289</v>
      </c>
      <c r="C355" s="6" t="str">
        <f t="shared" si="16"/>
        <v>February</v>
      </c>
      <c r="D355" s="6" t="str">
        <f t="shared" si="17"/>
        <v>28</v>
      </c>
      <c r="E355" t="s">
        <v>263</v>
      </c>
      <c r="F355" t="s">
        <v>21</v>
      </c>
      <c r="G355" t="s">
        <v>37</v>
      </c>
      <c r="H355" s="4" t="s">
        <v>2256</v>
      </c>
      <c r="I355">
        <v>649523</v>
      </c>
      <c r="J355" s="8" t="s">
        <v>30</v>
      </c>
      <c r="K355" t="s">
        <v>664</v>
      </c>
      <c r="L355" t="s">
        <v>665</v>
      </c>
      <c r="M355" t="s">
        <v>45</v>
      </c>
      <c r="N355">
        <f t="shared" si="18"/>
        <v>6</v>
      </c>
      <c r="O355">
        <v>5</v>
      </c>
      <c r="P355" s="6">
        <v>116.92</v>
      </c>
      <c r="Q355">
        <v>11.69</v>
      </c>
      <c r="R355">
        <v>572.91</v>
      </c>
      <c r="S355">
        <v>28.65</v>
      </c>
      <c r="T355">
        <v>10</v>
      </c>
      <c r="U355">
        <v>0</v>
      </c>
      <c r="V355">
        <v>611.55999999999995</v>
      </c>
      <c r="W355" t="s">
        <v>27</v>
      </c>
      <c r="X355">
        <v>10</v>
      </c>
    </row>
    <row r="356" spans="1:24" ht="14.25" customHeight="1">
      <c r="A356" t="s">
        <v>1104</v>
      </c>
      <c r="B356" t="s">
        <v>2295</v>
      </c>
      <c r="C356" s="6" t="str">
        <f t="shared" si="16"/>
        <v>February</v>
      </c>
      <c r="D356" s="6" t="str">
        <f t="shared" si="17"/>
        <v>24</v>
      </c>
      <c r="E356" t="s">
        <v>267</v>
      </c>
      <c r="F356" t="s">
        <v>21</v>
      </c>
      <c r="G356" t="s">
        <v>106</v>
      </c>
      <c r="H356" s="4" t="s">
        <v>2256</v>
      </c>
      <c r="I356">
        <v>247309</v>
      </c>
      <c r="J356" s="8" t="s">
        <v>2349</v>
      </c>
      <c r="K356" t="s">
        <v>668</v>
      </c>
      <c r="L356" t="s">
        <v>669</v>
      </c>
      <c r="M356" t="s">
        <v>140</v>
      </c>
      <c r="N356">
        <f t="shared" si="18"/>
        <v>3</v>
      </c>
      <c r="O356">
        <v>1</v>
      </c>
      <c r="P356" s="6">
        <v>11.11</v>
      </c>
      <c r="Q356">
        <v>0.56000000000000005</v>
      </c>
      <c r="R356">
        <v>10.55</v>
      </c>
      <c r="S356">
        <v>0.53</v>
      </c>
      <c r="T356">
        <v>20</v>
      </c>
      <c r="U356">
        <v>20</v>
      </c>
      <c r="V356">
        <v>51.08</v>
      </c>
      <c r="W356" t="s">
        <v>27</v>
      </c>
      <c r="X356">
        <v>44</v>
      </c>
    </row>
    <row r="357" spans="1:24" ht="14.25" customHeight="1">
      <c r="A357" t="s">
        <v>1105</v>
      </c>
      <c r="B357" t="s">
        <v>2299</v>
      </c>
      <c r="C357" s="6" t="str">
        <f t="shared" si="16"/>
        <v>January</v>
      </c>
      <c r="D357" s="6" t="str">
        <f t="shared" si="17"/>
        <v>09</v>
      </c>
      <c r="E357" t="s">
        <v>271</v>
      </c>
      <c r="F357" t="s">
        <v>21</v>
      </c>
      <c r="G357" t="s">
        <v>37</v>
      </c>
      <c r="H357" s="4" t="s">
        <v>2256</v>
      </c>
      <c r="I357">
        <v>287450</v>
      </c>
      <c r="J357" s="8" t="s">
        <v>2349</v>
      </c>
      <c r="K357" t="s">
        <v>672</v>
      </c>
      <c r="L357" t="s">
        <v>673</v>
      </c>
      <c r="M357" t="s">
        <v>130</v>
      </c>
      <c r="N357">
        <f t="shared" si="18"/>
        <v>7</v>
      </c>
      <c r="O357">
        <v>8</v>
      </c>
      <c r="P357" s="6">
        <v>103.82</v>
      </c>
      <c r="Q357">
        <v>0</v>
      </c>
      <c r="R357">
        <v>830.56</v>
      </c>
      <c r="S357">
        <v>41.53</v>
      </c>
      <c r="T357">
        <v>20</v>
      </c>
      <c r="U357">
        <v>0</v>
      </c>
      <c r="V357">
        <v>892.08999999999992</v>
      </c>
      <c r="W357" t="s">
        <v>27</v>
      </c>
      <c r="X357">
        <v>23</v>
      </c>
    </row>
    <row r="358" spans="1:24" ht="14.25" customHeight="1">
      <c r="A358" t="s">
        <v>1106</v>
      </c>
      <c r="B358" t="s">
        <v>2315</v>
      </c>
      <c r="C358" s="6" t="str">
        <f t="shared" si="16"/>
        <v>February</v>
      </c>
      <c r="D358" s="6" t="str">
        <f t="shared" si="17"/>
        <v>10</v>
      </c>
      <c r="E358" t="s">
        <v>275</v>
      </c>
      <c r="F358" t="s">
        <v>21</v>
      </c>
      <c r="G358" t="s">
        <v>74</v>
      </c>
      <c r="H358" s="4" t="s">
        <v>2256</v>
      </c>
      <c r="I358">
        <v>859710</v>
      </c>
      <c r="J358" s="8" t="s">
        <v>2349</v>
      </c>
      <c r="K358" t="s">
        <v>676</v>
      </c>
      <c r="L358" t="s">
        <v>677</v>
      </c>
      <c r="M358" t="s">
        <v>77</v>
      </c>
      <c r="N358">
        <f t="shared" si="18"/>
        <v>5</v>
      </c>
      <c r="O358">
        <v>4</v>
      </c>
      <c r="P358" s="6">
        <v>151.27000000000001</v>
      </c>
      <c r="Q358">
        <v>7.56</v>
      </c>
      <c r="R358">
        <v>597.5200000000001</v>
      </c>
      <c r="S358">
        <v>29.88</v>
      </c>
      <c r="T358">
        <v>20</v>
      </c>
      <c r="U358">
        <v>5</v>
      </c>
      <c r="V358">
        <v>652.40000000000009</v>
      </c>
      <c r="W358" t="s">
        <v>27</v>
      </c>
      <c r="X358">
        <v>31</v>
      </c>
    </row>
    <row r="359" spans="1:24" ht="14.25" customHeight="1">
      <c r="A359" t="s">
        <v>1107</v>
      </c>
      <c r="B359" t="s">
        <v>2306</v>
      </c>
      <c r="C359" s="6" t="str">
        <f t="shared" si="16"/>
        <v>February</v>
      </c>
      <c r="D359" s="6" t="str">
        <f t="shared" si="17"/>
        <v>04</v>
      </c>
      <c r="E359" t="s">
        <v>279</v>
      </c>
      <c r="F359" t="s">
        <v>21</v>
      </c>
      <c r="G359" t="s">
        <v>37</v>
      </c>
      <c r="H359" s="4" t="s">
        <v>2256</v>
      </c>
      <c r="I359">
        <v>279838</v>
      </c>
      <c r="J359" s="8" t="s">
        <v>2348</v>
      </c>
      <c r="K359" t="s">
        <v>680</v>
      </c>
      <c r="L359" t="s">
        <v>681</v>
      </c>
      <c r="M359" t="s">
        <v>89</v>
      </c>
      <c r="N359">
        <f t="shared" si="18"/>
        <v>7</v>
      </c>
      <c r="O359">
        <v>5</v>
      </c>
      <c r="P359" s="6">
        <v>107.73</v>
      </c>
      <c r="Q359">
        <v>16.16</v>
      </c>
      <c r="R359">
        <v>522.49</v>
      </c>
      <c r="S359">
        <v>26.12</v>
      </c>
      <c r="T359">
        <v>20</v>
      </c>
      <c r="U359">
        <v>15</v>
      </c>
      <c r="V359">
        <v>583.61</v>
      </c>
      <c r="W359" t="s">
        <v>27</v>
      </c>
      <c r="X359">
        <v>17</v>
      </c>
    </row>
    <row r="360" spans="1:24" ht="14.25" customHeight="1">
      <c r="A360" t="s">
        <v>1108</v>
      </c>
      <c r="B360" t="s">
        <v>2270</v>
      </c>
      <c r="C360" s="6" t="str">
        <f t="shared" si="16"/>
        <v>January</v>
      </c>
      <c r="D360" s="6" t="str">
        <f t="shared" si="17"/>
        <v>19</v>
      </c>
      <c r="E360" t="s">
        <v>283</v>
      </c>
      <c r="F360" t="s">
        <v>21</v>
      </c>
      <c r="G360" t="s">
        <v>68</v>
      </c>
      <c r="H360" s="4" t="s">
        <v>2256</v>
      </c>
      <c r="I360">
        <v>913349</v>
      </c>
      <c r="J360" s="8" t="s">
        <v>2349</v>
      </c>
      <c r="K360" t="s">
        <v>684</v>
      </c>
      <c r="L360" t="s">
        <v>685</v>
      </c>
      <c r="M360" t="s">
        <v>89</v>
      </c>
      <c r="N360">
        <f t="shared" si="18"/>
        <v>7</v>
      </c>
      <c r="O360">
        <v>1</v>
      </c>
      <c r="P360" s="6">
        <v>155.61000000000001</v>
      </c>
      <c r="Q360">
        <v>15.56</v>
      </c>
      <c r="R360">
        <v>140.05000000000001</v>
      </c>
      <c r="S360">
        <v>7</v>
      </c>
      <c r="T360">
        <v>0</v>
      </c>
      <c r="U360">
        <v>15</v>
      </c>
      <c r="V360">
        <v>162.05000000000001</v>
      </c>
      <c r="W360" t="s">
        <v>27</v>
      </c>
      <c r="X360">
        <v>4</v>
      </c>
    </row>
    <row r="361" spans="1:24" ht="14.25" customHeight="1">
      <c r="A361" t="s">
        <v>1109</v>
      </c>
      <c r="B361" t="s">
        <v>2313</v>
      </c>
      <c r="C361" s="6" t="str">
        <f t="shared" si="16"/>
        <v>February</v>
      </c>
      <c r="D361" s="6" t="str">
        <f t="shared" si="17"/>
        <v>17</v>
      </c>
      <c r="E361" t="s">
        <v>287</v>
      </c>
      <c r="F361" t="s">
        <v>21</v>
      </c>
      <c r="G361" t="s">
        <v>68</v>
      </c>
      <c r="H361" s="4" t="s">
        <v>2256</v>
      </c>
      <c r="I361">
        <v>468266</v>
      </c>
      <c r="J361" s="8" t="s">
        <v>30</v>
      </c>
      <c r="K361" t="s">
        <v>688</v>
      </c>
      <c r="L361" t="s">
        <v>689</v>
      </c>
      <c r="M361" t="s">
        <v>98</v>
      </c>
      <c r="N361">
        <f t="shared" si="18"/>
        <v>4</v>
      </c>
      <c r="O361">
        <v>6</v>
      </c>
      <c r="P361" s="6">
        <v>105.52</v>
      </c>
      <c r="Q361">
        <v>0</v>
      </c>
      <c r="R361">
        <v>633.12</v>
      </c>
      <c r="S361">
        <v>31.66</v>
      </c>
      <c r="T361">
        <v>0</v>
      </c>
      <c r="U361">
        <v>20</v>
      </c>
      <c r="V361">
        <v>684.78</v>
      </c>
      <c r="W361" t="s">
        <v>27</v>
      </c>
      <c r="X361">
        <v>25</v>
      </c>
    </row>
    <row r="362" spans="1:24" ht="14.25" customHeight="1">
      <c r="A362" t="s">
        <v>1110</v>
      </c>
      <c r="B362" t="s">
        <v>2292</v>
      </c>
      <c r="C362" s="6" t="str">
        <f t="shared" si="16"/>
        <v>January</v>
      </c>
      <c r="D362" s="6" t="str">
        <f t="shared" si="17"/>
        <v>16</v>
      </c>
      <c r="E362" t="s">
        <v>291</v>
      </c>
      <c r="F362" t="s">
        <v>21</v>
      </c>
      <c r="G362" t="s">
        <v>37</v>
      </c>
      <c r="H362" s="4" t="s">
        <v>2256</v>
      </c>
      <c r="I362">
        <v>884282</v>
      </c>
      <c r="J362" s="8" t="s">
        <v>62</v>
      </c>
      <c r="K362" t="s">
        <v>692</v>
      </c>
      <c r="L362" t="s">
        <v>693</v>
      </c>
      <c r="M362" t="s">
        <v>140</v>
      </c>
      <c r="N362">
        <f t="shared" si="18"/>
        <v>3</v>
      </c>
      <c r="O362">
        <v>5</v>
      </c>
      <c r="P362" s="6">
        <v>185.07</v>
      </c>
      <c r="Q362">
        <v>9.25</v>
      </c>
      <c r="R362">
        <v>916.09999999999991</v>
      </c>
      <c r="S362">
        <v>45.8</v>
      </c>
      <c r="T362">
        <v>20</v>
      </c>
      <c r="U362">
        <v>10</v>
      </c>
      <c r="V362">
        <v>991.89999999999986</v>
      </c>
      <c r="W362" t="s">
        <v>27</v>
      </c>
      <c r="X362">
        <v>29</v>
      </c>
    </row>
    <row r="363" spans="1:24" ht="14.25" customHeight="1">
      <c r="A363" t="s">
        <v>1111</v>
      </c>
      <c r="B363" t="s">
        <v>2277</v>
      </c>
      <c r="C363" s="6" t="str">
        <f t="shared" si="16"/>
        <v>January</v>
      </c>
      <c r="D363" s="6" t="str">
        <f t="shared" si="17"/>
        <v>03</v>
      </c>
      <c r="E363" t="s">
        <v>295</v>
      </c>
      <c r="F363" t="s">
        <v>80</v>
      </c>
      <c r="G363" t="s">
        <v>81</v>
      </c>
      <c r="H363" s="4" t="s">
        <v>2256</v>
      </c>
      <c r="I363">
        <v>233296</v>
      </c>
      <c r="J363" s="8" t="s">
        <v>62</v>
      </c>
      <c r="K363" t="s">
        <v>696</v>
      </c>
      <c r="L363" t="s">
        <v>697</v>
      </c>
      <c r="M363" t="s">
        <v>26</v>
      </c>
      <c r="N363">
        <f t="shared" si="18"/>
        <v>3</v>
      </c>
      <c r="O363">
        <v>3</v>
      </c>
      <c r="P363" s="6">
        <v>223.55</v>
      </c>
      <c r="Q363">
        <v>11.18</v>
      </c>
      <c r="R363">
        <v>659.47000000000014</v>
      </c>
      <c r="S363">
        <v>32.97</v>
      </c>
      <c r="T363">
        <v>30</v>
      </c>
      <c r="U363">
        <v>10</v>
      </c>
      <c r="V363">
        <v>732.44000000000017</v>
      </c>
      <c r="W363" t="s">
        <v>84</v>
      </c>
      <c r="X363">
        <v>25</v>
      </c>
    </row>
    <row r="364" spans="1:24" ht="14.25" customHeight="1">
      <c r="A364" t="s">
        <v>1112</v>
      </c>
      <c r="B364" t="s">
        <v>2305</v>
      </c>
      <c r="C364" s="6" t="str">
        <f t="shared" si="16"/>
        <v>January</v>
      </c>
      <c r="D364" s="6" t="str">
        <f t="shared" si="17"/>
        <v>20</v>
      </c>
      <c r="E364" t="s">
        <v>299</v>
      </c>
      <c r="F364" t="s">
        <v>21</v>
      </c>
      <c r="G364" t="s">
        <v>37</v>
      </c>
      <c r="H364" s="4" t="s">
        <v>2256</v>
      </c>
      <c r="I364">
        <v>865348</v>
      </c>
      <c r="J364" s="8" t="s">
        <v>2349</v>
      </c>
      <c r="K364" t="s">
        <v>700</v>
      </c>
      <c r="L364" t="s">
        <v>701</v>
      </c>
      <c r="M364" t="s">
        <v>50</v>
      </c>
      <c r="N364">
        <f t="shared" si="18"/>
        <v>5</v>
      </c>
      <c r="O364">
        <v>5</v>
      </c>
      <c r="P364" s="6">
        <v>33.630000000000003</v>
      </c>
      <c r="Q364">
        <v>5.04</v>
      </c>
      <c r="R364">
        <v>163.11000000000001</v>
      </c>
      <c r="S364">
        <v>8.16</v>
      </c>
      <c r="T364">
        <v>0</v>
      </c>
      <c r="U364">
        <v>15</v>
      </c>
      <c r="V364">
        <v>186.27</v>
      </c>
      <c r="W364" t="s">
        <v>27</v>
      </c>
      <c r="X364">
        <v>29</v>
      </c>
    </row>
    <row r="365" spans="1:24" ht="14.25" customHeight="1">
      <c r="A365" t="s">
        <v>1113</v>
      </c>
      <c r="B365" t="s">
        <v>2273</v>
      </c>
      <c r="C365" s="6" t="str">
        <f t="shared" si="16"/>
        <v>January</v>
      </c>
      <c r="D365" s="6" t="str">
        <f t="shared" si="17"/>
        <v>24</v>
      </c>
      <c r="E365" t="s">
        <v>303</v>
      </c>
      <c r="F365" t="s">
        <v>101</v>
      </c>
      <c r="G365" t="s">
        <v>81</v>
      </c>
      <c r="H365" s="4" t="s">
        <v>2256</v>
      </c>
      <c r="I365">
        <v>985258</v>
      </c>
      <c r="J365" s="8" t="s">
        <v>30</v>
      </c>
      <c r="K365" t="s">
        <v>704</v>
      </c>
      <c r="L365" t="s">
        <v>705</v>
      </c>
      <c r="M365" t="s">
        <v>65</v>
      </c>
      <c r="N365">
        <f t="shared" si="18"/>
        <v>6</v>
      </c>
      <c r="O365">
        <v>3</v>
      </c>
      <c r="P365" s="6">
        <v>141.09</v>
      </c>
      <c r="Q365">
        <v>21.16</v>
      </c>
      <c r="R365">
        <v>402.11</v>
      </c>
      <c r="S365">
        <v>20.11</v>
      </c>
      <c r="T365">
        <v>30</v>
      </c>
      <c r="U365">
        <v>0</v>
      </c>
      <c r="V365">
        <v>452.22</v>
      </c>
      <c r="W365" t="s">
        <v>27</v>
      </c>
      <c r="X365">
        <v>35</v>
      </c>
    </row>
    <row r="366" spans="1:24" ht="14.25" customHeight="1">
      <c r="A366" t="s">
        <v>1114</v>
      </c>
      <c r="B366" t="s">
        <v>2309</v>
      </c>
      <c r="C366" s="6" t="str">
        <f t="shared" si="16"/>
        <v>February</v>
      </c>
      <c r="D366" s="6" t="str">
        <f t="shared" si="17"/>
        <v>23</v>
      </c>
      <c r="E366" t="s">
        <v>307</v>
      </c>
      <c r="F366" t="s">
        <v>21</v>
      </c>
      <c r="G366" t="s">
        <v>68</v>
      </c>
      <c r="H366" s="4" t="s">
        <v>2256</v>
      </c>
      <c r="I366">
        <v>367986</v>
      </c>
      <c r="J366" s="8" t="s">
        <v>2349</v>
      </c>
      <c r="K366" t="s">
        <v>708</v>
      </c>
      <c r="L366" t="s">
        <v>709</v>
      </c>
      <c r="M366" t="s">
        <v>89</v>
      </c>
      <c r="N366">
        <f t="shared" si="18"/>
        <v>7</v>
      </c>
      <c r="O366">
        <v>6</v>
      </c>
      <c r="P366" s="6">
        <v>78.23</v>
      </c>
      <c r="Q366">
        <v>7.82</v>
      </c>
      <c r="R366">
        <v>461.56</v>
      </c>
      <c r="S366">
        <v>23.08</v>
      </c>
      <c r="T366">
        <v>0</v>
      </c>
      <c r="U366">
        <v>20</v>
      </c>
      <c r="V366">
        <v>504.64</v>
      </c>
      <c r="W366" t="s">
        <v>27</v>
      </c>
      <c r="X366">
        <v>29</v>
      </c>
    </row>
    <row r="367" spans="1:24" ht="14.25" customHeight="1">
      <c r="A367" t="s">
        <v>1115</v>
      </c>
      <c r="B367" t="s">
        <v>2320</v>
      </c>
      <c r="C367" s="6" t="str">
        <f t="shared" si="16"/>
        <v>February</v>
      </c>
      <c r="D367" s="6" t="str">
        <f t="shared" si="17"/>
        <v>25</v>
      </c>
      <c r="E367" t="s">
        <v>311</v>
      </c>
      <c r="F367" t="s">
        <v>21</v>
      </c>
      <c r="G367" t="s">
        <v>22</v>
      </c>
      <c r="H367" s="4" t="s">
        <v>2256</v>
      </c>
      <c r="I367">
        <v>253077</v>
      </c>
      <c r="J367" s="8" t="s">
        <v>2349</v>
      </c>
      <c r="K367" t="s">
        <v>712</v>
      </c>
      <c r="L367" t="s">
        <v>713</v>
      </c>
      <c r="M367" t="s">
        <v>77</v>
      </c>
      <c r="N367">
        <f t="shared" si="18"/>
        <v>5</v>
      </c>
      <c r="O367">
        <v>1</v>
      </c>
      <c r="P367" s="6">
        <v>6.38</v>
      </c>
      <c r="Q367">
        <v>0.96</v>
      </c>
      <c r="R367">
        <v>5.42</v>
      </c>
      <c r="S367">
        <v>0.27</v>
      </c>
      <c r="T367">
        <v>0</v>
      </c>
      <c r="U367">
        <v>20</v>
      </c>
      <c r="V367">
        <v>25.69</v>
      </c>
      <c r="W367" t="s">
        <v>27</v>
      </c>
      <c r="X367">
        <v>27</v>
      </c>
    </row>
    <row r="368" spans="1:24" ht="14.25" customHeight="1">
      <c r="A368" t="s">
        <v>1116</v>
      </c>
      <c r="B368" t="s">
        <v>2284</v>
      </c>
      <c r="C368" s="6" t="str">
        <f t="shared" si="16"/>
        <v>February</v>
      </c>
      <c r="D368" s="6" t="str">
        <f t="shared" si="17"/>
        <v>02</v>
      </c>
      <c r="E368" t="s">
        <v>315</v>
      </c>
      <c r="F368" t="s">
        <v>21</v>
      </c>
      <c r="G368" t="s">
        <v>22</v>
      </c>
      <c r="H368" s="4" t="s">
        <v>2256</v>
      </c>
      <c r="I368">
        <v>691202</v>
      </c>
      <c r="J368" s="8" t="s">
        <v>2347</v>
      </c>
      <c r="K368" t="s">
        <v>716</v>
      </c>
      <c r="L368" t="s">
        <v>717</v>
      </c>
      <c r="M368" t="s">
        <v>55</v>
      </c>
      <c r="N368">
        <f t="shared" si="18"/>
        <v>5</v>
      </c>
      <c r="O368">
        <v>2</v>
      </c>
      <c r="P368" s="6">
        <v>157.69999999999999</v>
      </c>
      <c r="Q368">
        <v>0</v>
      </c>
      <c r="R368">
        <v>315.39999999999998</v>
      </c>
      <c r="S368">
        <v>15.77</v>
      </c>
      <c r="T368">
        <v>20</v>
      </c>
      <c r="U368">
        <v>5</v>
      </c>
      <c r="V368">
        <v>356.17</v>
      </c>
      <c r="W368" t="s">
        <v>27</v>
      </c>
      <c r="X368">
        <v>8</v>
      </c>
    </row>
    <row r="369" spans="1:24" ht="14.25" customHeight="1">
      <c r="A369" t="s">
        <v>1117</v>
      </c>
      <c r="B369" t="s">
        <v>2273</v>
      </c>
      <c r="C369" s="6" t="str">
        <f t="shared" si="16"/>
        <v>January</v>
      </c>
      <c r="D369" s="6" t="str">
        <f t="shared" si="17"/>
        <v>24</v>
      </c>
      <c r="E369" t="s">
        <v>319</v>
      </c>
      <c r="F369" t="s">
        <v>21</v>
      </c>
      <c r="G369" t="s">
        <v>74</v>
      </c>
      <c r="H369" s="4" t="s">
        <v>2256</v>
      </c>
      <c r="I369">
        <v>102257</v>
      </c>
      <c r="J369" s="8" t="s">
        <v>30</v>
      </c>
      <c r="K369" t="s">
        <v>720</v>
      </c>
      <c r="L369" t="s">
        <v>721</v>
      </c>
      <c r="M369" t="s">
        <v>130</v>
      </c>
      <c r="N369">
        <f t="shared" si="18"/>
        <v>7</v>
      </c>
      <c r="O369">
        <v>1</v>
      </c>
      <c r="P369" s="6">
        <v>103.25</v>
      </c>
      <c r="Q369">
        <v>15.49</v>
      </c>
      <c r="R369">
        <v>87.76</v>
      </c>
      <c r="S369">
        <v>4.3899999999999997</v>
      </c>
      <c r="T369">
        <v>0</v>
      </c>
      <c r="U369">
        <v>15</v>
      </c>
      <c r="V369">
        <v>107.15</v>
      </c>
      <c r="W369" t="s">
        <v>27</v>
      </c>
      <c r="X369">
        <v>35</v>
      </c>
    </row>
    <row r="370" spans="1:24" ht="14.25" customHeight="1">
      <c r="A370" t="s">
        <v>1118</v>
      </c>
      <c r="B370" t="s">
        <v>2263</v>
      </c>
      <c r="C370" s="6" t="str">
        <f t="shared" si="16"/>
        <v>February</v>
      </c>
      <c r="D370" s="6" t="str">
        <f t="shared" si="17"/>
        <v>21</v>
      </c>
      <c r="E370" t="s">
        <v>323</v>
      </c>
      <c r="F370" t="s">
        <v>21</v>
      </c>
      <c r="G370" t="s">
        <v>68</v>
      </c>
      <c r="H370" s="4" t="s">
        <v>2256</v>
      </c>
      <c r="I370">
        <v>443567</v>
      </c>
      <c r="J370" s="8" t="s">
        <v>2346</v>
      </c>
      <c r="K370" t="s">
        <v>724</v>
      </c>
      <c r="L370" t="s">
        <v>725</v>
      </c>
      <c r="M370" t="s">
        <v>140</v>
      </c>
      <c r="N370">
        <f t="shared" si="18"/>
        <v>3</v>
      </c>
      <c r="O370">
        <v>2</v>
      </c>
      <c r="P370" s="6">
        <v>78.14</v>
      </c>
      <c r="Q370">
        <v>0</v>
      </c>
      <c r="R370">
        <v>156.28</v>
      </c>
      <c r="S370">
        <v>7.81</v>
      </c>
      <c r="T370">
        <v>10</v>
      </c>
      <c r="U370">
        <v>5</v>
      </c>
      <c r="V370">
        <v>179.09</v>
      </c>
      <c r="W370" t="s">
        <v>27</v>
      </c>
      <c r="X370">
        <v>22</v>
      </c>
    </row>
    <row r="371" spans="1:24" ht="14.25" customHeight="1">
      <c r="A371" t="s">
        <v>1119</v>
      </c>
      <c r="B371" t="s">
        <v>2272</v>
      </c>
      <c r="C371" s="6" t="str">
        <f t="shared" si="16"/>
        <v>January</v>
      </c>
      <c r="D371" s="6" t="str">
        <f t="shared" si="17"/>
        <v>11</v>
      </c>
      <c r="E371" t="s">
        <v>327</v>
      </c>
      <c r="F371" t="s">
        <v>80</v>
      </c>
      <c r="G371" t="s">
        <v>81</v>
      </c>
      <c r="H371" s="4" t="s">
        <v>2256</v>
      </c>
      <c r="I371">
        <v>438540</v>
      </c>
      <c r="J371" s="8" t="s">
        <v>2348</v>
      </c>
      <c r="K371" t="s">
        <v>728</v>
      </c>
      <c r="L371" t="s">
        <v>729</v>
      </c>
      <c r="M371" t="s">
        <v>22</v>
      </c>
      <c r="N371">
        <f t="shared" si="18"/>
        <v>6</v>
      </c>
      <c r="O371">
        <v>1</v>
      </c>
      <c r="P371" s="6">
        <v>31.36</v>
      </c>
      <c r="Q371">
        <v>3.14</v>
      </c>
      <c r="R371">
        <v>28.22</v>
      </c>
      <c r="S371">
        <v>1.41</v>
      </c>
      <c r="T371">
        <v>10</v>
      </c>
      <c r="U371">
        <v>10</v>
      </c>
      <c r="V371">
        <v>49.63</v>
      </c>
      <c r="W371" t="s">
        <v>27</v>
      </c>
      <c r="X371">
        <v>27</v>
      </c>
    </row>
    <row r="372" spans="1:24" ht="14.25" customHeight="1">
      <c r="A372" t="s">
        <v>1120</v>
      </c>
      <c r="B372" t="s">
        <v>2287</v>
      </c>
      <c r="C372" s="6" t="str">
        <f t="shared" si="16"/>
        <v>February</v>
      </c>
      <c r="D372" s="6" t="str">
        <f t="shared" si="17"/>
        <v>18</v>
      </c>
      <c r="E372" t="s">
        <v>331</v>
      </c>
      <c r="F372" t="s">
        <v>21</v>
      </c>
      <c r="G372" t="s">
        <v>68</v>
      </c>
      <c r="H372" s="4" t="s">
        <v>2256</v>
      </c>
      <c r="I372">
        <v>409521</v>
      </c>
      <c r="J372" s="8" t="s">
        <v>2348</v>
      </c>
      <c r="K372" t="s">
        <v>732</v>
      </c>
      <c r="L372" t="s">
        <v>733</v>
      </c>
      <c r="M372" t="s">
        <v>65</v>
      </c>
      <c r="N372">
        <f t="shared" si="18"/>
        <v>6</v>
      </c>
      <c r="O372">
        <v>5</v>
      </c>
      <c r="P372" s="6">
        <v>41.47</v>
      </c>
      <c r="Q372">
        <v>6.22</v>
      </c>
      <c r="R372">
        <v>201.13</v>
      </c>
      <c r="S372">
        <v>10.06</v>
      </c>
      <c r="T372">
        <v>10</v>
      </c>
      <c r="U372">
        <v>20</v>
      </c>
      <c r="V372">
        <v>241.19</v>
      </c>
      <c r="W372" t="s">
        <v>27</v>
      </c>
      <c r="X372">
        <v>30</v>
      </c>
    </row>
    <row r="373" spans="1:24" ht="14.25" customHeight="1">
      <c r="A373" t="s">
        <v>1121</v>
      </c>
      <c r="B373" t="s">
        <v>2267</v>
      </c>
      <c r="C373" s="6" t="str">
        <f t="shared" si="16"/>
        <v>January</v>
      </c>
      <c r="D373" s="6" t="str">
        <f t="shared" si="17"/>
        <v>08</v>
      </c>
      <c r="E373" t="s">
        <v>335</v>
      </c>
      <c r="F373" t="s">
        <v>21</v>
      </c>
      <c r="G373" t="s">
        <v>68</v>
      </c>
      <c r="H373" s="4" t="s">
        <v>2256</v>
      </c>
      <c r="I373">
        <v>416480</v>
      </c>
      <c r="J373" s="8" t="s">
        <v>30</v>
      </c>
      <c r="K373" t="s">
        <v>736</v>
      </c>
      <c r="L373" t="s">
        <v>737</v>
      </c>
      <c r="M373" t="s">
        <v>50</v>
      </c>
      <c r="N373">
        <f t="shared" si="18"/>
        <v>5</v>
      </c>
      <c r="O373">
        <v>1</v>
      </c>
      <c r="P373" s="6">
        <v>198.04</v>
      </c>
      <c r="Q373">
        <v>0</v>
      </c>
      <c r="R373">
        <v>198.04</v>
      </c>
      <c r="S373">
        <v>9.9</v>
      </c>
      <c r="T373">
        <v>20</v>
      </c>
      <c r="U373">
        <v>0</v>
      </c>
      <c r="V373">
        <v>227.94</v>
      </c>
      <c r="W373" t="s">
        <v>34</v>
      </c>
      <c r="X373">
        <v>25</v>
      </c>
    </row>
    <row r="374" spans="1:24" ht="14.25" customHeight="1">
      <c r="A374" t="s">
        <v>1122</v>
      </c>
      <c r="B374" t="s">
        <v>2275</v>
      </c>
      <c r="C374" s="6" t="str">
        <f t="shared" si="16"/>
        <v>February</v>
      </c>
      <c r="D374" s="6" t="str">
        <f t="shared" si="17"/>
        <v>05</v>
      </c>
      <c r="E374" t="s">
        <v>339</v>
      </c>
      <c r="F374" t="s">
        <v>21</v>
      </c>
      <c r="G374" t="s">
        <v>37</v>
      </c>
      <c r="H374" s="4" t="s">
        <v>2256</v>
      </c>
      <c r="I374">
        <v>241365</v>
      </c>
      <c r="J374" s="8" t="s">
        <v>30</v>
      </c>
      <c r="K374" t="s">
        <v>740</v>
      </c>
      <c r="L374" t="s">
        <v>741</v>
      </c>
      <c r="M374" t="s">
        <v>55</v>
      </c>
      <c r="N374">
        <f t="shared" si="18"/>
        <v>5</v>
      </c>
      <c r="O374">
        <v>2</v>
      </c>
      <c r="P374" s="6">
        <v>53.68</v>
      </c>
      <c r="Q374">
        <v>0</v>
      </c>
      <c r="R374">
        <v>107.36</v>
      </c>
      <c r="S374">
        <v>5.37</v>
      </c>
      <c r="T374">
        <v>0</v>
      </c>
      <c r="U374">
        <v>15</v>
      </c>
      <c r="V374">
        <v>127.73</v>
      </c>
      <c r="W374" t="s">
        <v>27</v>
      </c>
      <c r="X374">
        <v>32</v>
      </c>
    </row>
    <row r="375" spans="1:24" ht="14.25" customHeight="1">
      <c r="A375" t="s">
        <v>1123</v>
      </c>
      <c r="B375" t="s">
        <v>2282</v>
      </c>
      <c r="C375" s="6" t="str">
        <f t="shared" si="16"/>
        <v>February</v>
      </c>
      <c r="D375" s="6" t="str">
        <f t="shared" si="17"/>
        <v>07</v>
      </c>
      <c r="E375" t="s">
        <v>343</v>
      </c>
      <c r="F375" t="s">
        <v>21</v>
      </c>
      <c r="G375" t="s">
        <v>68</v>
      </c>
      <c r="H375" s="4" t="s">
        <v>2256</v>
      </c>
      <c r="I375">
        <v>341225</v>
      </c>
      <c r="J375" s="8" t="s">
        <v>2347</v>
      </c>
      <c r="K375" t="s">
        <v>744</v>
      </c>
      <c r="L375" t="s">
        <v>745</v>
      </c>
      <c r="M375" t="s">
        <v>65</v>
      </c>
      <c r="N375">
        <f t="shared" si="18"/>
        <v>6</v>
      </c>
      <c r="O375">
        <v>3</v>
      </c>
      <c r="P375" s="6">
        <v>150.33000000000001</v>
      </c>
      <c r="Q375">
        <v>22.55</v>
      </c>
      <c r="R375">
        <v>428.44</v>
      </c>
      <c r="S375">
        <v>21.42</v>
      </c>
      <c r="T375">
        <v>20</v>
      </c>
      <c r="U375">
        <v>10</v>
      </c>
      <c r="V375">
        <v>479.86</v>
      </c>
      <c r="W375" t="s">
        <v>27</v>
      </c>
      <c r="X375">
        <v>14</v>
      </c>
    </row>
    <row r="376" spans="1:24" ht="14.25" customHeight="1">
      <c r="A376" t="s">
        <v>1124</v>
      </c>
      <c r="B376" t="s">
        <v>2276</v>
      </c>
      <c r="C376" s="6" t="str">
        <f t="shared" si="16"/>
        <v>February</v>
      </c>
      <c r="D376" s="6" t="str">
        <f t="shared" si="17"/>
        <v>09</v>
      </c>
      <c r="E376" t="s">
        <v>347</v>
      </c>
      <c r="F376" t="s">
        <v>101</v>
      </c>
      <c r="G376" t="s">
        <v>81</v>
      </c>
      <c r="H376" s="4" t="s">
        <v>2256</v>
      </c>
      <c r="I376">
        <v>807173</v>
      </c>
      <c r="J376" s="8" t="s">
        <v>30</v>
      </c>
      <c r="K376" t="s">
        <v>748</v>
      </c>
      <c r="L376" t="s">
        <v>749</v>
      </c>
      <c r="M376" t="s">
        <v>45</v>
      </c>
      <c r="N376">
        <f t="shared" si="18"/>
        <v>6</v>
      </c>
      <c r="O376">
        <v>3</v>
      </c>
      <c r="P376" s="6">
        <v>75.67</v>
      </c>
      <c r="Q376">
        <v>3.78</v>
      </c>
      <c r="R376">
        <v>223.23</v>
      </c>
      <c r="S376">
        <v>11.16</v>
      </c>
      <c r="T376">
        <v>20</v>
      </c>
      <c r="U376">
        <v>15</v>
      </c>
      <c r="V376">
        <v>269.39</v>
      </c>
      <c r="W376" t="s">
        <v>34</v>
      </c>
      <c r="X376">
        <v>25</v>
      </c>
    </row>
    <row r="377" spans="1:24" ht="14.25" customHeight="1">
      <c r="A377" t="s">
        <v>1125</v>
      </c>
      <c r="B377" t="s">
        <v>2305</v>
      </c>
      <c r="C377" s="6" t="str">
        <f t="shared" si="16"/>
        <v>January</v>
      </c>
      <c r="D377" s="6" t="str">
        <f t="shared" si="17"/>
        <v>20</v>
      </c>
      <c r="E377" t="s">
        <v>351</v>
      </c>
      <c r="F377" t="s">
        <v>21</v>
      </c>
      <c r="G377" t="s">
        <v>68</v>
      </c>
      <c r="H377" s="4" t="s">
        <v>2256</v>
      </c>
      <c r="I377">
        <v>756761</v>
      </c>
      <c r="J377" s="8" t="s">
        <v>62</v>
      </c>
      <c r="K377" t="s">
        <v>752</v>
      </c>
      <c r="L377" t="s">
        <v>753</v>
      </c>
      <c r="M377" t="s">
        <v>45</v>
      </c>
      <c r="N377">
        <f t="shared" si="18"/>
        <v>6</v>
      </c>
      <c r="O377">
        <v>4</v>
      </c>
      <c r="P377" s="6">
        <v>78.319999999999993</v>
      </c>
      <c r="Q377">
        <v>3.92</v>
      </c>
      <c r="R377">
        <v>309.36</v>
      </c>
      <c r="S377">
        <v>15.47</v>
      </c>
      <c r="T377">
        <v>10</v>
      </c>
      <c r="U377">
        <v>15</v>
      </c>
      <c r="V377">
        <v>349.83</v>
      </c>
      <c r="W377" t="s">
        <v>27</v>
      </c>
      <c r="X377">
        <v>20</v>
      </c>
    </row>
    <row r="378" spans="1:24" ht="14.25" customHeight="1">
      <c r="A378" t="s">
        <v>1126</v>
      </c>
      <c r="B378" t="s">
        <v>2306</v>
      </c>
      <c r="C378" s="6" t="str">
        <f t="shared" si="16"/>
        <v>February</v>
      </c>
      <c r="D378" s="6" t="str">
        <f t="shared" si="17"/>
        <v>04</v>
      </c>
      <c r="E378" t="s">
        <v>355</v>
      </c>
      <c r="F378" t="s">
        <v>21</v>
      </c>
      <c r="G378" t="s">
        <v>68</v>
      </c>
      <c r="H378" s="4" t="s">
        <v>2256</v>
      </c>
      <c r="I378">
        <v>464662</v>
      </c>
      <c r="J378" s="8" t="s">
        <v>2349</v>
      </c>
      <c r="K378" t="s">
        <v>756</v>
      </c>
      <c r="L378" t="s">
        <v>757</v>
      </c>
      <c r="M378" t="s">
        <v>140</v>
      </c>
      <c r="N378">
        <f t="shared" si="18"/>
        <v>3</v>
      </c>
      <c r="O378">
        <v>1</v>
      </c>
      <c r="P378" s="6">
        <v>120.92</v>
      </c>
      <c r="Q378">
        <v>12.09</v>
      </c>
      <c r="R378">
        <v>108.83</v>
      </c>
      <c r="S378">
        <v>5.44</v>
      </c>
      <c r="T378">
        <v>0</v>
      </c>
      <c r="U378">
        <v>15</v>
      </c>
      <c r="V378">
        <v>129.27000000000001</v>
      </c>
      <c r="W378" t="s">
        <v>34</v>
      </c>
      <c r="X378">
        <v>25</v>
      </c>
    </row>
    <row r="379" spans="1:24" ht="14.25" customHeight="1">
      <c r="A379" t="s">
        <v>1127</v>
      </c>
      <c r="B379" t="s">
        <v>2313</v>
      </c>
      <c r="C379" s="6" t="str">
        <f t="shared" si="16"/>
        <v>February</v>
      </c>
      <c r="D379" s="6" t="str">
        <f t="shared" si="17"/>
        <v>17</v>
      </c>
      <c r="E379" t="s">
        <v>359</v>
      </c>
      <c r="F379" t="s">
        <v>21</v>
      </c>
      <c r="G379" t="s">
        <v>37</v>
      </c>
      <c r="H379" s="4" t="s">
        <v>2256</v>
      </c>
      <c r="I379">
        <v>832763</v>
      </c>
      <c r="J379" s="8" t="s">
        <v>2346</v>
      </c>
      <c r="K379" t="s">
        <v>760</v>
      </c>
      <c r="L379" t="s">
        <v>761</v>
      </c>
      <c r="M379" t="s">
        <v>40</v>
      </c>
      <c r="N379">
        <f t="shared" si="18"/>
        <v>6</v>
      </c>
      <c r="O379">
        <v>3</v>
      </c>
      <c r="P379" s="6">
        <v>174.1</v>
      </c>
      <c r="Q379">
        <v>0</v>
      </c>
      <c r="R379">
        <v>522.29999999999995</v>
      </c>
      <c r="S379">
        <v>26.11</v>
      </c>
      <c r="T379">
        <v>10</v>
      </c>
      <c r="U379">
        <v>10</v>
      </c>
      <c r="V379">
        <v>568.41</v>
      </c>
      <c r="W379" t="s">
        <v>27</v>
      </c>
      <c r="X379">
        <v>16</v>
      </c>
    </row>
    <row r="380" spans="1:24" ht="14.25" customHeight="1">
      <c r="A380" t="s">
        <v>1128</v>
      </c>
      <c r="B380" t="s">
        <v>2286</v>
      </c>
      <c r="C380" s="6" t="str">
        <f t="shared" si="16"/>
        <v>January</v>
      </c>
      <c r="D380" s="6" t="str">
        <f t="shared" si="17"/>
        <v>25</v>
      </c>
      <c r="E380" t="s">
        <v>363</v>
      </c>
      <c r="F380" t="s">
        <v>21</v>
      </c>
      <c r="G380" t="s">
        <v>106</v>
      </c>
      <c r="H380" s="4" t="s">
        <v>2256</v>
      </c>
      <c r="I380">
        <v>980006</v>
      </c>
      <c r="J380" s="8" t="s">
        <v>2349</v>
      </c>
      <c r="K380" t="s">
        <v>764</v>
      </c>
      <c r="L380" t="s">
        <v>765</v>
      </c>
      <c r="M380" t="s">
        <v>65</v>
      </c>
      <c r="N380">
        <f t="shared" si="18"/>
        <v>6</v>
      </c>
      <c r="O380">
        <v>5</v>
      </c>
      <c r="P380" s="6">
        <v>109.83</v>
      </c>
      <c r="Q380">
        <v>16.47</v>
      </c>
      <c r="R380">
        <v>532.67999999999995</v>
      </c>
      <c r="S380">
        <v>26.63</v>
      </c>
      <c r="T380">
        <v>20</v>
      </c>
      <c r="U380">
        <v>0</v>
      </c>
      <c r="V380">
        <v>579.30999999999995</v>
      </c>
      <c r="W380" t="s">
        <v>27</v>
      </c>
      <c r="X380">
        <v>26</v>
      </c>
    </row>
    <row r="381" spans="1:24" ht="14.25" customHeight="1">
      <c r="A381" t="s">
        <v>1129</v>
      </c>
      <c r="B381" t="s">
        <v>2306</v>
      </c>
      <c r="C381" s="6" t="str">
        <f t="shared" si="16"/>
        <v>February</v>
      </c>
      <c r="D381" s="6" t="str">
        <f t="shared" si="17"/>
        <v>04</v>
      </c>
      <c r="E381" t="s">
        <v>367</v>
      </c>
      <c r="F381" t="s">
        <v>21</v>
      </c>
      <c r="G381" t="s">
        <v>106</v>
      </c>
      <c r="H381" s="4" t="s">
        <v>2256</v>
      </c>
      <c r="I381">
        <v>811028</v>
      </c>
      <c r="J381" s="8" t="s">
        <v>2348</v>
      </c>
      <c r="K381" t="s">
        <v>768</v>
      </c>
      <c r="L381" t="s">
        <v>769</v>
      </c>
      <c r="M381" t="s">
        <v>22</v>
      </c>
      <c r="N381">
        <f t="shared" si="18"/>
        <v>6</v>
      </c>
      <c r="O381">
        <v>3</v>
      </c>
      <c r="P381" s="6">
        <v>183.6</v>
      </c>
      <c r="Q381">
        <v>18.36</v>
      </c>
      <c r="R381">
        <v>532.43999999999994</v>
      </c>
      <c r="S381">
        <v>26.62</v>
      </c>
      <c r="T381">
        <v>20</v>
      </c>
      <c r="U381">
        <v>0</v>
      </c>
      <c r="V381">
        <v>579.05999999999995</v>
      </c>
      <c r="W381" t="s">
        <v>27</v>
      </c>
      <c r="X381">
        <v>23</v>
      </c>
    </row>
    <row r="382" spans="1:24" ht="14.25" customHeight="1">
      <c r="A382" t="s">
        <v>1130</v>
      </c>
      <c r="B382" t="s">
        <v>2286</v>
      </c>
      <c r="C382" s="6" t="str">
        <f t="shared" si="16"/>
        <v>January</v>
      </c>
      <c r="D382" s="6" t="str">
        <f t="shared" si="17"/>
        <v>25</v>
      </c>
      <c r="E382" t="s">
        <v>371</v>
      </c>
      <c r="F382" t="s">
        <v>21</v>
      </c>
      <c r="G382" t="s">
        <v>22</v>
      </c>
      <c r="H382" s="4" t="s">
        <v>2256</v>
      </c>
      <c r="I382">
        <v>284626</v>
      </c>
      <c r="J382" s="8" t="s">
        <v>62</v>
      </c>
      <c r="K382" t="s">
        <v>772</v>
      </c>
      <c r="L382" t="s">
        <v>773</v>
      </c>
      <c r="M382" t="s">
        <v>55</v>
      </c>
      <c r="N382">
        <f t="shared" si="18"/>
        <v>5</v>
      </c>
      <c r="O382">
        <v>4</v>
      </c>
      <c r="P382" s="6">
        <v>156.19999999999999</v>
      </c>
      <c r="Q382">
        <v>0</v>
      </c>
      <c r="R382">
        <v>624.79999999999995</v>
      </c>
      <c r="S382">
        <v>31.24</v>
      </c>
      <c r="T382">
        <v>0</v>
      </c>
      <c r="U382">
        <v>20</v>
      </c>
      <c r="V382">
        <v>676.04</v>
      </c>
      <c r="W382" t="s">
        <v>27</v>
      </c>
      <c r="X382">
        <v>23</v>
      </c>
    </row>
    <row r="383" spans="1:24" ht="14.25" customHeight="1">
      <c r="A383" t="s">
        <v>1131</v>
      </c>
      <c r="B383" t="s">
        <v>2264</v>
      </c>
      <c r="C383" s="6" t="str">
        <f t="shared" si="16"/>
        <v>January</v>
      </c>
      <c r="D383" s="6" t="str">
        <f t="shared" si="17"/>
        <v>29</v>
      </c>
      <c r="E383" t="s">
        <v>375</v>
      </c>
      <c r="F383" t="s">
        <v>21</v>
      </c>
      <c r="G383" t="s">
        <v>68</v>
      </c>
      <c r="H383" s="4" t="s">
        <v>2256</v>
      </c>
      <c r="I383">
        <v>192769</v>
      </c>
      <c r="J383" s="8" t="s">
        <v>30</v>
      </c>
      <c r="K383" t="s">
        <v>776</v>
      </c>
      <c r="L383" t="s">
        <v>777</v>
      </c>
      <c r="M383" t="s">
        <v>89</v>
      </c>
      <c r="N383">
        <f t="shared" si="18"/>
        <v>7</v>
      </c>
      <c r="O383">
        <v>4</v>
      </c>
      <c r="P383" s="6">
        <v>126.65</v>
      </c>
      <c r="Q383">
        <v>6.33</v>
      </c>
      <c r="R383">
        <v>500.27</v>
      </c>
      <c r="S383">
        <v>25.01</v>
      </c>
      <c r="T383">
        <v>20</v>
      </c>
      <c r="U383">
        <v>5</v>
      </c>
      <c r="V383">
        <v>550.28000000000009</v>
      </c>
      <c r="W383" t="s">
        <v>27</v>
      </c>
      <c r="X383">
        <v>30</v>
      </c>
    </row>
    <row r="384" spans="1:24" ht="14.25" customHeight="1">
      <c r="A384" t="s">
        <v>1132</v>
      </c>
      <c r="B384" t="s">
        <v>2300</v>
      </c>
      <c r="C384" s="6" t="str">
        <f t="shared" si="16"/>
        <v>January</v>
      </c>
      <c r="D384" s="6" t="str">
        <f t="shared" si="17"/>
        <v>18</v>
      </c>
      <c r="E384" t="s">
        <v>379</v>
      </c>
      <c r="F384" t="s">
        <v>101</v>
      </c>
      <c r="G384" t="s">
        <v>81</v>
      </c>
      <c r="H384" s="4" t="s">
        <v>2256</v>
      </c>
      <c r="I384">
        <v>860278</v>
      </c>
      <c r="J384" s="8" t="s">
        <v>62</v>
      </c>
      <c r="K384" t="s">
        <v>780</v>
      </c>
      <c r="L384" t="s">
        <v>781</v>
      </c>
      <c r="M384" t="s">
        <v>45</v>
      </c>
      <c r="N384">
        <f t="shared" si="18"/>
        <v>6</v>
      </c>
      <c r="O384">
        <v>1</v>
      </c>
      <c r="P384" s="6">
        <v>131.49</v>
      </c>
      <c r="Q384">
        <v>0</v>
      </c>
      <c r="R384">
        <v>131.49</v>
      </c>
      <c r="S384">
        <v>6.57</v>
      </c>
      <c r="T384">
        <v>0</v>
      </c>
      <c r="U384">
        <v>0</v>
      </c>
      <c r="V384">
        <v>138.06</v>
      </c>
      <c r="W384" t="s">
        <v>27</v>
      </c>
      <c r="X384">
        <v>25</v>
      </c>
    </row>
    <row r="385" spans="1:24" ht="14.25" customHeight="1">
      <c r="A385" t="s">
        <v>1133</v>
      </c>
      <c r="B385" t="s">
        <v>2321</v>
      </c>
      <c r="C385" s="6" t="str">
        <f t="shared" si="16"/>
        <v>February</v>
      </c>
      <c r="D385" s="6" t="str">
        <f t="shared" si="17"/>
        <v>15</v>
      </c>
      <c r="E385" t="s">
        <v>383</v>
      </c>
      <c r="F385" t="s">
        <v>21</v>
      </c>
      <c r="G385" t="s">
        <v>68</v>
      </c>
      <c r="H385" s="4" t="s">
        <v>2256</v>
      </c>
      <c r="I385">
        <v>623406</v>
      </c>
      <c r="J385" s="8" t="s">
        <v>2349</v>
      </c>
      <c r="K385" t="s">
        <v>784</v>
      </c>
      <c r="L385" t="s">
        <v>785</v>
      </c>
      <c r="M385" t="s">
        <v>33</v>
      </c>
      <c r="N385">
        <f t="shared" si="18"/>
        <v>10</v>
      </c>
      <c r="O385">
        <v>3</v>
      </c>
      <c r="P385" s="6">
        <v>131.84</v>
      </c>
      <c r="Q385">
        <v>0</v>
      </c>
      <c r="R385">
        <v>395.52</v>
      </c>
      <c r="S385">
        <v>19.78</v>
      </c>
      <c r="T385">
        <v>30</v>
      </c>
      <c r="U385">
        <v>10</v>
      </c>
      <c r="V385">
        <v>455.3</v>
      </c>
      <c r="W385" t="s">
        <v>27</v>
      </c>
      <c r="X385">
        <v>23</v>
      </c>
    </row>
    <row r="386" spans="1:24" ht="14.25" customHeight="1">
      <c r="A386" t="s">
        <v>1134</v>
      </c>
      <c r="B386" t="s">
        <v>2300</v>
      </c>
      <c r="C386" s="6" t="str">
        <f t="shared" si="16"/>
        <v>January</v>
      </c>
      <c r="D386" s="6" t="str">
        <f t="shared" si="17"/>
        <v>18</v>
      </c>
      <c r="E386" t="s">
        <v>387</v>
      </c>
      <c r="F386" t="s">
        <v>101</v>
      </c>
      <c r="G386" t="s">
        <v>81</v>
      </c>
      <c r="H386" s="4" t="s">
        <v>2256</v>
      </c>
      <c r="I386">
        <v>269530</v>
      </c>
      <c r="J386" s="8" t="s">
        <v>2349</v>
      </c>
      <c r="K386" t="s">
        <v>788</v>
      </c>
      <c r="L386" t="s">
        <v>789</v>
      </c>
      <c r="M386" t="s">
        <v>177</v>
      </c>
      <c r="N386">
        <f t="shared" si="18"/>
        <v>5</v>
      </c>
      <c r="O386">
        <v>1</v>
      </c>
      <c r="P386" s="6">
        <v>93.71</v>
      </c>
      <c r="Q386">
        <v>9.3699999999999992</v>
      </c>
      <c r="R386">
        <v>84.339999999999989</v>
      </c>
      <c r="S386">
        <v>4.22</v>
      </c>
      <c r="T386">
        <v>30</v>
      </c>
      <c r="U386">
        <v>20</v>
      </c>
      <c r="V386">
        <v>138.56</v>
      </c>
      <c r="W386" t="s">
        <v>34</v>
      </c>
      <c r="X386">
        <v>25</v>
      </c>
    </row>
    <row r="387" spans="1:24" ht="14.25" customHeight="1">
      <c r="A387" t="s">
        <v>1135</v>
      </c>
      <c r="B387" t="s">
        <v>2279</v>
      </c>
      <c r="C387" s="6" t="str">
        <f t="shared" ref="C387:C450" si="19">TEXT(B387,"mmmm")</f>
        <v>January</v>
      </c>
      <c r="D387" s="6" t="str">
        <f t="shared" ref="D387:D450" si="20">TEXT(B387,"dd")</f>
        <v>02</v>
      </c>
      <c r="E387" t="s">
        <v>391</v>
      </c>
      <c r="F387" t="s">
        <v>21</v>
      </c>
      <c r="G387" t="s">
        <v>68</v>
      </c>
      <c r="H387" s="4" t="s">
        <v>2256</v>
      </c>
      <c r="I387">
        <v>526009</v>
      </c>
      <c r="J387" s="8" t="s">
        <v>30</v>
      </c>
      <c r="K387" t="s">
        <v>792</v>
      </c>
      <c r="L387" t="s">
        <v>793</v>
      </c>
      <c r="M387" t="s">
        <v>22</v>
      </c>
      <c r="N387">
        <f t="shared" si="18"/>
        <v>6</v>
      </c>
      <c r="O387">
        <v>3</v>
      </c>
      <c r="P387" s="6">
        <v>120.03</v>
      </c>
      <c r="Q387">
        <v>0</v>
      </c>
      <c r="R387">
        <v>360.09</v>
      </c>
      <c r="S387">
        <v>18</v>
      </c>
      <c r="T387">
        <v>30</v>
      </c>
      <c r="U387">
        <v>5</v>
      </c>
      <c r="V387">
        <v>413.09</v>
      </c>
      <c r="W387" t="s">
        <v>27</v>
      </c>
      <c r="X387">
        <v>31</v>
      </c>
    </row>
    <row r="388" spans="1:24" ht="14.25" customHeight="1">
      <c r="A388" t="s">
        <v>1136</v>
      </c>
      <c r="B388" t="s">
        <v>2309</v>
      </c>
      <c r="C388" s="6" t="str">
        <f t="shared" si="19"/>
        <v>February</v>
      </c>
      <c r="D388" s="6" t="str">
        <f t="shared" si="20"/>
        <v>23</v>
      </c>
      <c r="E388" t="s">
        <v>395</v>
      </c>
      <c r="F388" t="s">
        <v>21</v>
      </c>
      <c r="G388" t="s">
        <v>37</v>
      </c>
      <c r="H388" s="4" t="s">
        <v>2256</v>
      </c>
      <c r="I388">
        <v>656718</v>
      </c>
      <c r="J388" s="8" t="s">
        <v>62</v>
      </c>
      <c r="K388" t="s">
        <v>796</v>
      </c>
      <c r="L388" t="s">
        <v>797</v>
      </c>
      <c r="M388" t="s">
        <v>140</v>
      </c>
      <c r="N388">
        <f t="shared" si="18"/>
        <v>3</v>
      </c>
      <c r="O388">
        <v>1</v>
      </c>
      <c r="P388" s="6">
        <v>107.43</v>
      </c>
      <c r="Q388">
        <v>5.37</v>
      </c>
      <c r="R388">
        <v>102.06</v>
      </c>
      <c r="S388">
        <v>5.0999999999999996</v>
      </c>
      <c r="T388">
        <v>30</v>
      </c>
      <c r="U388">
        <v>20</v>
      </c>
      <c r="V388">
        <v>157.16</v>
      </c>
      <c r="W388" t="s">
        <v>27</v>
      </c>
      <c r="X388">
        <v>19</v>
      </c>
    </row>
    <row r="389" spans="1:24" ht="14.25" customHeight="1">
      <c r="A389" t="s">
        <v>1137</v>
      </c>
      <c r="B389" t="s">
        <v>2306</v>
      </c>
      <c r="C389" s="6" t="str">
        <f t="shared" si="19"/>
        <v>February</v>
      </c>
      <c r="D389" s="6" t="str">
        <f t="shared" si="20"/>
        <v>04</v>
      </c>
      <c r="E389" t="s">
        <v>399</v>
      </c>
      <c r="F389" t="s">
        <v>21</v>
      </c>
      <c r="G389" t="s">
        <v>106</v>
      </c>
      <c r="H389" s="4" t="s">
        <v>2256</v>
      </c>
      <c r="I389">
        <v>118990</v>
      </c>
      <c r="J389" s="8" t="s">
        <v>2348</v>
      </c>
      <c r="K389" t="s">
        <v>800</v>
      </c>
      <c r="L389" t="s">
        <v>801</v>
      </c>
      <c r="M389" t="s">
        <v>40</v>
      </c>
      <c r="N389">
        <f t="shared" si="18"/>
        <v>6</v>
      </c>
      <c r="O389">
        <v>2</v>
      </c>
      <c r="P389" s="6">
        <v>9.8800000000000008</v>
      </c>
      <c r="Q389">
        <v>0.49</v>
      </c>
      <c r="R389">
        <v>19.27</v>
      </c>
      <c r="S389">
        <v>0.96</v>
      </c>
      <c r="T389">
        <v>0</v>
      </c>
      <c r="U389">
        <v>20</v>
      </c>
      <c r="V389">
        <v>40.229999999999997</v>
      </c>
      <c r="W389" t="s">
        <v>27</v>
      </c>
      <c r="X389">
        <v>38</v>
      </c>
    </row>
    <row r="390" spans="1:24" ht="14.25" customHeight="1">
      <c r="A390" t="s">
        <v>1138</v>
      </c>
      <c r="B390" t="s">
        <v>2292</v>
      </c>
      <c r="C390" s="6" t="str">
        <f t="shared" si="19"/>
        <v>January</v>
      </c>
      <c r="D390" s="6" t="str">
        <f t="shared" si="20"/>
        <v>16</v>
      </c>
      <c r="E390" t="s">
        <v>403</v>
      </c>
      <c r="F390" t="s">
        <v>21</v>
      </c>
      <c r="G390" t="s">
        <v>74</v>
      </c>
      <c r="H390" s="4" t="s">
        <v>2256</v>
      </c>
      <c r="I390">
        <v>593216</v>
      </c>
      <c r="J390" s="8" t="s">
        <v>30</v>
      </c>
      <c r="K390" t="s">
        <v>804</v>
      </c>
      <c r="L390" t="s">
        <v>805</v>
      </c>
      <c r="M390" t="s">
        <v>50</v>
      </c>
      <c r="N390">
        <f t="shared" si="18"/>
        <v>5</v>
      </c>
      <c r="O390">
        <v>4</v>
      </c>
      <c r="P390" s="6">
        <v>100.48</v>
      </c>
      <c r="Q390">
        <v>10.050000000000001</v>
      </c>
      <c r="R390">
        <v>391.87</v>
      </c>
      <c r="S390">
        <v>19.59</v>
      </c>
      <c r="T390">
        <v>10</v>
      </c>
      <c r="U390">
        <v>10</v>
      </c>
      <c r="V390">
        <v>431.46</v>
      </c>
      <c r="W390" t="s">
        <v>27</v>
      </c>
      <c r="X390">
        <v>22</v>
      </c>
    </row>
    <row r="391" spans="1:24" ht="14.25" customHeight="1">
      <c r="A391" t="s">
        <v>1139</v>
      </c>
      <c r="B391" t="s">
        <v>2315</v>
      </c>
      <c r="C391" s="6" t="str">
        <f t="shared" si="19"/>
        <v>February</v>
      </c>
      <c r="D391" s="6" t="str">
        <f t="shared" si="20"/>
        <v>10</v>
      </c>
      <c r="E391" t="s">
        <v>407</v>
      </c>
      <c r="F391" t="s">
        <v>21</v>
      </c>
      <c r="G391" t="s">
        <v>22</v>
      </c>
      <c r="H391" s="4" t="s">
        <v>2256</v>
      </c>
      <c r="I391">
        <v>184703</v>
      </c>
      <c r="J391" s="8" t="s">
        <v>2345</v>
      </c>
      <c r="K391" t="s">
        <v>808</v>
      </c>
      <c r="L391" t="s">
        <v>809</v>
      </c>
      <c r="M391" t="s">
        <v>65</v>
      </c>
      <c r="N391">
        <f t="shared" si="18"/>
        <v>6</v>
      </c>
      <c r="O391">
        <v>3</v>
      </c>
      <c r="P391" s="6">
        <v>160.37</v>
      </c>
      <c r="Q391">
        <v>16.04</v>
      </c>
      <c r="R391">
        <v>465.07</v>
      </c>
      <c r="S391">
        <v>23.25</v>
      </c>
      <c r="T391">
        <v>0</v>
      </c>
      <c r="U391">
        <v>5</v>
      </c>
      <c r="V391">
        <v>493.32</v>
      </c>
      <c r="W391" t="s">
        <v>27</v>
      </c>
      <c r="X391">
        <v>23</v>
      </c>
    </row>
    <row r="392" spans="1:24" ht="14.25" customHeight="1">
      <c r="A392" t="s">
        <v>1140</v>
      </c>
      <c r="B392" t="s">
        <v>2275</v>
      </c>
      <c r="C392" s="6" t="str">
        <f t="shared" si="19"/>
        <v>February</v>
      </c>
      <c r="D392" s="6" t="str">
        <f t="shared" si="20"/>
        <v>05</v>
      </c>
      <c r="E392" t="s">
        <v>411</v>
      </c>
      <c r="F392" t="s">
        <v>21</v>
      </c>
      <c r="G392" t="s">
        <v>37</v>
      </c>
      <c r="H392" s="4" t="s">
        <v>2256</v>
      </c>
      <c r="I392">
        <v>953900</v>
      </c>
      <c r="J392" s="8" t="s">
        <v>30</v>
      </c>
      <c r="K392" t="s">
        <v>812</v>
      </c>
      <c r="L392" t="s">
        <v>813</v>
      </c>
      <c r="M392" t="s">
        <v>50</v>
      </c>
      <c r="N392">
        <f t="shared" si="18"/>
        <v>5</v>
      </c>
      <c r="O392">
        <v>3</v>
      </c>
      <c r="P392" s="6">
        <v>99.61</v>
      </c>
      <c r="Q392">
        <v>14.94</v>
      </c>
      <c r="R392">
        <v>283.89</v>
      </c>
      <c r="S392">
        <v>14.19</v>
      </c>
      <c r="T392">
        <v>10</v>
      </c>
      <c r="U392">
        <v>20</v>
      </c>
      <c r="V392">
        <v>328.08</v>
      </c>
      <c r="W392" t="s">
        <v>34</v>
      </c>
      <c r="X392">
        <v>25</v>
      </c>
    </row>
    <row r="393" spans="1:24" ht="14.25" customHeight="1">
      <c r="A393" t="s">
        <v>1141</v>
      </c>
      <c r="B393" t="s">
        <v>2284</v>
      </c>
      <c r="C393" s="6" t="str">
        <f t="shared" si="19"/>
        <v>February</v>
      </c>
      <c r="D393" s="6" t="str">
        <f t="shared" si="20"/>
        <v>02</v>
      </c>
      <c r="E393" t="s">
        <v>415</v>
      </c>
      <c r="F393" t="s">
        <v>21</v>
      </c>
      <c r="G393" t="s">
        <v>22</v>
      </c>
      <c r="H393" s="4" t="s">
        <v>2256</v>
      </c>
      <c r="I393">
        <v>667815</v>
      </c>
      <c r="J393" s="8" t="s">
        <v>62</v>
      </c>
      <c r="K393" t="s">
        <v>816</v>
      </c>
      <c r="L393" t="s">
        <v>817</v>
      </c>
      <c r="M393" t="s">
        <v>140</v>
      </c>
      <c r="N393">
        <f t="shared" si="18"/>
        <v>3</v>
      </c>
      <c r="O393">
        <v>2</v>
      </c>
      <c r="P393" s="6">
        <v>156.19</v>
      </c>
      <c r="Q393">
        <v>0</v>
      </c>
      <c r="R393">
        <v>312.38</v>
      </c>
      <c r="S393">
        <v>15.62</v>
      </c>
      <c r="T393">
        <v>20</v>
      </c>
      <c r="U393">
        <v>20</v>
      </c>
      <c r="V393">
        <v>368</v>
      </c>
      <c r="W393" t="s">
        <v>27</v>
      </c>
      <c r="X393">
        <v>35</v>
      </c>
    </row>
    <row r="394" spans="1:24" ht="14.25" customHeight="1">
      <c r="A394" t="s">
        <v>1142</v>
      </c>
      <c r="B394" t="s">
        <v>2301</v>
      </c>
      <c r="C394" s="6" t="str">
        <f t="shared" si="19"/>
        <v>January</v>
      </c>
      <c r="D394" s="6" t="str">
        <f t="shared" si="20"/>
        <v>04</v>
      </c>
      <c r="E394" t="s">
        <v>419</v>
      </c>
      <c r="F394" t="s">
        <v>21</v>
      </c>
      <c r="G394" t="s">
        <v>106</v>
      </c>
      <c r="H394" s="4" t="s">
        <v>2256</v>
      </c>
      <c r="I394">
        <v>375011</v>
      </c>
      <c r="J394" s="8" t="s">
        <v>2348</v>
      </c>
      <c r="K394" t="s">
        <v>820</v>
      </c>
      <c r="L394" t="s">
        <v>821</v>
      </c>
      <c r="M394" t="s">
        <v>177</v>
      </c>
      <c r="N394">
        <f t="shared" si="18"/>
        <v>5</v>
      </c>
      <c r="O394">
        <v>4</v>
      </c>
      <c r="P394" s="6">
        <v>15.37</v>
      </c>
      <c r="Q394">
        <v>0</v>
      </c>
      <c r="R394">
        <v>61.48</v>
      </c>
      <c r="S394">
        <v>3.07</v>
      </c>
      <c r="T394">
        <v>0</v>
      </c>
      <c r="U394">
        <v>10</v>
      </c>
      <c r="V394">
        <v>74.55</v>
      </c>
      <c r="W394" t="s">
        <v>34</v>
      </c>
      <c r="X394">
        <v>25</v>
      </c>
    </row>
    <row r="395" spans="1:24" ht="14.25" customHeight="1">
      <c r="A395" t="s">
        <v>1143</v>
      </c>
      <c r="B395" t="s">
        <v>2284</v>
      </c>
      <c r="C395" s="6" t="str">
        <f t="shared" si="19"/>
        <v>February</v>
      </c>
      <c r="D395" s="6" t="str">
        <f t="shared" si="20"/>
        <v>02</v>
      </c>
      <c r="E395" t="s">
        <v>423</v>
      </c>
      <c r="F395" t="s">
        <v>101</v>
      </c>
      <c r="G395" t="s">
        <v>81</v>
      </c>
      <c r="H395" s="4" t="s">
        <v>2256</v>
      </c>
      <c r="I395">
        <v>950193</v>
      </c>
      <c r="J395" s="8" t="s">
        <v>2346</v>
      </c>
      <c r="K395" t="s">
        <v>824</v>
      </c>
      <c r="L395" t="s">
        <v>825</v>
      </c>
      <c r="M395" t="s">
        <v>77</v>
      </c>
      <c r="N395">
        <f t="shared" si="18"/>
        <v>5</v>
      </c>
      <c r="O395">
        <v>3</v>
      </c>
      <c r="P395" s="6">
        <v>106.28</v>
      </c>
      <c r="Q395">
        <v>0</v>
      </c>
      <c r="R395">
        <v>318.83999999999997</v>
      </c>
      <c r="S395">
        <v>15.94</v>
      </c>
      <c r="T395">
        <v>10</v>
      </c>
      <c r="U395">
        <v>5</v>
      </c>
      <c r="V395">
        <v>349.78</v>
      </c>
      <c r="W395" t="s">
        <v>27</v>
      </c>
      <c r="X395">
        <v>15</v>
      </c>
    </row>
    <row r="396" spans="1:24" ht="14.25" customHeight="1">
      <c r="A396" t="s">
        <v>1144</v>
      </c>
      <c r="B396" t="s">
        <v>2302</v>
      </c>
      <c r="C396" s="6" t="str">
        <f t="shared" si="19"/>
        <v>January</v>
      </c>
      <c r="D396" s="6" t="str">
        <f t="shared" si="20"/>
        <v>14</v>
      </c>
      <c r="E396" t="s">
        <v>427</v>
      </c>
      <c r="F396" t="s">
        <v>21</v>
      </c>
      <c r="G396" t="s">
        <v>68</v>
      </c>
      <c r="H396" s="4" t="s">
        <v>2256</v>
      </c>
      <c r="I396">
        <v>360220</v>
      </c>
      <c r="J396" s="8" t="s">
        <v>2345</v>
      </c>
      <c r="K396" t="s">
        <v>828</v>
      </c>
      <c r="L396" t="s">
        <v>829</v>
      </c>
      <c r="M396" t="s">
        <v>135</v>
      </c>
      <c r="N396">
        <f t="shared" si="18"/>
        <v>9</v>
      </c>
      <c r="O396">
        <v>7</v>
      </c>
      <c r="P396" s="6">
        <v>167.08</v>
      </c>
      <c r="Q396">
        <v>8.35</v>
      </c>
      <c r="R396">
        <v>1161.21</v>
      </c>
      <c r="S396">
        <v>58.06</v>
      </c>
      <c r="T396">
        <v>10</v>
      </c>
      <c r="U396">
        <v>5</v>
      </c>
      <c r="V396">
        <v>1234.27</v>
      </c>
      <c r="W396" t="s">
        <v>27</v>
      </c>
      <c r="X396">
        <v>31</v>
      </c>
    </row>
    <row r="397" spans="1:24" ht="14.25" customHeight="1">
      <c r="A397" t="s">
        <v>1145</v>
      </c>
      <c r="B397" t="s">
        <v>2268</v>
      </c>
      <c r="C397" s="6" t="str">
        <f t="shared" si="19"/>
        <v>January</v>
      </c>
      <c r="D397" s="6" t="str">
        <f t="shared" si="20"/>
        <v>21</v>
      </c>
      <c r="E397" t="s">
        <v>431</v>
      </c>
      <c r="F397" t="s">
        <v>21</v>
      </c>
      <c r="G397" t="s">
        <v>68</v>
      </c>
      <c r="H397" s="4" t="s">
        <v>2256</v>
      </c>
      <c r="I397">
        <v>316204</v>
      </c>
      <c r="J397" s="8" t="s">
        <v>30</v>
      </c>
      <c r="K397" t="s">
        <v>832</v>
      </c>
      <c r="L397" t="s">
        <v>833</v>
      </c>
      <c r="M397" t="s">
        <v>26</v>
      </c>
      <c r="N397">
        <f t="shared" ref="N397:N460" si="21">LEN(M397)</f>
        <v>3</v>
      </c>
      <c r="O397">
        <v>3</v>
      </c>
      <c r="P397" s="6">
        <v>241.07</v>
      </c>
      <c r="Q397">
        <v>24.11</v>
      </c>
      <c r="R397">
        <v>699.1</v>
      </c>
      <c r="S397">
        <v>34.96</v>
      </c>
      <c r="T397">
        <v>30</v>
      </c>
      <c r="U397">
        <v>15</v>
      </c>
      <c r="V397">
        <v>779.06000000000006</v>
      </c>
      <c r="W397" t="s">
        <v>117</v>
      </c>
      <c r="X397">
        <v>25</v>
      </c>
    </row>
    <row r="398" spans="1:24" ht="14.25" customHeight="1">
      <c r="A398" t="s">
        <v>1146</v>
      </c>
      <c r="B398" t="s">
        <v>2313</v>
      </c>
      <c r="C398" s="6" t="str">
        <f t="shared" si="19"/>
        <v>February</v>
      </c>
      <c r="D398" s="6" t="str">
        <f t="shared" si="20"/>
        <v>17</v>
      </c>
      <c r="E398" t="s">
        <v>435</v>
      </c>
      <c r="F398" t="s">
        <v>21</v>
      </c>
      <c r="G398" t="s">
        <v>74</v>
      </c>
      <c r="H398" s="4" t="s">
        <v>2256</v>
      </c>
      <c r="I398">
        <v>524528</v>
      </c>
      <c r="J398" s="8" t="s">
        <v>2348</v>
      </c>
      <c r="K398" t="s">
        <v>836</v>
      </c>
      <c r="L398" t="s">
        <v>837</v>
      </c>
      <c r="M398" t="s">
        <v>89</v>
      </c>
      <c r="N398">
        <f t="shared" si="21"/>
        <v>7</v>
      </c>
      <c r="O398">
        <v>3</v>
      </c>
      <c r="P398" s="6">
        <v>162.91999999999999</v>
      </c>
      <c r="Q398">
        <v>16.29</v>
      </c>
      <c r="R398">
        <v>472.47</v>
      </c>
      <c r="S398">
        <v>23.62</v>
      </c>
      <c r="T398">
        <v>30</v>
      </c>
      <c r="U398">
        <v>15</v>
      </c>
      <c r="V398">
        <v>541.08999999999992</v>
      </c>
      <c r="W398" t="s">
        <v>27</v>
      </c>
      <c r="X398">
        <v>32</v>
      </c>
    </row>
    <row r="399" spans="1:24" ht="14.25" customHeight="1">
      <c r="A399" t="s">
        <v>1147</v>
      </c>
      <c r="B399" t="s">
        <v>2305</v>
      </c>
      <c r="C399" s="6" t="str">
        <f t="shared" si="19"/>
        <v>January</v>
      </c>
      <c r="D399" s="6" t="str">
        <f t="shared" si="20"/>
        <v>20</v>
      </c>
      <c r="E399" t="s">
        <v>439</v>
      </c>
      <c r="F399" t="s">
        <v>21</v>
      </c>
      <c r="G399" t="s">
        <v>37</v>
      </c>
      <c r="H399" s="4" t="s">
        <v>2256</v>
      </c>
      <c r="I399">
        <v>599797</v>
      </c>
      <c r="J399" s="8" t="s">
        <v>30</v>
      </c>
      <c r="K399" t="s">
        <v>840</v>
      </c>
      <c r="L399" t="s">
        <v>841</v>
      </c>
      <c r="M399" t="s">
        <v>77</v>
      </c>
      <c r="N399">
        <f t="shared" si="21"/>
        <v>5</v>
      </c>
      <c r="O399">
        <v>2</v>
      </c>
      <c r="P399" s="6">
        <v>131.53</v>
      </c>
      <c r="Q399">
        <v>0</v>
      </c>
      <c r="R399">
        <v>263.06</v>
      </c>
      <c r="S399">
        <v>13.15</v>
      </c>
      <c r="T399">
        <v>10</v>
      </c>
      <c r="U399">
        <v>10</v>
      </c>
      <c r="V399">
        <v>296.20999999999998</v>
      </c>
      <c r="W399" t="s">
        <v>84</v>
      </c>
      <c r="X399">
        <v>25</v>
      </c>
    </row>
    <row r="400" spans="1:24" ht="14.25" customHeight="1">
      <c r="A400" t="s">
        <v>1148</v>
      </c>
      <c r="B400" t="s">
        <v>2320</v>
      </c>
      <c r="C400" s="6" t="str">
        <f t="shared" si="19"/>
        <v>February</v>
      </c>
      <c r="D400" s="6" t="str">
        <f t="shared" si="20"/>
        <v>25</v>
      </c>
      <c r="E400" t="s">
        <v>443</v>
      </c>
      <c r="F400" t="s">
        <v>21</v>
      </c>
      <c r="G400" t="s">
        <v>37</v>
      </c>
      <c r="H400" s="4" t="s">
        <v>2256</v>
      </c>
      <c r="I400">
        <v>511236</v>
      </c>
      <c r="J400" s="8" t="s">
        <v>2348</v>
      </c>
      <c r="K400" t="s">
        <v>844</v>
      </c>
      <c r="L400" t="s">
        <v>845</v>
      </c>
      <c r="M400" t="s">
        <v>71</v>
      </c>
      <c r="N400">
        <f t="shared" si="21"/>
        <v>6</v>
      </c>
      <c r="O400">
        <v>3</v>
      </c>
      <c r="P400" s="6">
        <v>212.94</v>
      </c>
      <c r="Q400">
        <v>0</v>
      </c>
      <c r="R400">
        <v>638.81999999999994</v>
      </c>
      <c r="S400">
        <v>31.94</v>
      </c>
      <c r="T400">
        <v>10</v>
      </c>
      <c r="U400">
        <v>20</v>
      </c>
      <c r="V400">
        <v>700.76</v>
      </c>
      <c r="W400" t="s">
        <v>27</v>
      </c>
      <c r="X400">
        <v>34</v>
      </c>
    </row>
    <row r="401" spans="1:24" ht="14.25" customHeight="1">
      <c r="A401" t="s">
        <v>1149</v>
      </c>
      <c r="B401" t="s">
        <v>2267</v>
      </c>
      <c r="C401" s="6" t="str">
        <f t="shared" si="19"/>
        <v>January</v>
      </c>
      <c r="D401" s="6" t="str">
        <f t="shared" si="20"/>
        <v>08</v>
      </c>
      <c r="E401" t="s">
        <v>447</v>
      </c>
      <c r="F401" t="s">
        <v>21</v>
      </c>
      <c r="G401" t="s">
        <v>37</v>
      </c>
      <c r="H401" s="4" t="s">
        <v>2256</v>
      </c>
      <c r="I401">
        <v>470858</v>
      </c>
      <c r="J401" s="8" t="s">
        <v>2346</v>
      </c>
      <c r="K401" t="s">
        <v>848</v>
      </c>
      <c r="L401" t="s">
        <v>849</v>
      </c>
      <c r="M401" t="s">
        <v>55</v>
      </c>
      <c r="N401">
        <f t="shared" si="21"/>
        <v>5</v>
      </c>
      <c r="O401">
        <v>6</v>
      </c>
      <c r="P401" s="6">
        <v>129.88999999999999</v>
      </c>
      <c r="Q401">
        <v>19.48</v>
      </c>
      <c r="R401">
        <v>759.8599999999999</v>
      </c>
      <c r="S401">
        <v>37.99</v>
      </c>
      <c r="T401">
        <v>30</v>
      </c>
      <c r="U401">
        <v>20</v>
      </c>
      <c r="V401">
        <v>847.84999999999991</v>
      </c>
      <c r="W401" t="s">
        <v>27</v>
      </c>
      <c r="X401">
        <v>25</v>
      </c>
    </row>
    <row r="402" spans="1:24" ht="14.25" customHeight="1">
      <c r="A402" t="s">
        <v>1150</v>
      </c>
      <c r="B402" t="s">
        <v>2298</v>
      </c>
      <c r="C402" s="6" t="str">
        <f t="shared" si="19"/>
        <v>January</v>
      </c>
      <c r="D402" s="6" t="str">
        <f t="shared" si="20"/>
        <v>07</v>
      </c>
      <c r="E402" t="s">
        <v>451</v>
      </c>
      <c r="F402" t="s">
        <v>21</v>
      </c>
      <c r="G402" t="s">
        <v>68</v>
      </c>
      <c r="H402" s="4" t="s">
        <v>2256</v>
      </c>
      <c r="I402">
        <v>858108</v>
      </c>
      <c r="J402" s="8" t="s">
        <v>2347</v>
      </c>
      <c r="K402" t="s">
        <v>24</v>
      </c>
      <c r="L402" t="s">
        <v>25</v>
      </c>
      <c r="M402" t="s">
        <v>98</v>
      </c>
      <c r="N402">
        <f t="shared" si="21"/>
        <v>4</v>
      </c>
      <c r="O402">
        <v>4</v>
      </c>
      <c r="P402" s="6">
        <v>160.62</v>
      </c>
      <c r="Q402">
        <v>16.059999999999999</v>
      </c>
      <c r="R402">
        <v>626.42000000000007</v>
      </c>
      <c r="S402">
        <v>31.32</v>
      </c>
      <c r="T402">
        <v>30</v>
      </c>
      <c r="U402">
        <v>10</v>
      </c>
      <c r="V402">
        <v>697.74000000000012</v>
      </c>
      <c r="W402" t="s">
        <v>27</v>
      </c>
      <c r="X402">
        <v>20</v>
      </c>
    </row>
    <row r="403" spans="1:24" ht="14.25" customHeight="1">
      <c r="A403" t="s">
        <v>1151</v>
      </c>
      <c r="B403" t="s">
        <v>2277</v>
      </c>
      <c r="C403" s="6" t="str">
        <f t="shared" si="19"/>
        <v>January</v>
      </c>
      <c r="D403" s="6" t="str">
        <f t="shared" si="20"/>
        <v>03</v>
      </c>
      <c r="E403" t="s">
        <v>455</v>
      </c>
      <c r="F403" t="s">
        <v>80</v>
      </c>
      <c r="G403" t="s">
        <v>81</v>
      </c>
      <c r="H403" s="4" t="s">
        <v>2256</v>
      </c>
      <c r="I403">
        <v>168323</v>
      </c>
      <c r="J403" s="8" t="s">
        <v>30</v>
      </c>
      <c r="K403" t="s">
        <v>31</v>
      </c>
      <c r="L403" t="s">
        <v>32</v>
      </c>
      <c r="M403" t="s">
        <v>40</v>
      </c>
      <c r="N403">
        <f t="shared" si="21"/>
        <v>6</v>
      </c>
      <c r="O403">
        <v>2</v>
      </c>
      <c r="P403" s="6">
        <v>137.87</v>
      </c>
      <c r="Q403">
        <v>0</v>
      </c>
      <c r="R403">
        <v>275.74</v>
      </c>
      <c r="S403">
        <v>13.79</v>
      </c>
      <c r="T403">
        <v>0</v>
      </c>
      <c r="U403">
        <v>15</v>
      </c>
      <c r="V403">
        <v>304.52999999999997</v>
      </c>
      <c r="W403" t="s">
        <v>34</v>
      </c>
      <c r="X403">
        <v>25</v>
      </c>
    </row>
    <row r="404" spans="1:24" ht="14.25" customHeight="1">
      <c r="A404" t="s">
        <v>1152</v>
      </c>
      <c r="B404" t="s">
        <v>2307</v>
      </c>
      <c r="C404" s="6" t="str">
        <f t="shared" si="19"/>
        <v>January</v>
      </c>
      <c r="D404" s="6" t="str">
        <f t="shared" si="20"/>
        <v>17</v>
      </c>
      <c r="E404" t="s">
        <v>459</v>
      </c>
      <c r="F404" t="s">
        <v>101</v>
      </c>
      <c r="G404" t="s">
        <v>81</v>
      </c>
      <c r="H404" s="4" t="s">
        <v>2256</v>
      </c>
      <c r="I404">
        <v>155841</v>
      </c>
      <c r="J404" s="8" t="s">
        <v>30</v>
      </c>
      <c r="K404" t="s">
        <v>38</v>
      </c>
      <c r="L404" t="s">
        <v>39</v>
      </c>
      <c r="M404" t="s">
        <v>140</v>
      </c>
      <c r="N404">
        <f t="shared" si="21"/>
        <v>3</v>
      </c>
      <c r="O404">
        <v>4</v>
      </c>
      <c r="P404" s="6">
        <v>82.8</v>
      </c>
      <c r="Q404">
        <v>0</v>
      </c>
      <c r="R404">
        <v>331.2</v>
      </c>
      <c r="S404">
        <v>16.559999999999999</v>
      </c>
      <c r="T404">
        <v>30</v>
      </c>
      <c r="U404">
        <v>0</v>
      </c>
      <c r="V404">
        <v>377.76</v>
      </c>
      <c r="W404" t="s">
        <v>27</v>
      </c>
      <c r="X404">
        <v>49</v>
      </c>
    </row>
    <row r="405" spans="1:24" ht="14.25" customHeight="1">
      <c r="A405" t="s">
        <v>1153</v>
      </c>
      <c r="B405" t="s">
        <v>2284</v>
      </c>
      <c r="C405" s="6" t="str">
        <f t="shared" si="19"/>
        <v>February</v>
      </c>
      <c r="D405" s="6" t="str">
        <f t="shared" si="20"/>
        <v>02</v>
      </c>
      <c r="E405" t="s">
        <v>463</v>
      </c>
      <c r="F405" t="s">
        <v>80</v>
      </c>
      <c r="G405" t="s">
        <v>81</v>
      </c>
      <c r="H405" s="4" t="s">
        <v>2256</v>
      </c>
      <c r="I405">
        <v>103696</v>
      </c>
      <c r="J405" s="8" t="s">
        <v>30</v>
      </c>
      <c r="K405" t="s">
        <v>43</v>
      </c>
      <c r="L405" t="s">
        <v>44</v>
      </c>
      <c r="M405" t="s">
        <v>65</v>
      </c>
      <c r="N405">
        <f t="shared" si="21"/>
        <v>6</v>
      </c>
      <c r="O405">
        <v>4</v>
      </c>
      <c r="P405" s="6">
        <v>226.37</v>
      </c>
      <c r="Q405">
        <v>11.32</v>
      </c>
      <c r="R405">
        <v>894.16</v>
      </c>
      <c r="S405">
        <v>44.71</v>
      </c>
      <c r="T405">
        <v>10</v>
      </c>
      <c r="U405">
        <v>15</v>
      </c>
      <c r="V405">
        <v>963.87</v>
      </c>
      <c r="W405" t="s">
        <v>27</v>
      </c>
      <c r="X405">
        <v>25</v>
      </c>
    </row>
    <row r="406" spans="1:24" ht="14.25" customHeight="1">
      <c r="A406" t="s">
        <v>1154</v>
      </c>
      <c r="B406" t="s">
        <v>2313</v>
      </c>
      <c r="C406" s="6" t="str">
        <f t="shared" si="19"/>
        <v>February</v>
      </c>
      <c r="D406" s="6" t="str">
        <f t="shared" si="20"/>
        <v>17</v>
      </c>
      <c r="E406" t="s">
        <v>467</v>
      </c>
      <c r="F406" t="s">
        <v>21</v>
      </c>
      <c r="G406" t="s">
        <v>74</v>
      </c>
      <c r="H406" s="4" t="s">
        <v>2256</v>
      </c>
      <c r="I406">
        <v>939953</v>
      </c>
      <c r="J406" s="8" t="s">
        <v>30</v>
      </c>
      <c r="K406" t="s">
        <v>48</v>
      </c>
      <c r="L406" t="s">
        <v>49</v>
      </c>
      <c r="M406" t="s">
        <v>50</v>
      </c>
      <c r="N406">
        <f t="shared" si="21"/>
        <v>5</v>
      </c>
      <c r="O406">
        <v>3</v>
      </c>
      <c r="P406" s="6">
        <v>208.22</v>
      </c>
      <c r="Q406">
        <v>20.82</v>
      </c>
      <c r="R406">
        <v>603.83999999999992</v>
      </c>
      <c r="S406">
        <v>30.19</v>
      </c>
      <c r="T406">
        <v>10</v>
      </c>
      <c r="U406">
        <v>10</v>
      </c>
      <c r="V406">
        <v>654.03</v>
      </c>
      <c r="W406" t="s">
        <v>34</v>
      </c>
      <c r="X406">
        <v>25</v>
      </c>
    </row>
    <row r="407" spans="1:24" ht="14.25" customHeight="1">
      <c r="A407" t="s">
        <v>1155</v>
      </c>
      <c r="B407" t="s">
        <v>2285</v>
      </c>
      <c r="C407" s="6" t="str">
        <f t="shared" si="19"/>
        <v>January</v>
      </c>
      <c r="D407" s="6" t="str">
        <f t="shared" si="20"/>
        <v>12</v>
      </c>
      <c r="E407" t="s">
        <v>471</v>
      </c>
      <c r="F407" t="s">
        <v>21</v>
      </c>
      <c r="G407" t="s">
        <v>37</v>
      </c>
      <c r="H407" s="4" t="s">
        <v>2256</v>
      </c>
      <c r="I407">
        <v>867876</v>
      </c>
      <c r="J407" s="8" t="s">
        <v>2346</v>
      </c>
      <c r="K407" t="s">
        <v>53</v>
      </c>
      <c r="L407" t="s">
        <v>54</v>
      </c>
      <c r="M407" t="s">
        <v>130</v>
      </c>
      <c r="N407">
        <f t="shared" si="21"/>
        <v>7</v>
      </c>
      <c r="O407">
        <v>3</v>
      </c>
      <c r="P407" s="6">
        <v>166.1</v>
      </c>
      <c r="Q407">
        <v>0</v>
      </c>
      <c r="R407">
        <v>498.3</v>
      </c>
      <c r="S407">
        <v>24.91</v>
      </c>
      <c r="T407">
        <v>0</v>
      </c>
      <c r="U407">
        <v>0</v>
      </c>
      <c r="V407">
        <v>523.20999999999992</v>
      </c>
      <c r="W407" t="s">
        <v>27</v>
      </c>
      <c r="X407">
        <v>39</v>
      </c>
    </row>
    <row r="408" spans="1:24" ht="14.25" customHeight="1">
      <c r="A408" t="s">
        <v>1156</v>
      </c>
      <c r="B408" t="s">
        <v>2289</v>
      </c>
      <c r="C408" s="6" t="str">
        <f t="shared" si="19"/>
        <v>February</v>
      </c>
      <c r="D408" s="6" t="str">
        <f t="shared" si="20"/>
        <v>28</v>
      </c>
      <c r="E408" t="s">
        <v>475</v>
      </c>
      <c r="F408" t="s">
        <v>21</v>
      </c>
      <c r="G408" t="s">
        <v>106</v>
      </c>
      <c r="H408" s="4" t="s">
        <v>2256</v>
      </c>
      <c r="I408">
        <v>440676</v>
      </c>
      <c r="J408" s="8" t="s">
        <v>30</v>
      </c>
      <c r="K408" t="s">
        <v>58</v>
      </c>
      <c r="L408" t="s">
        <v>59</v>
      </c>
      <c r="M408" t="s">
        <v>55</v>
      </c>
      <c r="N408">
        <f t="shared" si="21"/>
        <v>5</v>
      </c>
      <c r="O408">
        <v>2</v>
      </c>
      <c r="P408" s="6">
        <v>171.88</v>
      </c>
      <c r="Q408">
        <v>8.59</v>
      </c>
      <c r="R408">
        <v>335.17</v>
      </c>
      <c r="S408">
        <v>16.760000000000002</v>
      </c>
      <c r="T408">
        <v>10</v>
      </c>
      <c r="U408">
        <v>15</v>
      </c>
      <c r="V408">
        <v>376.93</v>
      </c>
      <c r="W408" t="s">
        <v>34</v>
      </c>
      <c r="X408">
        <v>25</v>
      </c>
    </row>
    <row r="409" spans="1:24" ht="14.25" customHeight="1">
      <c r="A409" t="s">
        <v>1157</v>
      </c>
      <c r="B409" t="s">
        <v>2294</v>
      </c>
      <c r="C409" s="6" t="str">
        <f t="shared" si="19"/>
        <v>February</v>
      </c>
      <c r="D409" s="6" t="str">
        <f t="shared" si="20"/>
        <v>20</v>
      </c>
      <c r="E409" t="s">
        <v>479</v>
      </c>
      <c r="F409" t="s">
        <v>21</v>
      </c>
      <c r="G409" t="s">
        <v>68</v>
      </c>
      <c r="H409" s="4" t="s">
        <v>2256</v>
      </c>
      <c r="I409">
        <v>208946</v>
      </c>
      <c r="J409" s="8" t="s">
        <v>2348</v>
      </c>
      <c r="K409" t="s">
        <v>63</v>
      </c>
      <c r="L409" t="s">
        <v>64</v>
      </c>
      <c r="M409" t="s">
        <v>140</v>
      </c>
      <c r="N409">
        <f t="shared" si="21"/>
        <v>3</v>
      </c>
      <c r="O409">
        <v>3</v>
      </c>
      <c r="P409" s="6">
        <v>97.82</v>
      </c>
      <c r="Q409">
        <v>0</v>
      </c>
      <c r="R409">
        <v>293.45999999999998</v>
      </c>
      <c r="S409">
        <v>14.67</v>
      </c>
      <c r="T409">
        <v>20</v>
      </c>
      <c r="U409">
        <v>5</v>
      </c>
      <c r="V409">
        <v>333.13</v>
      </c>
      <c r="W409" t="s">
        <v>27</v>
      </c>
      <c r="X409">
        <v>36</v>
      </c>
    </row>
    <row r="410" spans="1:24" ht="14.25" customHeight="1">
      <c r="A410" t="s">
        <v>1158</v>
      </c>
      <c r="B410" t="s">
        <v>2278</v>
      </c>
      <c r="C410" s="6" t="str">
        <f t="shared" si="19"/>
        <v>January</v>
      </c>
      <c r="D410" s="6" t="str">
        <f t="shared" si="20"/>
        <v>22</v>
      </c>
      <c r="E410" t="s">
        <v>483</v>
      </c>
      <c r="F410" t="s">
        <v>21</v>
      </c>
      <c r="G410" t="s">
        <v>37</v>
      </c>
      <c r="H410" s="4" t="s">
        <v>2256</v>
      </c>
      <c r="I410">
        <v>728889</v>
      </c>
      <c r="J410" s="8" t="s">
        <v>30</v>
      </c>
      <c r="K410" t="s">
        <v>69</v>
      </c>
      <c r="L410" t="s">
        <v>70</v>
      </c>
      <c r="M410" t="s">
        <v>135</v>
      </c>
      <c r="N410">
        <f t="shared" si="21"/>
        <v>9</v>
      </c>
      <c r="O410">
        <v>4</v>
      </c>
      <c r="P410" s="6">
        <v>105.96</v>
      </c>
      <c r="Q410">
        <v>15.89</v>
      </c>
      <c r="R410">
        <v>407.95</v>
      </c>
      <c r="S410">
        <v>20.399999999999999</v>
      </c>
      <c r="T410">
        <v>20</v>
      </c>
      <c r="U410">
        <v>20</v>
      </c>
      <c r="V410">
        <v>468.35</v>
      </c>
      <c r="W410" t="s">
        <v>27</v>
      </c>
      <c r="X410">
        <v>29</v>
      </c>
    </row>
    <row r="411" spans="1:24" ht="14.25" customHeight="1">
      <c r="A411" t="s">
        <v>1159</v>
      </c>
      <c r="B411" t="s">
        <v>2295</v>
      </c>
      <c r="C411" s="6" t="str">
        <f t="shared" si="19"/>
        <v>February</v>
      </c>
      <c r="D411" s="6" t="str">
        <f t="shared" si="20"/>
        <v>24</v>
      </c>
      <c r="E411" t="s">
        <v>487</v>
      </c>
      <c r="F411" t="s">
        <v>21</v>
      </c>
      <c r="G411" t="s">
        <v>106</v>
      </c>
      <c r="H411" s="4" t="s">
        <v>2256</v>
      </c>
      <c r="I411">
        <v>882215</v>
      </c>
      <c r="J411" s="8" t="s">
        <v>2347</v>
      </c>
      <c r="K411" t="s">
        <v>75</v>
      </c>
      <c r="L411" t="s">
        <v>76</v>
      </c>
      <c r="M411" t="s">
        <v>130</v>
      </c>
      <c r="N411">
        <f t="shared" si="21"/>
        <v>7</v>
      </c>
      <c r="O411">
        <v>3</v>
      </c>
      <c r="P411" s="6">
        <v>97.01</v>
      </c>
      <c r="Q411">
        <v>4.8499999999999996</v>
      </c>
      <c r="R411">
        <v>286.18</v>
      </c>
      <c r="S411">
        <v>14.31</v>
      </c>
      <c r="T411">
        <v>0</v>
      </c>
      <c r="U411">
        <v>10</v>
      </c>
      <c r="V411">
        <v>310.49</v>
      </c>
      <c r="W411" t="s">
        <v>27</v>
      </c>
      <c r="X411">
        <v>16</v>
      </c>
    </row>
    <row r="412" spans="1:24" ht="14.25" customHeight="1">
      <c r="A412" t="s">
        <v>1160</v>
      </c>
      <c r="B412" t="s">
        <v>2278</v>
      </c>
      <c r="C412" s="6" t="str">
        <f t="shared" si="19"/>
        <v>January</v>
      </c>
      <c r="D412" s="6" t="str">
        <f t="shared" si="20"/>
        <v>22</v>
      </c>
      <c r="E412" t="s">
        <v>491</v>
      </c>
      <c r="F412" t="s">
        <v>21</v>
      </c>
      <c r="G412" t="s">
        <v>74</v>
      </c>
      <c r="H412" s="4" t="s">
        <v>2256</v>
      </c>
      <c r="I412">
        <v>507085</v>
      </c>
      <c r="J412" s="8" t="s">
        <v>62</v>
      </c>
      <c r="K412" t="s">
        <v>82</v>
      </c>
      <c r="L412" t="s">
        <v>83</v>
      </c>
      <c r="M412" t="s">
        <v>98</v>
      </c>
      <c r="N412">
        <f t="shared" si="21"/>
        <v>4</v>
      </c>
      <c r="O412">
        <v>7</v>
      </c>
      <c r="P412" s="6">
        <v>122.27</v>
      </c>
      <c r="Q412">
        <v>6.11</v>
      </c>
      <c r="R412">
        <v>849.78</v>
      </c>
      <c r="S412">
        <v>42.49</v>
      </c>
      <c r="T412">
        <v>20</v>
      </c>
      <c r="U412">
        <v>20</v>
      </c>
      <c r="V412">
        <v>932.27</v>
      </c>
      <c r="W412" t="s">
        <v>27</v>
      </c>
      <c r="X412">
        <v>30</v>
      </c>
    </row>
    <row r="413" spans="1:24" ht="14.25" customHeight="1">
      <c r="A413" t="s">
        <v>1161</v>
      </c>
      <c r="B413" t="s">
        <v>2321</v>
      </c>
      <c r="C413" s="6" t="str">
        <f t="shared" si="19"/>
        <v>February</v>
      </c>
      <c r="D413" s="6" t="str">
        <f t="shared" si="20"/>
        <v>15</v>
      </c>
      <c r="E413" t="s">
        <v>495</v>
      </c>
      <c r="F413" t="s">
        <v>101</v>
      </c>
      <c r="G413" t="s">
        <v>81</v>
      </c>
      <c r="H413" s="4" t="s">
        <v>2256</v>
      </c>
      <c r="I413">
        <v>471994</v>
      </c>
      <c r="J413" s="8" t="s">
        <v>2349</v>
      </c>
      <c r="K413" t="s">
        <v>87</v>
      </c>
      <c r="L413" t="s">
        <v>88</v>
      </c>
      <c r="M413" t="s">
        <v>65</v>
      </c>
      <c r="N413">
        <f t="shared" si="21"/>
        <v>6</v>
      </c>
      <c r="O413">
        <v>7</v>
      </c>
      <c r="P413" s="6">
        <v>120.41</v>
      </c>
      <c r="Q413">
        <v>12.04</v>
      </c>
      <c r="R413">
        <v>830.83</v>
      </c>
      <c r="S413">
        <v>41.54</v>
      </c>
      <c r="T413">
        <v>30</v>
      </c>
      <c r="U413">
        <v>15</v>
      </c>
      <c r="V413">
        <v>917.37</v>
      </c>
      <c r="W413" t="s">
        <v>34</v>
      </c>
      <c r="X413">
        <v>25</v>
      </c>
    </row>
    <row r="414" spans="1:24" ht="14.25" customHeight="1">
      <c r="A414" t="s">
        <v>1162</v>
      </c>
      <c r="B414" t="s">
        <v>2281</v>
      </c>
      <c r="C414" s="6" t="str">
        <f t="shared" si="19"/>
        <v>January</v>
      </c>
      <c r="D414" s="6" t="str">
        <f t="shared" si="20"/>
        <v>30</v>
      </c>
      <c r="E414" t="s">
        <v>499</v>
      </c>
      <c r="F414" t="s">
        <v>101</v>
      </c>
      <c r="G414" t="s">
        <v>81</v>
      </c>
      <c r="H414" s="4" t="s">
        <v>2256</v>
      </c>
      <c r="I414">
        <v>247745</v>
      </c>
      <c r="J414" s="8" t="s">
        <v>30</v>
      </c>
      <c r="K414" t="s">
        <v>92</v>
      </c>
      <c r="L414" t="s">
        <v>93</v>
      </c>
      <c r="M414" t="s">
        <v>55</v>
      </c>
      <c r="N414">
        <f t="shared" si="21"/>
        <v>5</v>
      </c>
      <c r="O414">
        <v>4</v>
      </c>
      <c r="P414" s="6">
        <v>131.08000000000001</v>
      </c>
      <c r="Q414">
        <v>6.55</v>
      </c>
      <c r="R414">
        <v>517.7700000000001</v>
      </c>
      <c r="S414">
        <v>25.89</v>
      </c>
      <c r="T414">
        <v>0</v>
      </c>
      <c r="U414">
        <v>0</v>
      </c>
      <c r="V414">
        <v>543.66000000000008</v>
      </c>
      <c r="W414" t="s">
        <v>27</v>
      </c>
      <c r="X414">
        <v>46</v>
      </c>
    </row>
    <row r="415" spans="1:24" ht="14.25" customHeight="1">
      <c r="A415" t="s">
        <v>1163</v>
      </c>
      <c r="B415" t="s">
        <v>2282</v>
      </c>
      <c r="C415" s="6" t="str">
        <f t="shared" si="19"/>
        <v>February</v>
      </c>
      <c r="D415" s="6" t="str">
        <f t="shared" si="20"/>
        <v>07</v>
      </c>
      <c r="E415" t="s">
        <v>503</v>
      </c>
      <c r="F415" t="s">
        <v>21</v>
      </c>
      <c r="G415" t="s">
        <v>74</v>
      </c>
      <c r="H415" s="4" t="s">
        <v>2256</v>
      </c>
      <c r="I415">
        <v>870326</v>
      </c>
      <c r="J415" s="8" t="s">
        <v>2346</v>
      </c>
      <c r="K415" t="s">
        <v>96</v>
      </c>
      <c r="L415" t="s">
        <v>97</v>
      </c>
      <c r="M415" t="s">
        <v>89</v>
      </c>
      <c r="N415">
        <f t="shared" si="21"/>
        <v>7</v>
      </c>
      <c r="O415">
        <v>1</v>
      </c>
      <c r="P415" s="6">
        <v>257.33999999999997</v>
      </c>
      <c r="Q415">
        <v>25.73</v>
      </c>
      <c r="R415">
        <v>231.61</v>
      </c>
      <c r="S415">
        <v>11.58</v>
      </c>
      <c r="T415">
        <v>0</v>
      </c>
      <c r="U415">
        <v>15</v>
      </c>
      <c r="V415">
        <v>258.19</v>
      </c>
      <c r="W415" t="s">
        <v>27</v>
      </c>
      <c r="X415">
        <v>9</v>
      </c>
    </row>
    <row r="416" spans="1:24" ht="14.25" customHeight="1">
      <c r="A416" t="s">
        <v>1164</v>
      </c>
      <c r="B416" t="s">
        <v>2282</v>
      </c>
      <c r="C416" s="6" t="str">
        <f t="shared" si="19"/>
        <v>February</v>
      </c>
      <c r="D416" s="6" t="str">
        <f t="shared" si="20"/>
        <v>07</v>
      </c>
      <c r="E416" t="s">
        <v>507</v>
      </c>
      <c r="F416" t="s">
        <v>21</v>
      </c>
      <c r="G416" t="s">
        <v>106</v>
      </c>
      <c r="H416" s="4" t="s">
        <v>2256</v>
      </c>
      <c r="I416">
        <v>812509</v>
      </c>
      <c r="J416" s="8" t="s">
        <v>2345</v>
      </c>
      <c r="K416" t="s">
        <v>102</v>
      </c>
      <c r="L416" t="s">
        <v>103</v>
      </c>
      <c r="M416" t="s">
        <v>177</v>
      </c>
      <c r="N416">
        <f t="shared" si="21"/>
        <v>5</v>
      </c>
      <c r="O416">
        <v>3</v>
      </c>
      <c r="P416" s="6">
        <v>142.27000000000001</v>
      </c>
      <c r="Q416">
        <v>7.11</v>
      </c>
      <c r="R416">
        <v>419.7</v>
      </c>
      <c r="S416">
        <v>20.99</v>
      </c>
      <c r="T416">
        <v>0</v>
      </c>
      <c r="U416">
        <v>0</v>
      </c>
      <c r="V416">
        <v>440.69000000000011</v>
      </c>
      <c r="W416" t="s">
        <v>27</v>
      </c>
      <c r="X416">
        <v>17</v>
      </c>
    </row>
    <row r="417" spans="1:24" ht="14.25" customHeight="1">
      <c r="A417" t="s">
        <v>1165</v>
      </c>
      <c r="B417" t="s">
        <v>2314</v>
      </c>
      <c r="C417" s="6" t="str">
        <f t="shared" si="19"/>
        <v>February</v>
      </c>
      <c r="D417" s="6" t="str">
        <f t="shared" si="20"/>
        <v>14</v>
      </c>
      <c r="E417" t="s">
        <v>511</v>
      </c>
      <c r="F417" t="s">
        <v>21</v>
      </c>
      <c r="G417" t="s">
        <v>106</v>
      </c>
      <c r="H417" s="4" t="s">
        <v>2256</v>
      </c>
      <c r="I417">
        <v>863529</v>
      </c>
      <c r="J417" s="8" t="s">
        <v>2346</v>
      </c>
      <c r="K417" t="s">
        <v>107</v>
      </c>
      <c r="L417" t="s">
        <v>108</v>
      </c>
      <c r="M417" t="s">
        <v>177</v>
      </c>
      <c r="N417">
        <f t="shared" si="21"/>
        <v>5</v>
      </c>
      <c r="O417">
        <v>3</v>
      </c>
      <c r="P417" s="6">
        <v>24.11</v>
      </c>
      <c r="Q417">
        <v>3.62</v>
      </c>
      <c r="R417">
        <v>68.709999999999994</v>
      </c>
      <c r="S417">
        <v>3.44</v>
      </c>
      <c r="T417">
        <v>30</v>
      </c>
      <c r="U417">
        <v>5</v>
      </c>
      <c r="V417">
        <v>107.15</v>
      </c>
      <c r="W417" t="s">
        <v>27</v>
      </c>
      <c r="X417">
        <v>29</v>
      </c>
    </row>
    <row r="418" spans="1:24" ht="14.25" customHeight="1">
      <c r="A418" t="s">
        <v>1166</v>
      </c>
      <c r="B418" t="s">
        <v>2294</v>
      </c>
      <c r="C418" s="6" t="str">
        <f t="shared" si="19"/>
        <v>February</v>
      </c>
      <c r="D418" s="6" t="str">
        <f t="shared" si="20"/>
        <v>20</v>
      </c>
      <c r="E418" t="s">
        <v>515</v>
      </c>
      <c r="F418" t="s">
        <v>101</v>
      </c>
      <c r="G418" t="s">
        <v>81</v>
      </c>
      <c r="H418" s="4" t="s">
        <v>2256</v>
      </c>
      <c r="I418">
        <v>924834</v>
      </c>
      <c r="J418" s="8" t="s">
        <v>30</v>
      </c>
      <c r="K418" t="s">
        <v>111</v>
      </c>
      <c r="L418" t="s">
        <v>112</v>
      </c>
      <c r="M418" t="s">
        <v>135</v>
      </c>
      <c r="N418">
        <f t="shared" si="21"/>
        <v>9</v>
      </c>
      <c r="O418">
        <v>1</v>
      </c>
      <c r="P418" s="6">
        <v>129.41999999999999</v>
      </c>
      <c r="Q418">
        <v>19.41</v>
      </c>
      <c r="R418">
        <v>110.01</v>
      </c>
      <c r="S418">
        <v>5.5</v>
      </c>
      <c r="T418">
        <v>30</v>
      </c>
      <c r="U418">
        <v>0</v>
      </c>
      <c r="V418">
        <v>145.51</v>
      </c>
      <c r="W418" t="s">
        <v>27</v>
      </c>
      <c r="X418">
        <v>30</v>
      </c>
    </row>
    <row r="419" spans="1:24" ht="14.25" customHeight="1">
      <c r="A419" t="s">
        <v>1167</v>
      </c>
      <c r="B419" t="s">
        <v>2309</v>
      </c>
      <c r="C419" s="6" t="str">
        <f t="shared" si="19"/>
        <v>February</v>
      </c>
      <c r="D419" s="6" t="str">
        <f t="shared" si="20"/>
        <v>23</v>
      </c>
      <c r="E419" t="s">
        <v>519</v>
      </c>
      <c r="F419" t="s">
        <v>21</v>
      </c>
      <c r="G419" t="s">
        <v>106</v>
      </c>
      <c r="H419" s="4" t="s">
        <v>2256</v>
      </c>
      <c r="I419">
        <v>253484</v>
      </c>
      <c r="J419" s="8" t="s">
        <v>30</v>
      </c>
      <c r="K419" t="s">
        <v>115</v>
      </c>
      <c r="L419" t="s">
        <v>116</v>
      </c>
      <c r="M419" t="s">
        <v>65</v>
      </c>
      <c r="N419">
        <f t="shared" si="21"/>
        <v>6</v>
      </c>
      <c r="O419">
        <v>4</v>
      </c>
      <c r="P419" s="6">
        <v>145.55000000000001</v>
      </c>
      <c r="Q419">
        <v>7.28</v>
      </c>
      <c r="R419">
        <v>574.92000000000007</v>
      </c>
      <c r="S419">
        <v>28.75</v>
      </c>
      <c r="T419">
        <v>20</v>
      </c>
      <c r="U419">
        <v>0</v>
      </c>
      <c r="V419">
        <v>623.67000000000007</v>
      </c>
      <c r="W419" t="s">
        <v>27</v>
      </c>
      <c r="X419">
        <v>25</v>
      </c>
    </row>
    <row r="420" spans="1:24" ht="14.25" customHeight="1">
      <c r="A420" t="s">
        <v>1168</v>
      </c>
      <c r="B420" t="s">
        <v>2267</v>
      </c>
      <c r="C420" s="6" t="str">
        <f t="shared" si="19"/>
        <v>January</v>
      </c>
      <c r="D420" s="6" t="str">
        <f t="shared" si="20"/>
        <v>08</v>
      </c>
      <c r="E420" t="s">
        <v>523</v>
      </c>
      <c r="F420" t="s">
        <v>21</v>
      </c>
      <c r="G420" t="s">
        <v>68</v>
      </c>
      <c r="H420" s="4" t="s">
        <v>2257</v>
      </c>
      <c r="I420">
        <v>768516</v>
      </c>
      <c r="J420" s="8" t="s">
        <v>62</v>
      </c>
      <c r="K420" t="s">
        <v>120</v>
      </c>
      <c r="L420" t="s">
        <v>121</v>
      </c>
      <c r="M420" t="s">
        <v>26</v>
      </c>
      <c r="N420">
        <f t="shared" si="21"/>
        <v>3</v>
      </c>
      <c r="O420">
        <v>3</v>
      </c>
      <c r="P420" s="6">
        <v>151.72999999999999</v>
      </c>
      <c r="Q420">
        <v>7.59</v>
      </c>
      <c r="R420">
        <v>447.6</v>
      </c>
      <c r="S420">
        <v>22.38</v>
      </c>
      <c r="T420">
        <v>30</v>
      </c>
      <c r="U420">
        <v>0</v>
      </c>
      <c r="V420">
        <v>499.98</v>
      </c>
      <c r="W420" t="s">
        <v>27</v>
      </c>
      <c r="X420">
        <v>22</v>
      </c>
    </row>
    <row r="421" spans="1:24" ht="14.25" customHeight="1">
      <c r="A421" t="s">
        <v>1169</v>
      </c>
      <c r="B421" t="s">
        <v>2288</v>
      </c>
      <c r="C421" s="6" t="str">
        <f t="shared" si="19"/>
        <v>January</v>
      </c>
      <c r="D421" s="6" t="str">
        <f t="shared" si="20"/>
        <v>27</v>
      </c>
      <c r="E421" t="s">
        <v>527</v>
      </c>
      <c r="F421" t="s">
        <v>21</v>
      </c>
      <c r="G421" t="s">
        <v>106</v>
      </c>
      <c r="H421" s="4" t="s">
        <v>2257</v>
      </c>
      <c r="I421">
        <v>238286</v>
      </c>
      <c r="J421" s="8" t="s">
        <v>2349</v>
      </c>
      <c r="K421" t="s">
        <v>124</v>
      </c>
      <c r="L421" t="s">
        <v>125</v>
      </c>
      <c r="M421" t="s">
        <v>22</v>
      </c>
      <c r="N421">
        <f t="shared" si="21"/>
        <v>6</v>
      </c>
      <c r="O421">
        <v>1</v>
      </c>
      <c r="P421" s="6">
        <v>133.93</v>
      </c>
      <c r="Q421">
        <v>20.09</v>
      </c>
      <c r="R421">
        <v>113.84</v>
      </c>
      <c r="S421">
        <v>5.69</v>
      </c>
      <c r="T421">
        <v>0</v>
      </c>
      <c r="U421">
        <v>5</v>
      </c>
      <c r="V421">
        <v>124.53</v>
      </c>
      <c r="W421" t="s">
        <v>84</v>
      </c>
      <c r="X421">
        <v>25</v>
      </c>
    </row>
    <row r="422" spans="1:24" ht="14.25" customHeight="1">
      <c r="A422" t="s">
        <v>1170</v>
      </c>
      <c r="B422" t="s">
        <v>2288</v>
      </c>
      <c r="C422" s="6" t="str">
        <f t="shared" si="19"/>
        <v>January</v>
      </c>
      <c r="D422" s="6" t="str">
        <f t="shared" si="20"/>
        <v>27</v>
      </c>
      <c r="E422" t="s">
        <v>531</v>
      </c>
      <c r="F422" t="s">
        <v>21</v>
      </c>
      <c r="G422" t="s">
        <v>37</v>
      </c>
      <c r="H422" s="4" t="s">
        <v>2257</v>
      </c>
      <c r="I422">
        <v>904807</v>
      </c>
      <c r="J422" s="8" t="s">
        <v>2345</v>
      </c>
      <c r="K422" t="s">
        <v>128</v>
      </c>
      <c r="L422" t="s">
        <v>129</v>
      </c>
      <c r="M422" t="s">
        <v>45</v>
      </c>
      <c r="N422">
        <f t="shared" si="21"/>
        <v>6</v>
      </c>
      <c r="O422">
        <v>1</v>
      </c>
      <c r="P422" s="6">
        <v>188.26</v>
      </c>
      <c r="Q422">
        <v>0</v>
      </c>
      <c r="R422">
        <v>188.26</v>
      </c>
      <c r="S422">
        <v>9.41</v>
      </c>
      <c r="T422">
        <v>10</v>
      </c>
      <c r="U422">
        <v>0</v>
      </c>
      <c r="V422">
        <v>207.67</v>
      </c>
      <c r="W422" t="s">
        <v>117</v>
      </c>
      <c r="X422">
        <v>25</v>
      </c>
    </row>
    <row r="423" spans="1:24" ht="14.25" customHeight="1">
      <c r="A423" t="s">
        <v>1171</v>
      </c>
      <c r="B423" t="s">
        <v>2310</v>
      </c>
      <c r="C423" s="6" t="str">
        <f t="shared" si="19"/>
        <v>February</v>
      </c>
      <c r="D423" s="6" t="str">
        <f t="shared" si="20"/>
        <v>03</v>
      </c>
      <c r="E423" t="s">
        <v>535</v>
      </c>
      <c r="F423" t="s">
        <v>21</v>
      </c>
      <c r="G423" t="s">
        <v>106</v>
      </c>
      <c r="H423" s="4" t="s">
        <v>2257</v>
      </c>
      <c r="I423">
        <v>305776</v>
      </c>
      <c r="J423" s="8" t="s">
        <v>2348</v>
      </c>
      <c r="K423" t="s">
        <v>133</v>
      </c>
      <c r="L423" t="s">
        <v>134</v>
      </c>
      <c r="M423" t="s">
        <v>45</v>
      </c>
      <c r="N423">
        <f t="shared" si="21"/>
        <v>6</v>
      </c>
      <c r="O423">
        <v>3</v>
      </c>
      <c r="P423" s="6">
        <v>173.67</v>
      </c>
      <c r="Q423">
        <v>8.68</v>
      </c>
      <c r="R423">
        <v>512.33000000000004</v>
      </c>
      <c r="S423">
        <v>25.62</v>
      </c>
      <c r="T423">
        <v>20</v>
      </c>
      <c r="U423">
        <v>0</v>
      </c>
      <c r="V423">
        <v>557.95000000000005</v>
      </c>
      <c r="W423" t="s">
        <v>27</v>
      </c>
      <c r="X423">
        <v>3</v>
      </c>
    </row>
    <row r="424" spans="1:24" ht="14.25" customHeight="1">
      <c r="A424" t="s">
        <v>1172</v>
      </c>
      <c r="B424" t="s">
        <v>2268</v>
      </c>
      <c r="C424" s="6" t="str">
        <f t="shared" si="19"/>
        <v>January</v>
      </c>
      <c r="D424" s="6" t="str">
        <f t="shared" si="20"/>
        <v>21</v>
      </c>
      <c r="E424" t="s">
        <v>539</v>
      </c>
      <c r="F424" t="s">
        <v>21</v>
      </c>
      <c r="G424" t="s">
        <v>37</v>
      </c>
      <c r="H424" s="4" t="s">
        <v>2257</v>
      </c>
      <c r="I424">
        <v>441102</v>
      </c>
      <c r="J424" s="8" t="s">
        <v>2347</v>
      </c>
      <c r="K424" t="s">
        <v>138</v>
      </c>
      <c r="L424" t="s">
        <v>139</v>
      </c>
      <c r="M424" t="s">
        <v>55</v>
      </c>
      <c r="N424">
        <f t="shared" si="21"/>
        <v>5</v>
      </c>
      <c r="O424">
        <v>3</v>
      </c>
      <c r="P424" s="6">
        <v>40.6</v>
      </c>
      <c r="Q424">
        <v>2.0299999999999998</v>
      </c>
      <c r="R424">
        <v>119.77</v>
      </c>
      <c r="S424">
        <v>5.99</v>
      </c>
      <c r="T424">
        <v>20</v>
      </c>
      <c r="U424">
        <v>20</v>
      </c>
      <c r="V424">
        <v>165.76</v>
      </c>
      <c r="W424" t="s">
        <v>27</v>
      </c>
      <c r="X424">
        <v>16</v>
      </c>
    </row>
    <row r="425" spans="1:24" ht="14.25" customHeight="1">
      <c r="A425" t="s">
        <v>1173</v>
      </c>
      <c r="B425" t="s">
        <v>2281</v>
      </c>
      <c r="C425" s="6" t="str">
        <f t="shared" si="19"/>
        <v>January</v>
      </c>
      <c r="D425" s="6" t="str">
        <f t="shared" si="20"/>
        <v>30</v>
      </c>
      <c r="E425" t="s">
        <v>543</v>
      </c>
      <c r="F425" t="s">
        <v>21</v>
      </c>
      <c r="G425" t="s">
        <v>68</v>
      </c>
      <c r="H425" s="4" t="s">
        <v>2257</v>
      </c>
      <c r="I425">
        <v>701891</v>
      </c>
      <c r="J425" s="8" t="s">
        <v>30</v>
      </c>
      <c r="K425" t="s">
        <v>143</v>
      </c>
      <c r="L425" t="s">
        <v>144</v>
      </c>
      <c r="M425" t="s">
        <v>26</v>
      </c>
      <c r="N425">
        <f t="shared" si="21"/>
        <v>3</v>
      </c>
      <c r="O425">
        <v>1</v>
      </c>
      <c r="P425" s="6">
        <v>245.98</v>
      </c>
      <c r="Q425">
        <v>0</v>
      </c>
      <c r="R425">
        <v>245.98</v>
      </c>
      <c r="S425">
        <v>12.3</v>
      </c>
      <c r="T425">
        <v>20</v>
      </c>
      <c r="U425">
        <v>0</v>
      </c>
      <c r="V425">
        <v>278.27999999999997</v>
      </c>
      <c r="W425" t="s">
        <v>84</v>
      </c>
      <c r="X425">
        <v>25</v>
      </c>
    </row>
    <row r="426" spans="1:24" ht="14.25" customHeight="1">
      <c r="A426" t="s">
        <v>1174</v>
      </c>
      <c r="B426" t="s">
        <v>2284</v>
      </c>
      <c r="C426" s="6" t="str">
        <f t="shared" si="19"/>
        <v>February</v>
      </c>
      <c r="D426" s="6" t="str">
        <f t="shared" si="20"/>
        <v>02</v>
      </c>
      <c r="E426" t="s">
        <v>547</v>
      </c>
      <c r="F426" t="s">
        <v>21</v>
      </c>
      <c r="G426" t="s">
        <v>22</v>
      </c>
      <c r="H426" s="4" t="s">
        <v>2257</v>
      </c>
      <c r="I426">
        <v>907015</v>
      </c>
      <c r="J426" s="8" t="s">
        <v>2346</v>
      </c>
      <c r="K426" t="s">
        <v>147</v>
      </c>
      <c r="L426" t="s">
        <v>148</v>
      </c>
      <c r="M426" t="s">
        <v>130</v>
      </c>
      <c r="N426">
        <f t="shared" si="21"/>
        <v>7</v>
      </c>
      <c r="O426">
        <v>2</v>
      </c>
      <c r="P426" s="6">
        <v>74.52</v>
      </c>
      <c r="Q426">
        <v>3.73</v>
      </c>
      <c r="R426">
        <v>145.31</v>
      </c>
      <c r="S426">
        <v>7.27</v>
      </c>
      <c r="T426">
        <v>30</v>
      </c>
      <c r="U426">
        <v>5</v>
      </c>
      <c r="V426">
        <v>187.58</v>
      </c>
      <c r="W426" t="s">
        <v>27</v>
      </c>
      <c r="X426">
        <v>9</v>
      </c>
    </row>
    <row r="427" spans="1:24" ht="14.25" customHeight="1">
      <c r="A427" t="s">
        <v>1175</v>
      </c>
      <c r="B427" t="s">
        <v>2291</v>
      </c>
      <c r="C427" s="6" t="str">
        <f t="shared" si="19"/>
        <v>January</v>
      </c>
      <c r="D427" s="6" t="str">
        <f t="shared" si="20"/>
        <v>28</v>
      </c>
      <c r="E427" t="s">
        <v>551</v>
      </c>
      <c r="F427" t="s">
        <v>21</v>
      </c>
      <c r="G427" t="s">
        <v>37</v>
      </c>
      <c r="H427" s="4" t="s">
        <v>2257</v>
      </c>
      <c r="I427">
        <v>726256</v>
      </c>
      <c r="J427" s="8" t="s">
        <v>2347</v>
      </c>
      <c r="K427" t="s">
        <v>151</v>
      </c>
      <c r="L427" t="s">
        <v>152</v>
      </c>
      <c r="M427" t="s">
        <v>177</v>
      </c>
      <c r="N427">
        <f t="shared" si="21"/>
        <v>5</v>
      </c>
      <c r="O427">
        <v>1</v>
      </c>
      <c r="P427" s="6">
        <v>199.28</v>
      </c>
      <c r="Q427">
        <v>19.93</v>
      </c>
      <c r="R427">
        <v>179.35</v>
      </c>
      <c r="S427">
        <v>8.9700000000000006</v>
      </c>
      <c r="T427">
        <v>0</v>
      </c>
      <c r="U427">
        <v>15</v>
      </c>
      <c r="V427">
        <v>203.32</v>
      </c>
      <c r="W427" t="s">
        <v>27</v>
      </c>
      <c r="X427">
        <v>27</v>
      </c>
    </row>
    <row r="428" spans="1:24" ht="14.25" customHeight="1">
      <c r="A428" t="s">
        <v>1176</v>
      </c>
      <c r="B428" t="s">
        <v>2293</v>
      </c>
      <c r="C428" s="6" t="str">
        <f t="shared" si="19"/>
        <v>February</v>
      </c>
      <c r="D428" s="6" t="str">
        <f t="shared" si="20"/>
        <v>16</v>
      </c>
      <c r="E428" t="s">
        <v>555</v>
      </c>
      <c r="F428" t="s">
        <v>21</v>
      </c>
      <c r="G428" t="s">
        <v>106</v>
      </c>
      <c r="H428" s="4" t="s">
        <v>2257</v>
      </c>
      <c r="I428">
        <v>142291</v>
      </c>
      <c r="J428" s="8" t="s">
        <v>2346</v>
      </c>
      <c r="K428" t="s">
        <v>155</v>
      </c>
      <c r="L428" t="s">
        <v>156</v>
      </c>
      <c r="M428" t="s">
        <v>71</v>
      </c>
      <c r="N428">
        <f t="shared" si="21"/>
        <v>6</v>
      </c>
      <c r="O428">
        <v>3</v>
      </c>
      <c r="P428" s="6">
        <v>17.72</v>
      </c>
      <c r="Q428">
        <v>0.89</v>
      </c>
      <c r="R428">
        <v>52.27</v>
      </c>
      <c r="S428">
        <v>2.61</v>
      </c>
      <c r="T428">
        <v>30</v>
      </c>
      <c r="U428">
        <v>0</v>
      </c>
      <c r="V428">
        <v>84.88</v>
      </c>
      <c r="W428" t="s">
        <v>27</v>
      </c>
      <c r="X428">
        <v>20</v>
      </c>
    </row>
    <row r="429" spans="1:24" ht="14.25" customHeight="1">
      <c r="A429" t="s">
        <v>1177</v>
      </c>
      <c r="B429" t="s">
        <v>2284</v>
      </c>
      <c r="C429" s="6" t="str">
        <f t="shared" si="19"/>
        <v>February</v>
      </c>
      <c r="D429" s="6" t="str">
        <f t="shared" si="20"/>
        <v>02</v>
      </c>
      <c r="E429" t="s">
        <v>559</v>
      </c>
      <c r="F429" t="s">
        <v>21</v>
      </c>
      <c r="G429" t="s">
        <v>37</v>
      </c>
      <c r="H429" s="4" t="s">
        <v>2257</v>
      </c>
      <c r="I429">
        <v>729698</v>
      </c>
      <c r="J429" s="8" t="s">
        <v>2346</v>
      </c>
      <c r="K429" t="s">
        <v>159</v>
      </c>
      <c r="L429" t="s">
        <v>160</v>
      </c>
      <c r="M429" t="s">
        <v>50</v>
      </c>
      <c r="N429">
        <f t="shared" si="21"/>
        <v>5</v>
      </c>
      <c r="O429">
        <v>1</v>
      </c>
      <c r="P429" s="6">
        <v>216.61</v>
      </c>
      <c r="Q429">
        <v>0</v>
      </c>
      <c r="R429">
        <v>216.61</v>
      </c>
      <c r="S429">
        <v>10.83</v>
      </c>
      <c r="T429">
        <v>30</v>
      </c>
      <c r="U429">
        <v>0</v>
      </c>
      <c r="V429">
        <v>257.44000000000011</v>
      </c>
      <c r="W429" t="s">
        <v>27</v>
      </c>
      <c r="X429">
        <v>29</v>
      </c>
    </row>
    <row r="430" spans="1:24" ht="14.25" customHeight="1">
      <c r="A430" t="s">
        <v>1178</v>
      </c>
      <c r="B430" t="s">
        <v>2317</v>
      </c>
      <c r="C430" s="6" t="str">
        <f t="shared" si="19"/>
        <v>January</v>
      </c>
      <c r="D430" s="6" t="str">
        <f t="shared" si="20"/>
        <v>05</v>
      </c>
      <c r="E430" t="s">
        <v>563</v>
      </c>
      <c r="F430" t="s">
        <v>21</v>
      </c>
      <c r="G430" t="s">
        <v>106</v>
      </c>
      <c r="H430" s="4" t="s">
        <v>2257</v>
      </c>
      <c r="I430">
        <v>396063</v>
      </c>
      <c r="J430" s="8" t="s">
        <v>30</v>
      </c>
      <c r="K430" t="s">
        <v>163</v>
      </c>
      <c r="L430" t="s">
        <v>164</v>
      </c>
      <c r="M430" t="s">
        <v>55</v>
      </c>
      <c r="N430">
        <f t="shared" si="21"/>
        <v>5</v>
      </c>
      <c r="O430">
        <v>4</v>
      </c>
      <c r="P430" s="6">
        <v>95.58</v>
      </c>
      <c r="Q430">
        <v>9.56</v>
      </c>
      <c r="R430">
        <v>372.76</v>
      </c>
      <c r="S430">
        <v>18.64</v>
      </c>
      <c r="T430">
        <v>10</v>
      </c>
      <c r="U430">
        <v>0</v>
      </c>
      <c r="V430">
        <v>401.4</v>
      </c>
      <c r="W430" t="s">
        <v>27</v>
      </c>
      <c r="X430">
        <v>31</v>
      </c>
    </row>
    <row r="431" spans="1:24" ht="14.25" customHeight="1">
      <c r="A431" t="s">
        <v>1179</v>
      </c>
      <c r="B431" t="s">
        <v>2283</v>
      </c>
      <c r="C431" s="6" t="str">
        <f t="shared" si="19"/>
        <v>March</v>
      </c>
      <c r="D431" s="6" t="str">
        <f t="shared" si="20"/>
        <v>01</v>
      </c>
      <c r="E431" t="s">
        <v>567</v>
      </c>
      <c r="F431" t="s">
        <v>101</v>
      </c>
      <c r="G431" t="s">
        <v>81</v>
      </c>
      <c r="H431" s="4" t="s">
        <v>2257</v>
      </c>
      <c r="I431">
        <v>471513</v>
      </c>
      <c r="J431" s="8" t="s">
        <v>62</v>
      </c>
      <c r="K431" t="s">
        <v>167</v>
      </c>
      <c r="L431" t="s">
        <v>168</v>
      </c>
      <c r="M431" t="s">
        <v>98</v>
      </c>
      <c r="N431">
        <f t="shared" si="21"/>
        <v>4</v>
      </c>
      <c r="O431">
        <v>3</v>
      </c>
      <c r="P431" s="6">
        <v>222.12</v>
      </c>
      <c r="Q431">
        <v>11.11</v>
      </c>
      <c r="R431">
        <v>655.25</v>
      </c>
      <c r="S431">
        <v>32.76</v>
      </c>
      <c r="T431">
        <v>20</v>
      </c>
      <c r="U431">
        <v>5</v>
      </c>
      <c r="V431">
        <v>713.01</v>
      </c>
      <c r="W431" t="s">
        <v>27</v>
      </c>
      <c r="X431">
        <v>41</v>
      </c>
    </row>
    <row r="432" spans="1:24" ht="14.25" customHeight="1">
      <c r="A432" t="s">
        <v>1180</v>
      </c>
      <c r="B432" t="s">
        <v>2313</v>
      </c>
      <c r="C432" s="6" t="str">
        <f t="shared" si="19"/>
        <v>February</v>
      </c>
      <c r="D432" s="6" t="str">
        <f t="shared" si="20"/>
        <v>17</v>
      </c>
      <c r="E432" t="s">
        <v>571</v>
      </c>
      <c r="F432" t="s">
        <v>21</v>
      </c>
      <c r="G432" t="s">
        <v>22</v>
      </c>
      <c r="H432" s="4" t="s">
        <v>2257</v>
      </c>
      <c r="I432">
        <v>694821</v>
      </c>
      <c r="J432" s="8" t="s">
        <v>62</v>
      </c>
      <c r="K432" t="s">
        <v>171</v>
      </c>
      <c r="L432" t="s">
        <v>172</v>
      </c>
      <c r="M432" t="s">
        <v>130</v>
      </c>
      <c r="N432">
        <f t="shared" si="21"/>
        <v>7</v>
      </c>
      <c r="O432">
        <v>3</v>
      </c>
      <c r="P432" s="6">
        <v>106.92</v>
      </c>
      <c r="Q432">
        <v>5.35</v>
      </c>
      <c r="R432">
        <v>315.41000000000003</v>
      </c>
      <c r="S432">
        <v>15.77</v>
      </c>
      <c r="T432">
        <v>10</v>
      </c>
      <c r="U432">
        <v>20</v>
      </c>
      <c r="V432">
        <v>361.17999999999989</v>
      </c>
      <c r="W432" t="s">
        <v>27</v>
      </c>
      <c r="X432">
        <v>13</v>
      </c>
    </row>
    <row r="433" spans="1:24" ht="14.25" customHeight="1">
      <c r="A433" t="s">
        <v>1181</v>
      </c>
      <c r="B433" t="s">
        <v>2270</v>
      </c>
      <c r="C433" s="6" t="str">
        <f t="shared" si="19"/>
        <v>January</v>
      </c>
      <c r="D433" s="6" t="str">
        <f t="shared" si="20"/>
        <v>19</v>
      </c>
      <c r="E433" t="s">
        <v>575</v>
      </c>
      <c r="F433" t="s">
        <v>21</v>
      </c>
      <c r="G433" t="s">
        <v>106</v>
      </c>
      <c r="H433" s="4" t="s">
        <v>2257</v>
      </c>
      <c r="I433">
        <v>755348</v>
      </c>
      <c r="J433" s="8" t="s">
        <v>30</v>
      </c>
      <c r="K433" t="s">
        <v>175</v>
      </c>
      <c r="L433" t="s">
        <v>176</v>
      </c>
      <c r="M433" t="s">
        <v>177</v>
      </c>
      <c r="N433">
        <f t="shared" si="21"/>
        <v>5</v>
      </c>
      <c r="O433">
        <v>2</v>
      </c>
      <c r="P433" s="6">
        <v>175.3</v>
      </c>
      <c r="Q433">
        <v>8.77</v>
      </c>
      <c r="R433">
        <v>341.83</v>
      </c>
      <c r="S433">
        <v>17.09</v>
      </c>
      <c r="T433">
        <v>10</v>
      </c>
      <c r="U433">
        <v>10</v>
      </c>
      <c r="V433">
        <v>378.92</v>
      </c>
      <c r="W433" t="s">
        <v>27</v>
      </c>
      <c r="X433">
        <v>10</v>
      </c>
    </row>
    <row r="434" spans="1:24" ht="14.25" customHeight="1">
      <c r="A434" t="s">
        <v>1182</v>
      </c>
      <c r="B434" t="s">
        <v>2301</v>
      </c>
      <c r="C434" s="6" t="str">
        <f t="shared" si="19"/>
        <v>January</v>
      </c>
      <c r="D434" s="6" t="str">
        <f t="shared" si="20"/>
        <v>04</v>
      </c>
      <c r="E434" t="s">
        <v>579</v>
      </c>
      <c r="F434" t="s">
        <v>21</v>
      </c>
      <c r="G434" t="s">
        <v>74</v>
      </c>
      <c r="H434" s="4" t="s">
        <v>2257</v>
      </c>
      <c r="I434">
        <v>461447</v>
      </c>
      <c r="J434" s="8" t="s">
        <v>30</v>
      </c>
      <c r="K434" t="s">
        <v>180</v>
      </c>
      <c r="L434" t="s">
        <v>181</v>
      </c>
      <c r="M434" t="s">
        <v>33</v>
      </c>
      <c r="N434">
        <f t="shared" si="21"/>
        <v>10</v>
      </c>
      <c r="O434">
        <v>3</v>
      </c>
      <c r="P434" s="6">
        <v>86.96</v>
      </c>
      <c r="Q434">
        <v>0</v>
      </c>
      <c r="R434">
        <v>260.88</v>
      </c>
      <c r="S434">
        <v>13.04</v>
      </c>
      <c r="T434">
        <v>20</v>
      </c>
      <c r="U434">
        <v>15</v>
      </c>
      <c r="V434">
        <v>308.92</v>
      </c>
      <c r="W434" t="s">
        <v>84</v>
      </c>
      <c r="X434">
        <v>25</v>
      </c>
    </row>
    <row r="435" spans="1:24" ht="14.25" customHeight="1">
      <c r="A435" t="s">
        <v>1183</v>
      </c>
      <c r="B435" t="s">
        <v>2306</v>
      </c>
      <c r="C435" s="6" t="str">
        <f t="shared" si="19"/>
        <v>February</v>
      </c>
      <c r="D435" s="6" t="str">
        <f t="shared" si="20"/>
        <v>04</v>
      </c>
      <c r="E435" t="s">
        <v>583</v>
      </c>
      <c r="F435" t="s">
        <v>21</v>
      </c>
      <c r="G435" t="s">
        <v>37</v>
      </c>
      <c r="H435" s="4" t="s">
        <v>2257</v>
      </c>
      <c r="I435">
        <v>746238</v>
      </c>
      <c r="J435" s="8" t="s">
        <v>2348</v>
      </c>
      <c r="K435" t="s">
        <v>184</v>
      </c>
      <c r="L435" t="s">
        <v>185</v>
      </c>
      <c r="M435" t="s">
        <v>65</v>
      </c>
      <c r="N435">
        <f t="shared" si="21"/>
        <v>6</v>
      </c>
      <c r="O435">
        <v>1</v>
      </c>
      <c r="P435" s="6">
        <v>36.25</v>
      </c>
      <c r="Q435">
        <v>3.62</v>
      </c>
      <c r="R435">
        <v>32.630000000000003</v>
      </c>
      <c r="S435">
        <v>1.63</v>
      </c>
      <c r="T435">
        <v>30</v>
      </c>
      <c r="U435">
        <v>0</v>
      </c>
      <c r="V435">
        <v>64.260000000000005</v>
      </c>
      <c r="W435" t="s">
        <v>27</v>
      </c>
      <c r="X435">
        <v>26</v>
      </c>
    </row>
    <row r="436" spans="1:24" ht="14.25" customHeight="1">
      <c r="A436" t="s">
        <v>1184</v>
      </c>
      <c r="B436" t="s">
        <v>2287</v>
      </c>
      <c r="C436" s="6" t="str">
        <f t="shared" si="19"/>
        <v>February</v>
      </c>
      <c r="D436" s="6" t="str">
        <f t="shared" si="20"/>
        <v>18</v>
      </c>
      <c r="E436" t="s">
        <v>587</v>
      </c>
      <c r="F436" t="s">
        <v>80</v>
      </c>
      <c r="G436" t="s">
        <v>81</v>
      </c>
      <c r="H436" s="4" t="s">
        <v>2257</v>
      </c>
      <c r="I436">
        <v>119477</v>
      </c>
      <c r="J436" s="8" t="s">
        <v>30</v>
      </c>
      <c r="K436" t="s">
        <v>188</v>
      </c>
      <c r="L436" t="s">
        <v>189</v>
      </c>
      <c r="M436" t="s">
        <v>135</v>
      </c>
      <c r="N436">
        <f t="shared" si="21"/>
        <v>9</v>
      </c>
      <c r="O436">
        <v>2</v>
      </c>
      <c r="P436" s="6">
        <v>177.46</v>
      </c>
      <c r="Q436">
        <v>17.75</v>
      </c>
      <c r="R436">
        <v>337.17</v>
      </c>
      <c r="S436">
        <v>16.86</v>
      </c>
      <c r="T436">
        <v>0</v>
      </c>
      <c r="U436">
        <v>5</v>
      </c>
      <c r="V436">
        <v>359.03</v>
      </c>
      <c r="W436" t="s">
        <v>27</v>
      </c>
      <c r="X436">
        <v>35</v>
      </c>
    </row>
    <row r="437" spans="1:24" ht="14.25" customHeight="1">
      <c r="A437" t="s">
        <v>1185</v>
      </c>
      <c r="B437" t="s">
        <v>2307</v>
      </c>
      <c r="C437" s="6" t="str">
        <f t="shared" si="19"/>
        <v>January</v>
      </c>
      <c r="D437" s="6" t="str">
        <f t="shared" si="20"/>
        <v>17</v>
      </c>
      <c r="E437" t="s">
        <v>591</v>
      </c>
      <c r="F437" t="s">
        <v>21</v>
      </c>
      <c r="G437" t="s">
        <v>22</v>
      </c>
      <c r="H437" s="4" t="s">
        <v>2257</v>
      </c>
      <c r="I437">
        <v>505105</v>
      </c>
      <c r="J437" s="8" t="s">
        <v>62</v>
      </c>
      <c r="K437" t="s">
        <v>192</v>
      </c>
      <c r="L437" t="s">
        <v>193</v>
      </c>
      <c r="M437" t="s">
        <v>45</v>
      </c>
      <c r="N437">
        <f t="shared" si="21"/>
        <v>6</v>
      </c>
      <c r="O437">
        <v>2</v>
      </c>
      <c r="P437" s="6">
        <v>126.57</v>
      </c>
      <c r="Q437">
        <v>0</v>
      </c>
      <c r="R437">
        <v>253.14</v>
      </c>
      <c r="S437">
        <v>12.66</v>
      </c>
      <c r="T437">
        <v>20</v>
      </c>
      <c r="U437">
        <v>20</v>
      </c>
      <c r="V437">
        <v>305.8</v>
      </c>
      <c r="W437" t="s">
        <v>27</v>
      </c>
      <c r="X437">
        <v>35</v>
      </c>
    </row>
    <row r="438" spans="1:24" ht="14.25" customHeight="1">
      <c r="A438" t="s">
        <v>1186</v>
      </c>
      <c r="B438" t="s">
        <v>2280</v>
      </c>
      <c r="C438" s="6" t="str">
        <f t="shared" si="19"/>
        <v>February</v>
      </c>
      <c r="D438" s="6" t="str">
        <f t="shared" si="20"/>
        <v>13</v>
      </c>
      <c r="E438" t="s">
        <v>595</v>
      </c>
      <c r="F438" t="s">
        <v>101</v>
      </c>
      <c r="G438" t="s">
        <v>81</v>
      </c>
      <c r="H438" s="4" t="s">
        <v>2257</v>
      </c>
      <c r="I438">
        <v>345300</v>
      </c>
      <c r="J438" s="8" t="s">
        <v>2348</v>
      </c>
      <c r="K438" t="s">
        <v>196</v>
      </c>
      <c r="L438" t="s">
        <v>197</v>
      </c>
      <c r="M438" t="s">
        <v>26</v>
      </c>
      <c r="N438">
        <f t="shared" si="21"/>
        <v>3</v>
      </c>
      <c r="O438">
        <v>2</v>
      </c>
      <c r="P438" s="6">
        <v>159.97</v>
      </c>
      <c r="Q438">
        <v>16</v>
      </c>
      <c r="R438">
        <v>303.94</v>
      </c>
      <c r="S438">
        <v>15.2</v>
      </c>
      <c r="T438">
        <v>0</v>
      </c>
      <c r="U438">
        <v>10</v>
      </c>
      <c r="V438">
        <v>329.14</v>
      </c>
      <c r="W438" t="s">
        <v>84</v>
      </c>
      <c r="X438">
        <v>25</v>
      </c>
    </row>
    <row r="439" spans="1:24" ht="14.25" customHeight="1">
      <c r="A439" t="s">
        <v>1187</v>
      </c>
      <c r="B439" t="s">
        <v>2291</v>
      </c>
      <c r="C439" s="6" t="str">
        <f t="shared" si="19"/>
        <v>January</v>
      </c>
      <c r="D439" s="6" t="str">
        <f t="shared" si="20"/>
        <v>28</v>
      </c>
      <c r="E439" t="s">
        <v>599</v>
      </c>
      <c r="F439" t="s">
        <v>80</v>
      </c>
      <c r="G439" t="s">
        <v>81</v>
      </c>
      <c r="H439" s="4" t="s">
        <v>2257</v>
      </c>
      <c r="I439">
        <v>335419</v>
      </c>
      <c r="J439" s="8" t="s">
        <v>2348</v>
      </c>
      <c r="K439" t="s">
        <v>200</v>
      </c>
      <c r="L439" t="s">
        <v>201</v>
      </c>
      <c r="M439" t="s">
        <v>22</v>
      </c>
      <c r="N439">
        <f t="shared" si="21"/>
        <v>6</v>
      </c>
      <c r="O439">
        <v>7</v>
      </c>
      <c r="P439" s="6">
        <v>171.47</v>
      </c>
      <c r="Q439">
        <v>0</v>
      </c>
      <c r="R439">
        <v>1200.29</v>
      </c>
      <c r="S439">
        <v>60.01</v>
      </c>
      <c r="T439">
        <v>0</v>
      </c>
      <c r="U439">
        <v>0</v>
      </c>
      <c r="V439">
        <v>1260.3</v>
      </c>
      <c r="W439" t="s">
        <v>27</v>
      </c>
      <c r="X439">
        <v>18</v>
      </c>
    </row>
    <row r="440" spans="1:24" ht="14.25" customHeight="1">
      <c r="A440" t="s">
        <v>1188</v>
      </c>
      <c r="B440" t="s">
        <v>2281</v>
      </c>
      <c r="C440" s="6" t="str">
        <f t="shared" si="19"/>
        <v>January</v>
      </c>
      <c r="D440" s="6" t="str">
        <f t="shared" si="20"/>
        <v>30</v>
      </c>
      <c r="E440" t="s">
        <v>603</v>
      </c>
      <c r="F440" t="s">
        <v>101</v>
      </c>
      <c r="G440" t="s">
        <v>81</v>
      </c>
      <c r="H440" s="4" t="s">
        <v>2257</v>
      </c>
      <c r="I440">
        <v>709312</v>
      </c>
      <c r="J440" s="8" t="s">
        <v>2346</v>
      </c>
      <c r="K440" t="s">
        <v>204</v>
      </c>
      <c r="L440" t="s">
        <v>205</v>
      </c>
      <c r="M440" t="s">
        <v>140</v>
      </c>
      <c r="N440">
        <f t="shared" si="21"/>
        <v>3</v>
      </c>
      <c r="O440">
        <v>3</v>
      </c>
      <c r="P440" s="6">
        <v>85.07</v>
      </c>
      <c r="Q440">
        <v>8.51</v>
      </c>
      <c r="R440">
        <v>246.7</v>
      </c>
      <c r="S440">
        <v>12.34</v>
      </c>
      <c r="T440">
        <v>10</v>
      </c>
      <c r="U440">
        <v>15</v>
      </c>
      <c r="V440">
        <v>284.04000000000002</v>
      </c>
      <c r="W440" t="s">
        <v>27</v>
      </c>
      <c r="X440">
        <v>19</v>
      </c>
    </row>
    <row r="441" spans="1:24" ht="14.25" customHeight="1">
      <c r="A441" t="s">
        <v>1189</v>
      </c>
      <c r="B441" t="s">
        <v>2264</v>
      </c>
      <c r="C441" s="6" t="str">
        <f t="shared" si="19"/>
        <v>January</v>
      </c>
      <c r="D441" s="6" t="str">
        <f t="shared" si="20"/>
        <v>29</v>
      </c>
      <c r="E441" t="s">
        <v>607</v>
      </c>
      <c r="F441" t="s">
        <v>21</v>
      </c>
      <c r="G441" t="s">
        <v>22</v>
      </c>
      <c r="H441" s="4" t="s">
        <v>2257</v>
      </c>
      <c r="I441">
        <v>317813</v>
      </c>
      <c r="J441" s="8" t="s">
        <v>2348</v>
      </c>
      <c r="K441" t="s">
        <v>208</v>
      </c>
      <c r="L441" t="s">
        <v>209</v>
      </c>
      <c r="M441" t="s">
        <v>50</v>
      </c>
      <c r="N441">
        <f t="shared" si="21"/>
        <v>5</v>
      </c>
      <c r="O441">
        <v>1</v>
      </c>
      <c r="P441" s="6">
        <v>62.05</v>
      </c>
      <c r="Q441">
        <v>9.31</v>
      </c>
      <c r="R441">
        <v>52.739999999999988</v>
      </c>
      <c r="S441">
        <v>2.64</v>
      </c>
      <c r="T441">
        <v>0</v>
      </c>
      <c r="U441">
        <v>5</v>
      </c>
      <c r="V441">
        <v>60.38</v>
      </c>
      <c r="W441" t="s">
        <v>27</v>
      </c>
      <c r="X441">
        <v>14</v>
      </c>
    </row>
    <row r="442" spans="1:24" ht="14.25" customHeight="1">
      <c r="A442" t="s">
        <v>1190</v>
      </c>
      <c r="B442" t="s">
        <v>2321</v>
      </c>
      <c r="C442" s="6" t="str">
        <f t="shared" si="19"/>
        <v>February</v>
      </c>
      <c r="D442" s="6" t="str">
        <f t="shared" si="20"/>
        <v>15</v>
      </c>
      <c r="E442" t="s">
        <v>611</v>
      </c>
      <c r="F442" t="s">
        <v>21</v>
      </c>
      <c r="G442" t="s">
        <v>22</v>
      </c>
      <c r="H442" s="4" t="s">
        <v>2257</v>
      </c>
      <c r="I442">
        <v>932595</v>
      </c>
      <c r="J442" s="8" t="s">
        <v>30</v>
      </c>
      <c r="K442" t="s">
        <v>212</v>
      </c>
      <c r="L442" t="s">
        <v>213</v>
      </c>
      <c r="M442" t="s">
        <v>89</v>
      </c>
      <c r="N442">
        <f t="shared" si="21"/>
        <v>7</v>
      </c>
      <c r="O442">
        <v>6</v>
      </c>
      <c r="P442" s="6">
        <v>16.45</v>
      </c>
      <c r="Q442">
        <v>2.4700000000000002</v>
      </c>
      <c r="R442">
        <v>96.22999999999999</v>
      </c>
      <c r="S442">
        <v>4.8099999999999996</v>
      </c>
      <c r="T442">
        <v>30</v>
      </c>
      <c r="U442">
        <v>5</v>
      </c>
      <c r="V442">
        <v>136.04</v>
      </c>
      <c r="W442" t="s">
        <v>27</v>
      </c>
      <c r="X442">
        <v>18</v>
      </c>
    </row>
    <row r="443" spans="1:24" ht="14.25" customHeight="1">
      <c r="A443" t="s">
        <v>1191</v>
      </c>
      <c r="B443" t="s">
        <v>2274</v>
      </c>
      <c r="C443" s="6" t="str">
        <f t="shared" si="19"/>
        <v>February</v>
      </c>
      <c r="D443" s="6" t="str">
        <f t="shared" si="20"/>
        <v>22</v>
      </c>
      <c r="E443" t="s">
        <v>615</v>
      </c>
      <c r="F443" t="s">
        <v>21</v>
      </c>
      <c r="G443" t="s">
        <v>22</v>
      </c>
      <c r="H443" s="4" t="s">
        <v>2257</v>
      </c>
      <c r="I443">
        <v>619570</v>
      </c>
      <c r="J443" s="8" t="s">
        <v>2347</v>
      </c>
      <c r="K443" t="s">
        <v>216</v>
      </c>
      <c r="L443" t="s">
        <v>217</v>
      </c>
      <c r="M443" t="s">
        <v>50</v>
      </c>
      <c r="N443">
        <f t="shared" si="21"/>
        <v>5</v>
      </c>
      <c r="O443">
        <v>4</v>
      </c>
      <c r="P443" s="6">
        <v>154.78</v>
      </c>
      <c r="Q443">
        <v>7.74</v>
      </c>
      <c r="R443">
        <v>611.38</v>
      </c>
      <c r="S443">
        <v>30.57</v>
      </c>
      <c r="T443">
        <v>0</v>
      </c>
      <c r="U443">
        <v>0</v>
      </c>
      <c r="V443">
        <v>641.95000000000005</v>
      </c>
      <c r="W443" t="s">
        <v>27</v>
      </c>
      <c r="X443">
        <v>21</v>
      </c>
    </row>
    <row r="444" spans="1:24" ht="14.25" customHeight="1">
      <c r="A444" t="s">
        <v>1192</v>
      </c>
      <c r="B444" t="s">
        <v>2308</v>
      </c>
      <c r="C444" s="6" t="str">
        <f t="shared" si="19"/>
        <v>January</v>
      </c>
      <c r="D444" s="6" t="str">
        <f t="shared" si="20"/>
        <v>06</v>
      </c>
      <c r="E444" t="s">
        <v>619</v>
      </c>
      <c r="F444" t="s">
        <v>21</v>
      </c>
      <c r="G444" t="s">
        <v>22</v>
      </c>
      <c r="H444" s="4" t="s">
        <v>2257</v>
      </c>
      <c r="I444">
        <v>676201</v>
      </c>
      <c r="J444" s="8" t="s">
        <v>2349</v>
      </c>
      <c r="K444" t="s">
        <v>220</v>
      </c>
      <c r="L444" t="s">
        <v>221</v>
      </c>
      <c r="M444" t="s">
        <v>40</v>
      </c>
      <c r="N444">
        <f t="shared" si="21"/>
        <v>6</v>
      </c>
      <c r="O444">
        <v>1</v>
      </c>
      <c r="P444" s="6">
        <v>84.15</v>
      </c>
      <c r="Q444">
        <v>0</v>
      </c>
      <c r="R444">
        <v>84.15</v>
      </c>
      <c r="S444">
        <v>4.21</v>
      </c>
      <c r="T444">
        <v>10</v>
      </c>
      <c r="U444">
        <v>15</v>
      </c>
      <c r="V444">
        <v>113.36</v>
      </c>
      <c r="W444" t="s">
        <v>27</v>
      </c>
      <c r="X444">
        <v>39</v>
      </c>
    </row>
    <row r="445" spans="1:24" ht="14.25" customHeight="1">
      <c r="A445" t="s">
        <v>1193</v>
      </c>
      <c r="B445" t="s">
        <v>2306</v>
      </c>
      <c r="C445" s="6" t="str">
        <f t="shared" si="19"/>
        <v>February</v>
      </c>
      <c r="D445" s="6" t="str">
        <f t="shared" si="20"/>
        <v>04</v>
      </c>
      <c r="E445" t="s">
        <v>623</v>
      </c>
      <c r="F445" t="s">
        <v>101</v>
      </c>
      <c r="G445" t="s">
        <v>81</v>
      </c>
      <c r="H445" s="4" t="s">
        <v>2257</v>
      </c>
      <c r="I445">
        <v>861401</v>
      </c>
      <c r="J445" s="8" t="s">
        <v>2345</v>
      </c>
      <c r="K445" t="s">
        <v>224</v>
      </c>
      <c r="L445" t="s">
        <v>225</v>
      </c>
      <c r="M445" t="s">
        <v>33</v>
      </c>
      <c r="N445">
        <f t="shared" si="21"/>
        <v>10</v>
      </c>
      <c r="O445">
        <v>1</v>
      </c>
      <c r="P445" s="6">
        <v>133.71</v>
      </c>
      <c r="Q445">
        <v>0</v>
      </c>
      <c r="R445">
        <v>133.71</v>
      </c>
      <c r="S445">
        <v>6.69</v>
      </c>
      <c r="T445">
        <v>0</v>
      </c>
      <c r="U445">
        <v>0</v>
      </c>
      <c r="V445">
        <v>140.4</v>
      </c>
      <c r="W445" t="s">
        <v>27</v>
      </c>
      <c r="X445">
        <v>26</v>
      </c>
    </row>
    <row r="446" spans="1:24" ht="14.25" customHeight="1">
      <c r="A446" t="s">
        <v>1194</v>
      </c>
      <c r="B446" t="s">
        <v>2283</v>
      </c>
      <c r="C446" s="6" t="str">
        <f t="shared" si="19"/>
        <v>March</v>
      </c>
      <c r="D446" s="6" t="str">
        <f t="shared" si="20"/>
        <v>01</v>
      </c>
      <c r="E446" t="s">
        <v>627</v>
      </c>
      <c r="F446" t="s">
        <v>21</v>
      </c>
      <c r="G446" t="s">
        <v>37</v>
      </c>
      <c r="H446" s="4" t="s">
        <v>2257</v>
      </c>
      <c r="I446">
        <v>480634</v>
      </c>
      <c r="J446" s="8" t="s">
        <v>30</v>
      </c>
      <c r="K446" t="s">
        <v>228</v>
      </c>
      <c r="L446" t="s">
        <v>229</v>
      </c>
      <c r="M446" t="s">
        <v>89</v>
      </c>
      <c r="N446">
        <f t="shared" si="21"/>
        <v>7</v>
      </c>
      <c r="O446">
        <v>1</v>
      </c>
      <c r="P446" s="6">
        <v>159.03</v>
      </c>
      <c r="Q446">
        <v>7.95</v>
      </c>
      <c r="R446">
        <v>151.08000000000001</v>
      </c>
      <c r="S446">
        <v>7.55</v>
      </c>
      <c r="T446">
        <v>0</v>
      </c>
      <c r="U446">
        <v>15</v>
      </c>
      <c r="V446">
        <v>173.63</v>
      </c>
      <c r="W446" t="s">
        <v>27</v>
      </c>
      <c r="X446">
        <v>9</v>
      </c>
    </row>
    <row r="447" spans="1:24" ht="14.25" customHeight="1">
      <c r="A447" t="s">
        <v>1195</v>
      </c>
      <c r="B447" t="s">
        <v>2315</v>
      </c>
      <c r="C447" s="6" t="str">
        <f t="shared" si="19"/>
        <v>February</v>
      </c>
      <c r="D447" s="6" t="str">
        <f t="shared" si="20"/>
        <v>10</v>
      </c>
      <c r="E447" t="s">
        <v>631</v>
      </c>
      <c r="F447" t="s">
        <v>21</v>
      </c>
      <c r="G447" t="s">
        <v>74</v>
      </c>
      <c r="H447" s="4" t="s">
        <v>2257</v>
      </c>
      <c r="I447">
        <v>145833</v>
      </c>
      <c r="J447" s="8" t="s">
        <v>30</v>
      </c>
      <c r="K447" t="s">
        <v>232</v>
      </c>
      <c r="L447" t="s">
        <v>233</v>
      </c>
      <c r="M447" t="s">
        <v>55</v>
      </c>
      <c r="N447">
        <f t="shared" si="21"/>
        <v>5</v>
      </c>
      <c r="O447">
        <v>4</v>
      </c>
      <c r="P447" s="6">
        <v>168.2</v>
      </c>
      <c r="Q447">
        <v>25.23</v>
      </c>
      <c r="R447">
        <v>647.56999999999994</v>
      </c>
      <c r="S447">
        <v>32.380000000000003</v>
      </c>
      <c r="T447">
        <v>20</v>
      </c>
      <c r="U447">
        <v>20</v>
      </c>
      <c r="V447">
        <v>719.94999999999993</v>
      </c>
      <c r="W447" t="s">
        <v>27</v>
      </c>
      <c r="X447">
        <v>32</v>
      </c>
    </row>
    <row r="448" spans="1:24" ht="14.25" customHeight="1">
      <c r="A448" t="s">
        <v>1196</v>
      </c>
      <c r="B448" t="s">
        <v>2297</v>
      </c>
      <c r="C448" s="6" t="str">
        <f t="shared" si="19"/>
        <v>February</v>
      </c>
      <c r="D448" s="6" t="str">
        <f t="shared" si="20"/>
        <v>06</v>
      </c>
      <c r="E448" t="s">
        <v>635</v>
      </c>
      <c r="F448" t="s">
        <v>21</v>
      </c>
      <c r="G448" t="s">
        <v>22</v>
      </c>
      <c r="H448" s="4" t="s">
        <v>2257</v>
      </c>
      <c r="I448">
        <v>564507</v>
      </c>
      <c r="J448" s="8" t="s">
        <v>2348</v>
      </c>
      <c r="K448" t="s">
        <v>236</v>
      </c>
      <c r="L448" t="s">
        <v>237</v>
      </c>
      <c r="M448" t="s">
        <v>65</v>
      </c>
      <c r="N448">
        <f t="shared" si="21"/>
        <v>6</v>
      </c>
      <c r="O448">
        <v>4</v>
      </c>
      <c r="P448" s="6">
        <v>117.08</v>
      </c>
      <c r="Q448">
        <v>11.71</v>
      </c>
      <c r="R448">
        <v>456.61</v>
      </c>
      <c r="S448">
        <v>22.83</v>
      </c>
      <c r="T448">
        <v>20</v>
      </c>
      <c r="U448">
        <v>5</v>
      </c>
      <c r="V448">
        <v>504.44</v>
      </c>
      <c r="W448" t="s">
        <v>27</v>
      </c>
      <c r="X448">
        <v>29</v>
      </c>
    </row>
    <row r="449" spans="1:24" ht="14.25" customHeight="1">
      <c r="A449" t="s">
        <v>1197</v>
      </c>
      <c r="B449" t="s">
        <v>2273</v>
      </c>
      <c r="C449" s="6" t="str">
        <f t="shared" si="19"/>
        <v>January</v>
      </c>
      <c r="D449" s="6" t="str">
        <f t="shared" si="20"/>
        <v>24</v>
      </c>
      <c r="E449" t="s">
        <v>639</v>
      </c>
      <c r="F449" t="s">
        <v>21</v>
      </c>
      <c r="G449" t="s">
        <v>37</v>
      </c>
      <c r="H449" s="4" t="s">
        <v>2257</v>
      </c>
      <c r="I449">
        <v>719164</v>
      </c>
      <c r="J449" s="8" t="s">
        <v>2347</v>
      </c>
      <c r="K449" t="s">
        <v>240</v>
      </c>
      <c r="L449" t="s">
        <v>241</v>
      </c>
      <c r="M449" t="s">
        <v>33</v>
      </c>
      <c r="N449">
        <f t="shared" si="21"/>
        <v>10</v>
      </c>
      <c r="O449">
        <v>2</v>
      </c>
      <c r="P449" s="6">
        <v>133.22</v>
      </c>
      <c r="Q449">
        <v>19.98</v>
      </c>
      <c r="R449">
        <v>246.46</v>
      </c>
      <c r="S449">
        <v>12.32</v>
      </c>
      <c r="T449">
        <v>10</v>
      </c>
      <c r="U449">
        <v>5</v>
      </c>
      <c r="V449">
        <v>273.77999999999997</v>
      </c>
      <c r="W449" t="s">
        <v>27</v>
      </c>
      <c r="X449">
        <v>31</v>
      </c>
    </row>
    <row r="450" spans="1:24" ht="14.25" customHeight="1">
      <c r="A450" t="s">
        <v>1198</v>
      </c>
      <c r="B450" t="s">
        <v>2264</v>
      </c>
      <c r="C450" s="6" t="str">
        <f t="shared" si="19"/>
        <v>January</v>
      </c>
      <c r="D450" s="6" t="str">
        <f t="shared" si="20"/>
        <v>29</v>
      </c>
      <c r="E450" t="s">
        <v>643</v>
      </c>
      <c r="F450" t="s">
        <v>21</v>
      </c>
      <c r="G450" t="s">
        <v>68</v>
      </c>
      <c r="H450" s="4" t="s">
        <v>2257</v>
      </c>
      <c r="I450">
        <v>588019</v>
      </c>
      <c r="J450" s="8" t="s">
        <v>30</v>
      </c>
      <c r="K450" t="s">
        <v>244</v>
      </c>
      <c r="L450" t="s">
        <v>245</v>
      </c>
      <c r="M450" t="s">
        <v>65</v>
      </c>
      <c r="N450">
        <f t="shared" si="21"/>
        <v>6</v>
      </c>
      <c r="O450">
        <v>3</v>
      </c>
      <c r="P450" s="6">
        <v>97.91</v>
      </c>
      <c r="Q450">
        <v>4.9000000000000004</v>
      </c>
      <c r="R450">
        <v>288.83</v>
      </c>
      <c r="S450">
        <v>14.44</v>
      </c>
      <c r="T450">
        <v>30</v>
      </c>
      <c r="U450">
        <v>0</v>
      </c>
      <c r="V450">
        <v>333.27</v>
      </c>
      <c r="W450" t="s">
        <v>27</v>
      </c>
      <c r="X450">
        <v>20</v>
      </c>
    </row>
    <row r="451" spans="1:24" ht="14.25" customHeight="1">
      <c r="A451" t="s">
        <v>1199</v>
      </c>
      <c r="B451" t="s">
        <v>2287</v>
      </c>
      <c r="C451" s="6" t="str">
        <f t="shared" ref="C451:C514" si="22">TEXT(B451,"mmmm")</f>
        <v>February</v>
      </c>
      <c r="D451" s="6" t="str">
        <f t="shared" ref="D451:D514" si="23">TEXT(B451,"dd")</f>
        <v>18</v>
      </c>
      <c r="E451" t="s">
        <v>647</v>
      </c>
      <c r="F451" t="s">
        <v>21</v>
      </c>
      <c r="G451" t="s">
        <v>68</v>
      </c>
      <c r="H451" s="4" t="s">
        <v>2257</v>
      </c>
      <c r="I451">
        <v>473216</v>
      </c>
      <c r="J451" s="8" t="s">
        <v>2349</v>
      </c>
      <c r="K451" t="s">
        <v>248</v>
      </c>
      <c r="L451" t="s">
        <v>249</v>
      </c>
      <c r="M451" t="s">
        <v>135</v>
      </c>
      <c r="N451">
        <f t="shared" si="21"/>
        <v>9</v>
      </c>
      <c r="O451">
        <v>4</v>
      </c>
      <c r="P451" s="6">
        <v>188.47</v>
      </c>
      <c r="Q451">
        <v>28.27</v>
      </c>
      <c r="R451">
        <v>725.61</v>
      </c>
      <c r="S451">
        <v>36.28</v>
      </c>
      <c r="T451">
        <v>0</v>
      </c>
      <c r="U451">
        <v>10</v>
      </c>
      <c r="V451">
        <v>771.89</v>
      </c>
      <c r="W451" t="s">
        <v>27</v>
      </c>
      <c r="X451">
        <v>24</v>
      </c>
    </row>
    <row r="452" spans="1:24" ht="14.25" customHeight="1">
      <c r="A452" t="s">
        <v>1200</v>
      </c>
      <c r="B452" t="s">
        <v>2321</v>
      </c>
      <c r="C452" s="6" t="str">
        <f t="shared" si="22"/>
        <v>February</v>
      </c>
      <c r="D452" s="6" t="str">
        <f t="shared" si="23"/>
        <v>15</v>
      </c>
      <c r="E452" t="s">
        <v>651</v>
      </c>
      <c r="F452" t="s">
        <v>21</v>
      </c>
      <c r="G452" t="s">
        <v>68</v>
      </c>
      <c r="H452" s="4" t="s">
        <v>2257</v>
      </c>
      <c r="I452">
        <v>530179</v>
      </c>
      <c r="J452" s="8" t="s">
        <v>2346</v>
      </c>
      <c r="K452" t="s">
        <v>252</v>
      </c>
      <c r="L452" t="s">
        <v>253</v>
      </c>
      <c r="M452" t="s">
        <v>45</v>
      </c>
      <c r="N452">
        <f t="shared" si="21"/>
        <v>6</v>
      </c>
      <c r="O452">
        <v>4</v>
      </c>
      <c r="P452" s="6">
        <v>197.48</v>
      </c>
      <c r="Q452">
        <v>19.75</v>
      </c>
      <c r="R452">
        <v>770.17</v>
      </c>
      <c r="S452">
        <v>38.51</v>
      </c>
      <c r="T452">
        <v>20</v>
      </c>
      <c r="U452">
        <v>0</v>
      </c>
      <c r="V452">
        <v>828.68</v>
      </c>
      <c r="W452" t="s">
        <v>27</v>
      </c>
      <c r="X452">
        <v>8</v>
      </c>
    </row>
    <row r="453" spans="1:24" ht="14.25" customHeight="1">
      <c r="A453" t="s">
        <v>1201</v>
      </c>
      <c r="B453" t="s">
        <v>2274</v>
      </c>
      <c r="C453" s="6" t="str">
        <f t="shared" si="22"/>
        <v>February</v>
      </c>
      <c r="D453" s="6" t="str">
        <f t="shared" si="23"/>
        <v>22</v>
      </c>
      <c r="E453" t="s">
        <v>655</v>
      </c>
      <c r="F453" t="s">
        <v>21</v>
      </c>
      <c r="G453" t="s">
        <v>22</v>
      </c>
      <c r="H453" s="4" t="s">
        <v>2257</v>
      </c>
      <c r="I453">
        <v>461719</v>
      </c>
      <c r="J453" s="8" t="s">
        <v>30</v>
      </c>
      <c r="K453" t="s">
        <v>256</v>
      </c>
      <c r="L453" t="s">
        <v>257</v>
      </c>
      <c r="M453" t="s">
        <v>55</v>
      </c>
      <c r="N453">
        <f t="shared" si="21"/>
        <v>5</v>
      </c>
      <c r="O453">
        <v>2</v>
      </c>
      <c r="P453" s="6">
        <v>137.99</v>
      </c>
      <c r="Q453">
        <v>20.7</v>
      </c>
      <c r="R453">
        <v>255.28</v>
      </c>
      <c r="S453">
        <v>12.76</v>
      </c>
      <c r="T453">
        <v>10</v>
      </c>
      <c r="U453">
        <v>20</v>
      </c>
      <c r="V453">
        <v>298.04000000000002</v>
      </c>
      <c r="W453" t="s">
        <v>34</v>
      </c>
      <c r="X453">
        <v>25</v>
      </c>
    </row>
    <row r="454" spans="1:24" ht="14.25" customHeight="1">
      <c r="A454" t="s">
        <v>1202</v>
      </c>
      <c r="B454" t="s">
        <v>2312</v>
      </c>
      <c r="C454" s="6" t="str">
        <f t="shared" si="22"/>
        <v>January</v>
      </c>
      <c r="D454" s="6" t="str">
        <f t="shared" si="23"/>
        <v>31</v>
      </c>
      <c r="E454" t="s">
        <v>659</v>
      </c>
      <c r="F454" t="s">
        <v>80</v>
      </c>
      <c r="G454" t="s">
        <v>81</v>
      </c>
      <c r="H454" s="4" t="s">
        <v>2257</v>
      </c>
      <c r="I454">
        <v>941708</v>
      </c>
      <c r="J454" s="8" t="s">
        <v>62</v>
      </c>
      <c r="K454" t="s">
        <v>260</v>
      </c>
      <c r="L454" t="s">
        <v>261</v>
      </c>
      <c r="M454" t="s">
        <v>22</v>
      </c>
      <c r="N454">
        <f t="shared" si="21"/>
        <v>6</v>
      </c>
      <c r="O454">
        <v>5</v>
      </c>
      <c r="P454" s="6">
        <v>141.79</v>
      </c>
      <c r="Q454">
        <v>0</v>
      </c>
      <c r="R454">
        <v>708.94999999999993</v>
      </c>
      <c r="S454">
        <v>35.450000000000003</v>
      </c>
      <c r="T454">
        <v>10</v>
      </c>
      <c r="U454">
        <v>10</v>
      </c>
      <c r="V454">
        <v>764.4</v>
      </c>
      <c r="W454" t="s">
        <v>27</v>
      </c>
      <c r="X454">
        <v>32</v>
      </c>
    </row>
    <row r="455" spans="1:24" ht="14.25" customHeight="1">
      <c r="A455" t="s">
        <v>1203</v>
      </c>
      <c r="B455" t="s">
        <v>2306</v>
      </c>
      <c r="C455" s="6" t="str">
        <f t="shared" si="22"/>
        <v>February</v>
      </c>
      <c r="D455" s="6" t="str">
        <f t="shared" si="23"/>
        <v>04</v>
      </c>
      <c r="E455" t="s">
        <v>663</v>
      </c>
      <c r="F455" t="s">
        <v>21</v>
      </c>
      <c r="G455" t="s">
        <v>68</v>
      </c>
      <c r="H455" s="4" t="s">
        <v>2257</v>
      </c>
      <c r="I455">
        <v>838096</v>
      </c>
      <c r="J455" s="8" t="s">
        <v>30</v>
      </c>
      <c r="K455" t="s">
        <v>264</v>
      </c>
      <c r="L455" t="s">
        <v>265</v>
      </c>
      <c r="M455" t="s">
        <v>98</v>
      </c>
      <c r="N455">
        <f t="shared" si="21"/>
        <v>4</v>
      </c>
      <c r="O455">
        <v>1</v>
      </c>
      <c r="P455" s="6">
        <v>150.04</v>
      </c>
      <c r="Q455">
        <v>22.51</v>
      </c>
      <c r="R455">
        <v>127.53</v>
      </c>
      <c r="S455">
        <v>6.38</v>
      </c>
      <c r="T455">
        <v>20</v>
      </c>
      <c r="U455">
        <v>20</v>
      </c>
      <c r="V455">
        <v>173.91</v>
      </c>
      <c r="W455" t="s">
        <v>27</v>
      </c>
      <c r="X455">
        <v>25</v>
      </c>
    </row>
    <row r="456" spans="1:24" ht="14.25" customHeight="1">
      <c r="A456" t="s">
        <v>1204</v>
      </c>
      <c r="B456" t="s">
        <v>2283</v>
      </c>
      <c r="C456" s="6" t="str">
        <f t="shared" si="22"/>
        <v>March</v>
      </c>
      <c r="D456" s="6" t="str">
        <f t="shared" si="23"/>
        <v>01</v>
      </c>
      <c r="E456" t="s">
        <v>667</v>
      </c>
      <c r="F456" t="s">
        <v>80</v>
      </c>
      <c r="G456" t="s">
        <v>81</v>
      </c>
      <c r="H456" s="4" t="s">
        <v>2257</v>
      </c>
      <c r="I456">
        <v>375049</v>
      </c>
      <c r="J456" s="8" t="s">
        <v>2346</v>
      </c>
      <c r="K456" t="s">
        <v>268</v>
      </c>
      <c r="L456" t="s">
        <v>269</v>
      </c>
      <c r="M456" t="s">
        <v>55</v>
      </c>
      <c r="N456">
        <f t="shared" si="21"/>
        <v>5</v>
      </c>
      <c r="O456">
        <v>6</v>
      </c>
      <c r="P456" s="6">
        <v>122.4</v>
      </c>
      <c r="Q456">
        <v>18.36</v>
      </c>
      <c r="R456">
        <v>716.04000000000008</v>
      </c>
      <c r="S456">
        <v>35.799999999999997</v>
      </c>
      <c r="T456">
        <v>30</v>
      </c>
      <c r="U456">
        <v>0</v>
      </c>
      <c r="V456">
        <v>781.84</v>
      </c>
      <c r="W456" t="s">
        <v>34</v>
      </c>
      <c r="X456">
        <v>25</v>
      </c>
    </row>
    <row r="457" spans="1:24" ht="14.25" customHeight="1">
      <c r="A457" t="s">
        <v>1205</v>
      </c>
      <c r="B457" t="s">
        <v>2284</v>
      </c>
      <c r="C457" s="6" t="str">
        <f t="shared" si="22"/>
        <v>February</v>
      </c>
      <c r="D457" s="6" t="str">
        <f t="shared" si="23"/>
        <v>02</v>
      </c>
      <c r="E457" t="s">
        <v>671</v>
      </c>
      <c r="F457" t="s">
        <v>21</v>
      </c>
      <c r="G457" t="s">
        <v>37</v>
      </c>
      <c r="H457" s="4" t="s">
        <v>2257</v>
      </c>
      <c r="I457">
        <v>471344</v>
      </c>
      <c r="J457" s="8" t="s">
        <v>2349</v>
      </c>
      <c r="K457" t="s">
        <v>272</v>
      </c>
      <c r="L457" t="s">
        <v>273</v>
      </c>
      <c r="M457" t="s">
        <v>65</v>
      </c>
      <c r="N457">
        <f t="shared" si="21"/>
        <v>6</v>
      </c>
      <c r="O457">
        <v>3</v>
      </c>
      <c r="P457" s="6">
        <v>88.44</v>
      </c>
      <c r="Q457">
        <v>0</v>
      </c>
      <c r="R457">
        <v>265.32</v>
      </c>
      <c r="S457">
        <v>13.27</v>
      </c>
      <c r="T457">
        <v>10</v>
      </c>
      <c r="U457">
        <v>0</v>
      </c>
      <c r="V457">
        <v>288.58999999999997</v>
      </c>
      <c r="W457" t="s">
        <v>27</v>
      </c>
      <c r="X457">
        <v>26</v>
      </c>
    </row>
    <row r="458" spans="1:24" ht="14.25" customHeight="1">
      <c r="A458" t="s">
        <v>1206</v>
      </c>
      <c r="B458" t="s">
        <v>2263</v>
      </c>
      <c r="C458" s="6" t="str">
        <f t="shared" si="22"/>
        <v>February</v>
      </c>
      <c r="D458" s="6" t="str">
        <f t="shared" si="23"/>
        <v>21</v>
      </c>
      <c r="E458" t="s">
        <v>675</v>
      </c>
      <c r="F458" t="s">
        <v>21</v>
      </c>
      <c r="G458" t="s">
        <v>74</v>
      </c>
      <c r="H458" s="4" t="s">
        <v>2257</v>
      </c>
      <c r="I458">
        <v>359480</v>
      </c>
      <c r="J458" s="8" t="s">
        <v>2346</v>
      </c>
      <c r="K458" t="s">
        <v>276</v>
      </c>
      <c r="L458" t="s">
        <v>277</v>
      </c>
      <c r="M458" t="s">
        <v>135</v>
      </c>
      <c r="N458">
        <f t="shared" si="21"/>
        <v>9</v>
      </c>
      <c r="O458">
        <v>3</v>
      </c>
      <c r="P458" s="6">
        <v>52.97</v>
      </c>
      <c r="Q458">
        <v>5.3</v>
      </c>
      <c r="R458">
        <v>153.61000000000001</v>
      </c>
      <c r="S458">
        <v>7.68</v>
      </c>
      <c r="T458">
        <v>10</v>
      </c>
      <c r="U458">
        <v>0</v>
      </c>
      <c r="V458">
        <v>171.29</v>
      </c>
      <c r="W458" t="s">
        <v>27</v>
      </c>
      <c r="X458">
        <v>14</v>
      </c>
    </row>
    <row r="459" spans="1:24" ht="14.25" customHeight="1">
      <c r="A459" t="s">
        <v>1207</v>
      </c>
      <c r="B459" t="s">
        <v>2268</v>
      </c>
      <c r="C459" s="6" t="str">
        <f t="shared" si="22"/>
        <v>January</v>
      </c>
      <c r="D459" s="6" t="str">
        <f t="shared" si="23"/>
        <v>21</v>
      </c>
      <c r="E459" t="s">
        <v>679</v>
      </c>
      <c r="F459" t="s">
        <v>21</v>
      </c>
      <c r="G459" t="s">
        <v>68</v>
      </c>
      <c r="H459" s="4" t="s">
        <v>2257</v>
      </c>
      <c r="I459">
        <v>233498</v>
      </c>
      <c r="J459" s="8" t="s">
        <v>2346</v>
      </c>
      <c r="K459" t="s">
        <v>280</v>
      </c>
      <c r="L459" t="s">
        <v>281</v>
      </c>
      <c r="M459" t="s">
        <v>98</v>
      </c>
      <c r="N459">
        <f t="shared" si="21"/>
        <v>4</v>
      </c>
      <c r="O459">
        <v>5</v>
      </c>
      <c r="P459" s="6">
        <v>157.02000000000001</v>
      </c>
      <c r="Q459">
        <v>7.85</v>
      </c>
      <c r="R459">
        <v>777.25</v>
      </c>
      <c r="S459">
        <v>38.86</v>
      </c>
      <c r="T459">
        <v>20</v>
      </c>
      <c r="U459">
        <v>10</v>
      </c>
      <c r="V459">
        <v>846.11</v>
      </c>
      <c r="W459" t="s">
        <v>27</v>
      </c>
      <c r="X459">
        <v>29</v>
      </c>
    </row>
    <row r="460" spans="1:24" ht="14.25" customHeight="1">
      <c r="A460" t="s">
        <v>1208</v>
      </c>
      <c r="B460" t="s">
        <v>2319</v>
      </c>
      <c r="C460" s="6" t="str">
        <f t="shared" si="22"/>
        <v>February</v>
      </c>
      <c r="D460" s="6" t="str">
        <f t="shared" si="23"/>
        <v>01</v>
      </c>
      <c r="E460" t="s">
        <v>683</v>
      </c>
      <c r="F460" t="s">
        <v>21</v>
      </c>
      <c r="G460" t="s">
        <v>74</v>
      </c>
      <c r="H460" s="4" t="s">
        <v>2257</v>
      </c>
      <c r="I460">
        <v>818316</v>
      </c>
      <c r="J460" s="8" t="s">
        <v>62</v>
      </c>
      <c r="K460" t="s">
        <v>284</v>
      </c>
      <c r="L460" t="s">
        <v>285</v>
      </c>
      <c r="M460" t="s">
        <v>55</v>
      </c>
      <c r="N460">
        <f t="shared" si="21"/>
        <v>5</v>
      </c>
      <c r="O460">
        <v>2</v>
      </c>
      <c r="P460" s="6">
        <v>124.18</v>
      </c>
      <c r="Q460">
        <v>12.42</v>
      </c>
      <c r="R460">
        <v>235.94</v>
      </c>
      <c r="S460">
        <v>11.8</v>
      </c>
      <c r="T460">
        <v>0</v>
      </c>
      <c r="U460">
        <v>5</v>
      </c>
      <c r="V460">
        <v>252.74</v>
      </c>
      <c r="W460" t="s">
        <v>27</v>
      </c>
      <c r="X460">
        <v>18</v>
      </c>
    </row>
    <row r="461" spans="1:24" ht="14.25" customHeight="1">
      <c r="A461" t="s">
        <v>1209</v>
      </c>
      <c r="B461" t="s">
        <v>2271</v>
      </c>
      <c r="C461" s="6" t="str">
        <f t="shared" si="22"/>
        <v>January</v>
      </c>
      <c r="D461" s="6" t="str">
        <f t="shared" si="23"/>
        <v>23</v>
      </c>
      <c r="E461" t="s">
        <v>687</v>
      </c>
      <c r="F461" t="s">
        <v>21</v>
      </c>
      <c r="G461" t="s">
        <v>37</v>
      </c>
      <c r="H461" s="4" t="s">
        <v>2257</v>
      </c>
      <c r="I461">
        <v>333540</v>
      </c>
      <c r="J461" s="8" t="s">
        <v>2348</v>
      </c>
      <c r="K461" t="s">
        <v>288</v>
      </c>
      <c r="L461" t="s">
        <v>289</v>
      </c>
      <c r="M461" t="s">
        <v>77</v>
      </c>
      <c r="N461">
        <f t="shared" ref="N461:N524" si="24">LEN(M461)</f>
        <v>5</v>
      </c>
      <c r="O461">
        <v>1</v>
      </c>
      <c r="P461" s="6">
        <v>38.840000000000003</v>
      </c>
      <c r="Q461">
        <v>1.94</v>
      </c>
      <c r="R461">
        <v>36.900000000000013</v>
      </c>
      <c r="S461">
        <v>1.85</v>
      </c>
      <c r="T461">
        <v>10</v>
      </c>
      <c r="U461">
        <v>0</v>
      </c>
      <c r="V461">
        <v>48.750000000000007</v>
      </c>
      <c r="W461" t="s">
        <v>27</v>
      </c>
      <c r="X461">
        <v>23</v>
      </c>
    </row>
    <row r="462" spans="1:24" ht="14.25" customHeight="1">
      <c r="A462" t="s">
        <v>1210</v>
      </c>
      <c r="B462" t="s">
        <v>2284</v>
      </c>
      <c r="C462" s="6" t="str">
        <f t="shared" si="22"/>
        <v>February</v>
      </c>
      <c r="D462" s="6" t="str">
        <f t="shared" si="23"/>
        <v>02</v>
      </c>
      <c r="E462" t="s">
        <v>691</v>
      </c>
      <c r="F462" t="s">
        <v>21</v>
      </c>
      <c r="G462" t="s">
        <v>37</v>
      </c>
      <c r="H462" s="4" t="s">
        <v>2257</v>
      </c>
      <c r="I462">
        <v>281561</v>
      </c>
      <c r="J462" s="8" t="s">
        <v>2345</v>
      </c>
      <c r="K462" t="s">
        <v>292</v>
      </c>
      <c r="L462" t="s">
        <v>293</v>
      </c>
      <c r="M462" t="s">
        <v>26</v>
      </c>
      <c r="N462">
        <f t="shared" si="24"/>
        <v>3</v>
      </c>
      <c r="O462">
        <v>4</v>
      </c>
      <c r="P462" s="6">
        <v>78.89</v>
      </c>
      <c r="Q462">
        <v>7.89</v>
      </c>
      <c r="R462">
        <v>307.67</v>
      </c>
      <c r="S462">
        <v>15.38</v>
      </c>
      <c r="T462">
        <v>30</v>
      </c>
      <c r="U462">
        <v>15</v>
      </c>
      <c r="V462">
        <v>368.05</v>
      </c>
      <c r="W462" t="s">
        <v>27</v>
      </c>
      <c r="X462">
        <v>23</v>
      </c>
    </row>
    <row r="463" spans="1:24" ht="14.25" customHeight="1">
      <c r="A463" t="s">
        <v>1211</v>
      </c>
      <c r="B463" t="s">
        <v>2277</v>
      </c>
      <c r="C463" s="6" t="str">
        <f t="shared" si="22"/>
        <v>January</v>
      </c>
      <c r="D463" s="6" t="str">
        <f t="shared" si="23"/>
        <v>03</v>
      </c>
      <c r="E463" t="s">
        <v>695</v>
      </c>
      <c r="F463" t="s">
        <v>21</v>
      </c>
      <c r="G463" t="s">
        <v>106</v>
      </c>
      <c r="H463" s="4" t="s">
        <v>2257</v>
      </c>
      <c r="I463">
        <v>500826</v>
      </c>
      <c r="J463" s="8" t="s">
        <v>30</v>
      </c>
      <c r="K463" t="s">
        <v>296</v>
      </c>
      <c r="L463" t="s">
        <v>297</v>
      </c>
      <c r="M463" t="s">
        <v>89</v>
      </c>
      <c r="N463">
        <f t="shared" si="24"/>
        <v>7</v>
      </c>
      <c r="O463">
        <v>1</v>
      </c>
      <c r="P463" s="6">
        <v>17.559999999999999</v>
      </c>
      <c r="Q463">
        <v>1.76</v>
      </c>
      <c r="R463">
        <v>15.8</v>
      </c>
      <c r="S463">
        <v>0.79</v>
      </c>
      <c r="T463">
        <v>20</v>
      </c>
      <c r="U463">
        <v>15</v>
      </c>
      <c r="V463">
        <v>51.59</v>
      </c>
      <c r="W463" t="s">
        <v>84</v>
      </c>
      <c r="X463">
        <v>25</v>
      </c>
    </row>
    <row r="464" spans="1:24" ht="14.25" customHeight="1">
      <c r="A464" t="s">
        <v>1212</v>
      </c>
      <c r="B464" t="s">
        <v>2300</v>
      </c>
      <c r="C464" s="6" t="str">
        <f t="shared" si="22"/>
        <v>January</v>
      </c>
      <c r="D464" s="6" t="str">
        <f t="shared" si="23"/>
        <v>18</v>
      </c>
      <c r="E464" t="s">
        <v>699</v>
      </c>
      <c r="F464" t="s">
        <v>21</v>
      </c>
      <c r="G464" t="s">
        <v>68</v>
      </c>
      <c r="H464" s="4" t="s">
        <v>2257</v>
      </c>
      <c r="I464">
        <v>462441</v>
      </c>
      <c r="J464" s="8" t="s">
        <v>2346</v>
      </c>
      <c r="K464" t="s">
        <v>300</v>
      </c>
      <c r="L464" t="s">
        <v>301</v>
      </c>
      <c r="M464" t="s">
        <v>135</v>
      </c>
      <c r="N464">
        <f t="shared" si="24"/>
        <v>9</v>
      </c>
      <c r="O464">
        <v>2</v>
      </c>
      <c r="P464" s="6">
        <v>110.2</v>
      </c>
      <c r="Q464">
        <v>11.02</v>
      </c>
      <c r="R464">
        <v>209.38</v>
      </c>
      <c r="S464">
        <v>10.47</v>
      </c>
      <c r="T464">
        <v>20</v>
      </c>
      <c r="U464">
        <v>0</v>
      </c>
      <c r="V464">
        <v>239.85</v>
      </c>
      <c r="W464" t="s">
        <v>27</v>
      </c>
      <c r="X464">
        <v>26</v>
      </c>
    </row>
    <row r="465" spans="1:24" ht="14.25" customHeight="1">
      <c r="A465" t="s">
        <v>1213</v>
      </c>
      <c r="B465" t="s">
        <v>2286</v>
      </c>
      <c r="C465" s="6" t="str">
        <f t="shared" si="22"/>
        <v>January</v>
      </c>
      <c r="D465" s="6" t="str">
        <f t="shared" si="23"/>
        <v>25</v>
      </c>
      <c r="E465" t="s">
        <v>703</v>
      </c>
      <c r="F465" t="s">
        <v>80</v>
      </c>
      <c r="G465" t="s">
        <v>81</v>
      </c>
      <c r="H465" s="4" t="s">
        <v>2257</v>
      </c>
      <c r="I465">
        <v>182409</v>
      </c>
      <c r="J465" s="8" t="s">
        <v>30</v>
      </c>
      <c r="K465" t="s">
        <v>304</v>
      </c>
      <c r="L465" t="s">
        <v>305</v>
      </c>
      <c r="M465" t="s">
        <v>55</v>
      </c>
      <c r="N465">
        <f t="shared" si="24"/>
        <v>5</v>
      </c>
      <c r="O465">
        <v>2</v>
      </c>
      <c r="P465" s="6">
        <v>187.04</v>
      </c>
      <c r="Q465">
        <v>28.06</v>
      </c>
      <c r="R465">
        <v>346.02</v>
      </c>
      <c r="S465">
        <v>17.3</v>
      </c>
      <c r="T465">
        <v>30</v>
      </c>
      <c r="U465">
        <v>5</v>
      </c>
      <c r="V465">
        <v>398.32</v>
      </c>
      <c r="W465" t="s">
        <v>27</v>
      </c>
      <c r="X465">
        <v>39</v>
      </c>
    </row>
    <row r="466" spans="1:24" ht="14.25" customHeight="1">
      <c r="A466" t="s">
        <v>1214</v>
      </c>
      <c r="B466" t="s">
        <v>2290</v>
      </c>
      <c r="C466" s="6" t="str">
        <f t="shared" si="22"/>
        <v>February</v>
      </c>
      <c r="D466" s="6" t="str">
        <f t="shared" si="23"/>
        <v>11</v>
      </c>
      <c r="E466" t="s">
        <v>707</v>
      </c>
      <c r="F466" t="s">
        <v>21</v>
      </c>
      <c r="G466" t="s">
        <v>22</v>
      </c>
      <c r="H466" s="4" t="s">
        <v>2257</v>
      </c>
      <c r="I466">
        <v>108024</v>
      </c>
      <c r="J466" s="8" t="s">
        <v>2346</v>
      </c>
      <c r="K466" t="s">
        <v>308</v>
      </c>
      <c r="L466" t="s">
        <v>309</v>
      </c>
      <c r="M466" t="s">
        <v>26</v>
      </c>
      <c r="N466">
        <f t="shared" si="24"/>
        <v>3</v>
      </c>
      <c r="O466">
        <v>3</v>
      </c>
      <c r="P466" s="6">
        <v>200.14</v>
      </c>
      <c r="Q466">
        <v>20.010000000000002</v>
      </c>
      <c r="R466">
        <v>580.41</v>
      </c>
      <c r="S466">
        <v>29.02</v>
      </c>
      <c r="T466">
        <v>0</v>
      </c>
      <c r="U466">
        <v>20</v>
      </c>
      <c r="V466">
        <v>629.42999999999995</v>
      </c>
      <c r="W466" t="s">
        <v>27</v>
      </c>
      <c r="X466">
        <v>15</v>
      </c>
    </row>
    <row r="467" spans="1:24" ht="14.25" customHeight="1">
      <c r="A467" t="s">
        <v>1215</v>
      </c>
      <c r="B467" t="s">
        <v>2312</v>
      </c>
      <c r="C467" s="6" t="str">
        <f t="shared" si="22"/>
        <v>January</v>
      </c>
      <c r="D467" s="6" t="str">
        <f t="shared" si="23"/>
        <v>31</v>
      </c>
      <c r="E467" t="s">
        <v>711</v>
      </c>
      <c r="F467" t="s">
        <v>80</v>
      </c>
      <c r="G467" t="s">
        <v>81</v>
      </c>
      <c r="H467" s="4" t="s">
        <v>2257</v>
      </c>
      <c r="I467">
        <v>243927</v>
      </c>
      <c r="J467" s="8" t="s">
        <v>30</v>
      </c>
      <c r="K467" t="s">
        <v>312</v>
      </c>
      <c r="L467" t="s">
        <v>313</v>
      </c>
      <c r="M467" t="s">
        <v>65</v>
      </c>
      <c r="N467">
        <f t="shared" si="24"/>
        <v>6</v>
      </c>
      <c r="O467">
        <v>1</v>
      </c>
      <c r="P467" s="6">
        <v>144.29</v>
      </c>
      <c r="Q467">
        <v>7.21</v>
      </c>
      <c r="R467">
        <v>137.08000000000001</v>
      </c>
      <c r="S467">
        <v>6.85</v>
      </c>
      <c r="T467">
        <v>0</v>
      </c>
      <c r="U467">
        <v>5</v>
      </c>
      <c r="V467">
        <v>148.93</v>
      </c>
      <c r="W467" t="s">
        <v>27</v>
      </c>
      <c r="X467">
        <v>24</v>
      </c>
    </row>
    <row r="468" spans="1:24" ht="14.25" customHeight="1">
      <c r="A468" t="s">
        <v>1216</v>
      </c>
      <c r="B468" t="s">
        <v>2309</v>
      </c>
      <c r="C468" s="6" t="str">
        <f t="shared" si="22"/>
        <v>February</v>
      </c>
      <c r="D468" s="6" t="str">
        <f t="shared" si="23"/>
        <v>23</v>
      </c>
      <c r="E468" t="s">
        <v>715</v>
      </c>
      <c r="F468" t="s">
        <v>21</v>
      </c>
      <c r="G468" t="s">
        <v>68</v>
      </c>
      <c r="H468" s="4" t="s">
        <v>2257</v>
      </c>
      <c r="I468">
        <v>497674</v>
      </c>
      <c r="J468" s="8" t="s">
        <v>2349</v>
      </c>
      <c r="K468" t="s">
        <v>316</v>
      </c>
      <c r="L468" t="s">
        <v>317</v>
      </c>
      <c r="M468" t="s">
        <v>40</v>
      </c>
      <c r="N468">
        <f t="shared" si="24"/>
        <v>6</v>
      </c>
      <c r="O468">
        <v>2</v>
      </c>
      <c r="P468" s="6">
        <v>64.55</v>
      </c>
      <c r="Q468">
        <v>3.23</v>
      </c>
      <c r="R468">
        <v>125.87</v>
      </c>
      <c r="S468">
        <v>6.29</v>
      </c>
      <c r="T468">
        <v>0</v>
      </c>
      <c r="U468">
        <v>10</v>
      </c>
      <c r="V468">
        <v>142.16</v>
      </c>
      <c r="W468" t="s">
        <v>27</v>
      </c>
      <c r="X468">
        <v>18</v>
      </c>
    </row>
    <row r="469" spans="1:24" ht="14.25" customHeight="1">
      <c r="A469" t="s">
        <v>1217</v>
      </c>
      <c r="B469" t="s">
        <v>2269</v>
      </c>
      <c r="C469" s="6" t="str">
        <f t="shared" si="22"/>
        <v>February</v>
      </c>
      <c r="D469" s="6" t="str">
        <f t="shared" si="23"/>
        <v>27</v>
      </c>
      <c r="E469" t="s">
        <v>719</v>
      </c>
      <c r="F469" t="s">
        <v>21</v>
      </c>
      <c r="G469" t="s">
        <v>106</v>
      </c>
      <c r="H469" s="4" t="s">
        <v>2257</v>
      </c>
      <c r="I469">
        <v>105668</v>
      </c>
      <c r="J469" s="8" t="s">
        <v>62</v>
      </c>
      <c r="K469" t="s">
        <v>320</v>
      </c>
      <c r="L469" t="s">
        <v>321</v>
      </c>
      <c r="M469" t="s">
        <v>177</v>
      </c>
      <c r="N469">
        <f t="shared" si="24"/>
        <v>5</v>
      </c>
      <c r="O469">
        <v>6</v>
      </c>
      <c r="P469" s="6">
        <v>72.17</v>
      </c>
      <c r="Q469">
        <v>3.61</v>
      </c>
      <c r="R469">
        <v>429.41</v>
      </c>
      <c r="S469">
        <v>21.47</v>
      </c>
      <c r="T469">
        <v>10</v>
      </c>
      <c r="U469">
        <v>10</v>
      </c>
      <c r="V469">
        <v>470.88</v>
      </c>
      <c r="W469" t="s">
        <v>117</v>
      </c>
      <c r="X469">
        <v>25</v>
      </c>
    </row>
    <row r="470" spans="1:24" ht="14.25" customHeight="1">
      <c r="A470" t="s">
        <v>1218</v>
      </c>
      <c r="B470" t="s">
        <v>2277</v>
      </c>
      <c r="C470" s="6" t="str">
        <f t="shared" si="22"/>
        <v>January</v>
      </c>
      <c r="D470" s="6" t="str">
        <f t="shared" si="23"/>
        <v>03</v>
      </c>
      <c r="E470" t="s">
        <v>723</v>
      </c>
      <c r="F470" t="s">
        <v>21</v>
      </c>
      <c r="G470" t="s">
        <v>106</v>
      </c>
      <c r="H470" s="4" t="s">
        <v>2257</v>
      </c>
      <c r="I470">
        <v>730421</v>
      </c>
      <c r="J470" s="8" t="s">
        <v>2349</v>
      </c>
      <c r="K470" t="s">
        <v>324</v>
      </c>
      <c r="L470" t="s">
        <v>325</v>
      </c>
      <c r="M470" t="s">
        <v>65</v>
      </c>
      <c r="N470">
        <f t="shared" si="24"/>
        <v>6</v>
      </c>
      <c r="O470">
        <v>3</v>
      </c>
      <c r="P470" s="6">
        <v>222.34</v>
      </c>
      <c r="Q470">
        <v>0</v>
      </c>
      <c r="R470">
        <v>667.02</v>
      </c>
      <c r="S470">
        <v>33.35</v>
      </c>
      <c r="T470">
        <v>10</v>
      </c>
      <c r="U470">
        <v>5</v>
      </c>
      <c r="V470">
        <v>715.37</v>
      </c>
      <c r="W470" t="s">
        <v>27</v>
      </c>
      <c r="X470">
        <v>26</v>
      </c>
    </row>
    <row r="471" spans="1:24" ht="14.25" customHeight="1">
      <c r="A471" t="s">
        <v>1219</v>
      </c>
      <c r="B471" t="s">
        <v>2276</v>
      </c>
      <c r="C471" s="6" t="str">
        <f t="shared" si="22"/>
        <v>February</v>
      </c>
      <c r="D471" s="6" t="str">
        <f t="shared" si="23"/>
        <v>09</v>
      </c>
      <c r="E471" t="s">
        <v>727</v>
      </c>
      <c r="F471" t="s">
        <v>21</v>
      </c>
      <c r="G471" t="s">
        <v>106</v>
      </c>
      <c r="H471" s="4" t="s">
        <v>2257</v>
      </c>
      <c r="I471">
        <v>188835</v>
      </c>
      <c r="J471" s="8" t="s">
        <v>2349</v>
      </c>
      <c r="K471" t="s">
        <v>328</v>
      </c>
      <c r="L471" t="s">
        <v>329</v>
      </c>
      <c r="M471" t="s">
        <v>40</v>
      </c>
      <c r="N471">
        <f t="shared" si="24"/>
        <v>6</v>
      </c>
      <c r="O471">
        <v>6</v>
      </c>
      <c r="P471" s="6">
        <v>149.36000000000001</v>
      </c>
      <c r="Q471">
        <v>0</v>
      </c>
      <c r="R471">
        <v>896.16000000000008</v>
      </c>
      <c r="S471">
        <v>44.81</v>
      </c>
      <c r="T471">
        <v>0</v>
      </c>
      <c r="U471">
        <v>15</v>
      </c>
      <c r="V471">
        <v>955.97</v>
      </c>
      <c r="W471" t="s">
        <v>27</v>
      </c>
      <c r="X471">
        <v>17</v>
      </c>
    </row>
    <row r="472" spans="1:24" ht="14.25" customHeight="1">
      <c r="A472" t="s">
        <v>1220</v>
      </c>
      <c r="B472" t="s">
        <v>2321</v>
      </c>
      <c r="C472" s="6" t="str">
        <f t="shared" si="22"/>
        <v>February</v>
      </c>
      <c r="D472" s="6" t="str">
        <f t="shared" si="23"/>
        <v>15</v>
      </c>
      <c r="E472" t="s">
        <v>731</v>
      </c>
      <c r="F472" t="s">
        <v>80</v>
      </c>
      <c r="G472" t="s">
        <v>81</v>
      </c>
      <c r="H472" s="4" t="s">
        <v>2257</v>
      </c>
      <c r="I472">
        <v>824174</v>
      </c>
      <c r="J472" s="8" t="s">
        <v>2346</v>
      </c>
      <c r="K472" t="s">
        <v>332</v>
      </c>
      <c r="L472" t="s">
        <v>333</v>
      </c>
      <c r="M472" t="s">
        <v>26</v>
      </c>
      <c r="N472">
        <f t="shared" si="24"/>
        <v>3</v>
      </c>
      <c r="O472">
        <v>3</v>
      </c>
      <c r="P472" s="6">
        <v>225.94</v>
      </c>
      <c r="Q472">
        <v>11.3</v>
      </c>
      <c r="R472">
        <v>666.52</v>
      </c>
      <c r="S472">
        <v>33.33</v>
      </c>
      <c r="T472">
        <v>0</v>
      </c>
      <c r="U472">
        <v>15</v>
      </c>
      <c r="V472">
        <v>714.85</v>
      </c>
      <c r="W472" t="s">
        <v>27</v>
      </c>
      <c r="X472">
        <v>18</v>
      </c>
    </row>
    <row r="473" spans="1:24" ht="14.25" customHeight="1">
      <c r="A473" t="s">
        <v>1221</v>
      </c>
      <c r="B473" t="s">
        <v>2273</v>
      </c>
      <c r="C473" s="6" t="str">
        <f t="shared" si="22"/>
        <v>January</v>
      </c>
      <c r="D473" s="6" t="str">
        <f t="shared" si="23"/>
        <v>24</v>
      </c>
      <c r="E473" t="s">
        <v>735</v>
      </c>
      <c r="F473" t="s">
        <v>21</v>
      </c>
      <c r="G473" t="s">
        <v>74</v>
      </c>
      <c r="H473" s="4" t="s">
        <v>2257</v>
      </c>
      <c r="I473">
        <v>468760</v>
      </c>
      <c r="J473" s="8" t="s">
        <v>2347</v>
      </c>
      <c r="K473" t="s">
        <v>336</v>
      </c>
      <c r="L473" t="s">
        <v>337</v>
      </c>
      <c r="M473" t="s">
        <v>135</v>
      </c>
      <c r="N473">
        <f t="shared" si="24"/>
        <v>9</v>
      </c>
      <c r="O473">
        <v>3</v>
      </c>
      <c r="P473" s="6">
        <v>67.45</v>
      </c>
      <c r="Q473">
        <v>10.119999999999999</v>
      </c>
      <c r="R473">
        <v>192.23</v>
      </c>
      <c r="S473">
        <v>9.61</v>
      </c>
      <c r="T473">
        <v>20</v>
      </c>
      <c r="U473">
        <v>0</v>
      </c>
      <c r="V473">
        <v>221.84</v>
      </c>
      <c r="W473" t="s">
        <v>27</v>
      </c>
      <c r="X473">
        <v>33</v>
      </c>
    </row>
    <row r="474" spans="1:24" ht="14.25" customHeight="1">
      <c r="A474" t="s">
        <v>1222</v>
      </c>
      <c r="B474" t="s">
        <v>2303</v>
      </c>
      <c r="C474" s="6" t="str">
        <f t="shared" si="22"/>
        <v>February</v>
      </c>
      <c r="D474" s="6" t="str">
        <f t="shared" si="23"/>
        <v>19</v>
      </c>
      <c r="E474" t="s">
        <v>739</v>
      </c>
      <c r="F474" t="s">
        <v>21</v>
      </c>
      <c r="G474" t="s">
        <v>74</v>
      </c>
      <c r="H474" s="4" t="s">
        <v>2257</v>
      </c>
      <c r="I474">
        <v>409550</v>
      </c>
      <c r="J474" s="8" t="s">
        <v>2347</v>
      </c>
      <c r="K474" t="s">
        <v>340</v>
      </c>
      <c r="L474" t="s">
        <v>341</v>
      </c>
      <c r="M474" t="s">
        <v>26</v>
      </c>
      <c r="N474">
        <f t="shared" si="24"/>
        <v>3</v>
      </c>
      <c r="O474">
        <v>1</v>
      </c>
      <c r="P474" s="6">
        <v>171.39</v>
      </c>
      <c r="Q474">
        <v>25.71</v>
      </c>
      <c r="R474">
        <v>145.68</v>
      </c>
      <c r="S474">
        <v>7.28</v>
      </c>
      <c r="T474">
        <v>30</v>
      </c>
      <c r="U474">
        <v>20</v>
      </c>
      <c r="V474">
        <v>202.96</v>
      </c>
      <c r="W474" t="s">
        <v>27</v>
      </c>
      <c r="X474">
        <v>42</v>
      </c>
    </row>
    <row r="475" spans="1:24" ht="14.25" customHeight="1">
      <c r="A475" t="s">
        <v>1223</v>
      </c>
      <c r="B475" t="s">
        <v>2319</v>
      </c>
      <c r="C475" s="6" t="str">
        <f t="shared" si="22"/>
        <v>February</v>
      </c>
      <c r="D475" s="6" t="str">
        <f t="shared" si="23"/>
        <v>01</v>
      </c>
      <c r="E475" t="s">
        <v>743</v>
      </c>
      <c r="F475" t="s">
        <v>21</v>
      </c>
      <c r="G475" t="s">
        <v>68</v>
      </c>
      <c r="H475" s="4" t="s">
        <v>2257</v>
      </c>
      <c r="I475">
        <v>752416</v>
      </c>
      <c r="J475" s="8" t="s">
        <v>2347</v>
      </c>
      <c r="K475" t="s">
        <v>344</v>
      </c>
      <c r="L475" t="s">
        <v>345</v>
      </c>
      <c r="M475" t="s">
        <v>33</v>
      </c>
      <c r="N475">
        <f t="shared" si="24"/>
        <v>10</v>
      </c>
      <c r="O475">
        <v>7</v>
      </c>
      <c r="P475" s="6">
        <v>61.35</v>
      </c>
      <c r="Q475">
        <v>6.14</v>
      </c>
      <c r="R475">
        <v>423.31</v>
      </c>
      <c r="S475">
        <v>21.17</v>
      </c>
      <c r="T475">
        <v>10</v>
      </c>
      <c r="U475">
        <v>10</v>
      </c>
      <c r="V475">
        <v>464.48</v>
      </c>
      <c r="W475" t="s">
        <v>27</v>
      </c>
      <c r="X475">
        <v>30</v>
      </c>
    </row>
    <row r="476" spans="1:24" ht="14.25" customHeight="1">
      <c r="A476" t="s">
        <v>1224</v>
      </c>
      <c r="B476" t="s">
        <v>2293</v>
      </c>
      <c r="C476" s="6" t="str">
        <f t="shared" si="22"/>
        <v>February</v>
      </c>
      <c r="D476" s="6" t="str">
        <f t="shared" si="23"/>
        <v>16</v>
      </c>
      <c r="E476" t="s">
        <v>747</v>
      </c>
      <c r="F476" t="s">
        <v>21</v>
      </c>
      <c r="G476" t="s">
        <v>74</v>
      </c>
      <c r="H476" s="4" t="s">
        <v>2257</v>
      </c>
      <c r="I476">
        <v>776585</v>
      </c>
      <c r="J476" s="8" t="s">
        <v>2346</v>
      </c>
      <c r="K476" t="s">
        <v>348</v>
      </c>
      <c r="L476" t="s">
        <v>349</v>
      </c>
      <c r="M476" t="s">
        <v>65</v>
      </c>
      <c r="N476">
        <f t="shared" si="24"/>
        <v>6</v>
      </c>
      <c r="O476">
        <v>3</v>
      </c>
      <c r="P476" s="6">
        <v>219.86</v>
      </c>
      <c r="Q476">
        <v>21.99</v>
      </c>
      <c r="R476">
        <v>637.59</v>
      </c>
      <c r="S476">
        <v>31.88</v>
      </c>
      <c r="T476">
        <v>20</v>
      </c>
      <c r="U476">
        <v>10</v>
      </c>
      <c r="V476">
        <v>699.47</v>
      </c>
      <c r="W476" t="s">
        <v>27</v>
      </c>
      <c r="X476">
        <v>32</v>
      </c>
    </row>
    <row r="477" spans="1:24" ht="14.25" customHeight="1">
      <c r="A477" t="s">
        <v>1225</v>
      </c>
      <c r="B477" t="s">
        <v>2278</v>
      </c>
      <c r="C477" s="6" t="str">
        <f t="shared" si="22"/>
        <v>January</v>
      </c>
      <c r="D477" s="6" t="str">
        <f t="shared" si="23"/>
        <v>22</v>
      </c>
      <c r="E477" t="s">
        <v>751</v>
      </c>
      <c r="F477" t="s">
        <v>21</v>
      </c>
      <c r="G477" t="s">
        <v>22</v>
      </c>
      <c r="H477" s="4" t="s">
        <v>2257</v>
      </c>
      <c r="I477">
        <v>900819</v>
      </c>
      <c r="J477" s="8" t="s">
        <v>30</v>
      </c>
      <c r="K477" t="s">
        <v>352</v>
      </c>
      <c r="L477" t="s">
        <v>353</v>
      </c>
      <c r="M477" t="s">
        <v>130</v>
      </c>
      <c r="N477">
        <f t="shared" si="24"/>
        <v>7</v>
      </c>
      <c r="O477">
        <v>2</v>
      </c>
      <c r="P477" s="6">
        <v>117.39</v>
      </c>
      <c r="Q477">
        <v>0</v>
      </c>
      <c r="R477">
        <v>234.78</v>
      </c>
      <c r="S477">
        <v>11.74</v>
      </c>
      <c r="T477">
        <v>30</v>
      </c>
      <c r="U477">
        <v>20</v>
      </c>
      <c r="V477">
        <v>296.52</v>
      </c>
      <c r="W477" t="s">
        <v>84</v>
      </c>
      <c r="X477">
        <v>25</v>
      </c>
    </row>
    <row r="478" spans="1:24" ht="14.25" customHeight="1">
      <c r="A478" t="s">
        <v>1226</v>
      </c>
      <c r="B478" t="s">
        <v>2271</v>
      </c>
      <c r="C478" s="6" t="str">
        <f t="shared" si="22"/>
        <v>January</v>
      </c>
      <c r="D478" s="6" t="str">
        <f t="shared" si="23"/>
        <v>23</v>
      </c>
      <c r="E478" t="s">
        <v>755</v>
      </c>
      <c r="F478" t="s">
        <v>21</v>
      </c>
      <c r="G478" t="s">
        <v>106</v>
      </c>
      <c r="H478" s="4" t="s">
        <v>2257</v>
      </c>
      <c r="I478">
        <v>865791</v>
      </c>
      <c r="J478" s="8" t="s">
        <v>2346</v>
      </c>
      <c r="K478" t="s">
        <v>356</v>
      </c>
      <c r="L478" t="s">
        <v>357</v>
      </c>
      <c r="M478" t="s">
        <v>130</v>
      </c>
      <c r="N478">
        <f t="shared" si="24"/>
        <v>7</v>
      </c>
      <c r="O478">
        <v>4</v>
      </c>
      <c r="P478" s="6">
        <v>124.02</v>
      </c>
      <c r="Q478">
        <v>6.2</v>
      </c>
      <c r="R478">
        <v>489.88</v>
      </c>
      <c r="S478">
        <v>24.49</v>
      </c>
      <c r="T478">
        <v>0</v>
      </c>
      <c r="U478">
        <v>0</v>
      </c>
      <c r="V478">
        <v>514.37</v>
      </c>
      <c r="W478" t="s">
        <v>27</v>
      </c>
      <c r="X478">
        <v>36</v>
      </c>
    </row>
    <row r="479" spans="1:24" ht="14.25" customHeight="1">
      <c r="A479" t="s">
        <v>1227</v>
      </c>
      <c r="B479" t="s">
        <v>2279</v>
      </c>
      <c r="C479" s="6" t="str">
        <f t="shared" si="22"/>
        <v>January</v>
      </c>
      <c r="D479" s="6" t="str">
        <f t="shared" si="23"/>
        <v>02</v>
      </c>
      <c r="E479" t="s">
        <v>759</v>
      </c>
      <c r="F479" t="s">
        <v>21</v>
      </c>
      <c r="G479" t="s">
        <v>22</v>
      </c>
      <c r="H479" s="4" t="s">
        <v>2257</v>
      </c>
      <c r="I479">
        <v>524032</v>
      </c>
      <c r="J479" s="8" t="s">
        <v>2345</v>
      </c>
      <c r="K479" t="s">
        <v>360</v>
      </c>
      <c r="L479" t="s">
        <v>361</v>
      </c>
      <c r="M479" t="s">
        <v>50</v>
      </c>
      <c r="N479">
        <f t="shared" si="24"/>
        <v>5</v>
      </c>
      <c r="O479">
        <v>2</v>
      </c>
      <c r="P479" s="6">
        <v>70.12</v>
      </c>
      <c r="Q479">
        <v>0</v>
      </c>
      <c r="R479">
        <v>140.24</v>
      </c>
      <c r="S479">
        <v>7.01</v>
      </c>
      <c r="T479">
        <v>0</v>
      </c>
      <c r="U479">
        <v>0</v>
      </c>
      <c r="V479">
        <v>147.25</v>
      </c>
      <c r="W479" t="s">
        <v>27</v>
      </c>
      <c r="X479">
        <v>31</v>
      </c>
    </row>
    <row r="480" spans="1:24" ht="14.25" customHeight="1">
      <c r="A480" t="s">
        <v>1228</v>
      </c>
      <c r="B480" t="s">
        <v>2288</v>
      </c>
      <c r="C480" s="6" t="str">
        <f t="shared" si="22"/>
        <v>January</v>
      </c>
      <c r="D480" s="6" t="str">
        <f t="shared" si="23"/>
        <v>27</v>
      </c>
      <c r="E480" t="s">
        <v>763</v>
      </c>
      <c r="F480" t="s">
        <v>21</v>
      </c>
      <c r="G480" t="s">
        <v>106</v>
      </c>
      <c r="H480" s="4" t="s">
        <v>2257</v>
      </c>
      <c r="I480">
        <v>526070</v>
      </c>
      <c r="J480" s="8" t="s">
        <v>2349</v>
      </c>
      <c r="K480" t="s">
        <v>364</v>
      </c>
      <c r="L480" t="s">
        <v>365</v>
      </c>
      <c r="M480" t="s">
        <v>50</v>
      </c>
      <c r="N480">
        <f t="shared" si="24"/>
        <v>5</v>
      </c>
      <c r="O480">
        <v>6</v>
      </c>
      <c r="P480" s="6">
        <v>119.18</v>
      </c>
      <c r="Q480">
        <v>5.96</v>
      </c>
      <c r="R480">
        <v>709.12</v>
      </c>
      <c r="S480">
        <v>35.46</v>
      </c>
      <c r="T480">
        <v>30</v>
      </c>
      <c r="U480">
        <v>20</v>
      </c>
      <c r="V480">
        <v>794.58</v>
      </c>
      <c r="W480" t="s">
        <v>27</v>
      </c>
      <c r="X480">
        <v>27</v>
      </c>
    </row>
    <row r="481" spans="1:24" ht="14.25" customHeight="1">
      <c r="A481" t="s">
        <v>1229</v>
      </c>
      <c r="B481" t="s">
        <v>2290</v>
      </c>
      <c r="C481" s="6" t="str">
        <f t="shared" si="22"/>
        <v>February</v>
      </c>
      <c r="D481" s="6" t="str">
        <f t="shared" si="23"/>
        <v>11</v>
      </c>
      <c r="E481" t="s">
        <v>767</v>
      </c>
      <c r="F481" t="s">
        <v>21</v>
      </c>
      <c r="G481" t="s">
        <v>22</v>
      </c>
      <c r="H481" s="4" t="s">
        <v>2257</v>
      </c>
      <c r="I481">
        <v>106968</v>
      </c>
      <c r="J481" s="8" t="s">
        <v>2346</v>
      </c>
      <c r="K481" t="s">
        <v>368</v>
      </c>
      <c r="L481" t="s">
        <v>369</v>
      </c>
      <c r="M481" t="s">
        <v>33</v>
      </c>
      <c r="N481">
        <f t="shared" si="24"/>
        <v>10</v>
      </c>
      <c r="O481">
        <v>2</v>
      </c>
      <c r="P481" s="6">
        <v>23.67</v>
      </c>
      <c r="Q481">
        <v>2.37</v>
      </c>
      <c r="R481">
        <v>44.970000000000013</v>
      </c>
      <c r="S481">
        <v>2.25</v>
      </c>
      <c r="T481">
        <v>10</v>
      </c>
      <c r="U481">
        <v>0</v>
      </c>
      <c r="V481">
        <v>57.220000000000013</v>
      </c>
      <c r="W481" t="s">
        <v>27</v>
      </c>
      <c r="X481">
        <v>20</v>
      </c>
    </row>
    <row r="482" spans="1:24" ht="14.25" customHeight="1">
      <c r="A482" t="s">
        <v>1230</v>
      </c>
      <c r="B482" t="s">
        <v>2279</v>
      </c>
      <c r="C482" s="6" t="str">
        <f t="shared" si="22"/>
        <v>January</v>
      </c>
      <c r="D482" s="6" t="str">
        <f t="shared" si="23"/>
        <v>02</v>
      </c>
      <c r="E482" t="s">
        <v>771</v>
      </c>
      <c r="F482" t="s">
        <v>21</v>
      </c>
      <c r="G482" t="s">
        <v>37</v>
      </c>
      <c r="H482" s="4" t="s">
        <v>2257</v>
      </c>
      <c r="I482">
        <v>613942</v>
      </c>
      <c r="J482" s="8" t="s">
        <v>2346</v>
      </c>
      <c r="K482" t="s">
        <v>372</v>
      </c>
      <c r="L482" t="s">
        <v>373</v>
      </c>
      <c r="M482" t="s">
        <v>33</v>
      </c>
      <c r="N482">
        <f t="shared" si="24"/>
        <v>10</v>
      </c>
      <c r="O482">
        <v>6</v>
      </c>
      <c r="P482" s="6">
        <v>202.89</v>
      </c>
      <c r="Q482">
        <v>30.43</v>
      </c>
      <c r="R482">
        <v>1186.9100000000001</v>
      </c>
      <c r="S482">
        <v>59.35</v>
      </c>
      <c r="T482">
        <v>0</v>
      </c>
      <c r="U482">
        <v>5</v>
      </c>
      <c r="V482">
        <v>1251.26</v>
      </c>
      <c r="W482" t="s">
        <v>27</v>
      </c>
      <c r="X482">
        <v>37</v>
      </c>
    </row>
    <row r="483" spans="1:24" ht="14.25" customHeight="1">
      <c r="A483" t="s">
        <v>1231</v>
      </c>
      <c r="B483" t="s">
        <v>2304</v>
      </c>
      <c r="C483" s="6" t="str">
        <f t="shared" si="22"/>
        <v>January</v>
      </c>
      <c r="D483" s="6" t="str">
        <f t="shared" si="23"/>
        <v>26</v>
      </c>
      <c r="E483" t="s">
        <v>775</v>
      </c>
      <c r="F483" t="s">
        <v>21</v>
      </c>
      <c r="G483" t="s">
        <v>74</v>
      </c>
      <c r="H483" s="4" t="s">
        <v>2257</v>
      </c>
      <c r="I483">
        <v>747652</v>
      </c>
      <c r="J483" s="8" t="s">
        <v>2346</v>
      </c>
      <c r="K483" t="s">
        <v>376</v>
      </c>
      <c r="L483" t="s">
        <v>377</v>
      </c>
      <c r="M483" t="s">
        <v>77</v>
      </c>
      <c r="N483">
        <f t="shared" si="24"/>
        <v>5</v>
      </c>
      <c r="O483">
        <v>5</v>
      </c>
      <c r="P483" s="6">
        <v>141.55000000000001</v>
      </c>
      <c r="Q483">
        <v>21.23</v>
      </c>
      <c r="R483">
        <v>686.52</v>
      </c>
      <c r="S483">
        <v>34.33</v>
      </c>
      <c r="T483">
        <v>20</v>
      </c>
      <c r="U483">
        <v>10</v>
      </c>
      <c r="V483">
        <v>750.85</v>
      </c>
      <c r="W483" t="s">
        <v>117</v>
      </c>
      <c r="X483">
        <v>25</v>
      </c>
    </row>
    <row r="484" spans="1:24" ht="14.25" customHeight="1">
      <c r="A484" t="s">
        <v>1232</v>
      </c>
      <c r="B484" t="s">
        <v>2307</v>
      </c>
      <c r="C484" s="6" t="str">
        <f t="shared" si="22"/>
        <v>January</v>
      </c>
      <c r="D484" s="6" t="str">
        <f t="shared" si="23"/>
        <v>17</v>
      </c>
      <c r="E484" t="s">
        <v>779</v>
      </c>
      <c r="F484" t="s">
        <v>21</v>
      </c>
      <c r="G484" t="s">
        <v>22</v>
      </c>
      <c r="H484" s="4" t="s">
        <v>2257</v>
      </c>
      <c r="I484">
        <v>694557</v>
      </c>
      <c r="J484" s="8" t="s">
        <v>2347</v>
      </c>
      <c r="K484" t="s">
        <v>380</v>
      </c>
      <c r="L484" t="s">
        <v>381</v>
      </c>
      <c r="M484" t="s">
        <v>55</v>
      </c>
      <c r="N484">
        <f t="shared" si="24"/>
        <v>5</v>
      </c>
      <c r="O484">
        <v>4</v>
      </c>
      <c r="P484" s="6">
        <v>115.55</v>
      </c>
      <c r="Q484">
        <v>11.55</v>
      </c>
      <c r="R484">
        <v>450.65</v>
      </c>
      <c r="S484">
        <v>22.53</v>
      </c>
      <c r="T484">
        <v>0</v>
      </c>
      <c r="U484">
        <v>5</v>
      </c>
      <c r="V484">
        <v>478.17999999999989</v>
      </c>
      <c r="W484" t="s">
        <v>34</v>
      </c>
      <c r="X484">
        <v>25</v>
      </c>
    </row>
    <row r="485" spans="1:24" ht="14.25" customHeight="1">
      <c r="A485" t="s">
        <v>1233</v>
      </c>
      <c r="B485" t="s">
        <v>2276</v>
      </c>
      <c r="C485" s="6" t="str">
        <f t="shared" si="22"/>
        <v>February</v>
      </c>
      <c r="D485" s="6" t="str">
        <f t="shared" si="23"/>
        <v>09</v>
      </c>
      <c r="E485" t="s">
        <v>783</v>
      </c>
      <c r="F485" t="s">
        <v>80</v>
      </c>
      <c r="G485" t="s">
        <v>81</v>
      </c>
      <c r="H485" s="4" t="s">
        <v>2257</v>
      </c>
      <c r="I485">
        <v>930371</v>
      </c>
      <c r="J485" s="8" t="s">
        <v>2346</v>
      </c>
      <c r="K485" t="s">
        <v>384</v>
      </c>
      <c r="L485" t="s">
        <v>385</v>
      </c>
      <c r="M485" t="s">
        <v>77</v>
      </c>
      <c r="N485">
        <f t="shared" si="24"/>
        <v>5</v>
      </c>
      <c r="O485">
        <v>2</v>
      </c>
      <c r="P485" s="6">
        <v>61.61</v>
      </c>
      <c r="Q485">
        <v>9.24</v>
      </c>
      <c r="R485">
        <v>113.98</v>
      </c>
      <c r="S485">
        <v>5.7</v>
      </c>
      <c r="T485">
        <v>0</v>
      </c>
      <c r="U485">
        <v>0</v>
      </c>
      <c r="V485">
        <v>119.68</v>
      </c>
      <c r="W485" t="s">
        <v>27</v>
      </c>
      <c r="X485">
        <v>6</v>
      </c>
    </row>
    <row r="486" spans="1:24" ht="14.25" customHeight="1">
      <c r="A486" t="s">
        <v>1234</v>
      </c>
      <c r="B486" t="s">
        <v>2284</v>
      </c>
      <c r="C486" s="6" t="str">
        <f t="shared" si="22"/>
        <v>February</v>
      </c>
      <c r="D486" s="6" t="str">
        <f t="shared" si="23"/>
        <v>02</v>
      </c>
      <c r="E486" t="s">
        <v>787</v>
      </c>
      <c r="F486" t="s">
        <v>21</v>
      </c>
      <c r="G486" t="s">
        <v>22</v>
      </c>
      <c r="H486" s="4" t="s">
        <v>2257</v>
      </c>
      <c r="I486">
        <v>407086</v>
      </c>
      <c r="J486" s="8" t="s">
        <v>62</v>
      </c>
      <c r="K486" t="s">
        <v>388</v>
      </c>
      <c r="L486" t="s">
        <v>389</v>
      </c>
      <c r="M486" t="s">
        <v>50</v>
      </c>
      <c r="N486">
        <f t="shared" si="24"/>
        <v>5</v>
      </c>
      <c r="O486">
        <v>6</v>
      </c>
      <c r="P486" s="6">
        <v>218.05</v>
      </c>
      <c r="Q486">
        <v>32.71</v>
      </c>
      <c r="R486">
        <v>1275.5899999999999</v>
      </c>
      <c r="S486">
        <v>63.78</v>
      </c>
      <c r="T486">
        <v>0</v>
      </c>
      <c r="U486">
        <v>0</v>
      </c>
      <c r="V486">
        <v>1339.37</v>
      </c>
      <c r="W486" t="s">
        <v>27</v>
      </c>
      <c r="X486">
        <v>29</v>
      </c>
    </row>
    <row r="487" spans="1:24" ht="14.25" customHeight="1">
      <c r="A487" t="s">
        <v>1235</v>
      </c>
      <c r="B487" t="s">
        <v>2299</v>
      </c>
      <c r="C487" s="6" t="str">
        <f t="shared" si="22"/>
        <v>January</v>
      </c>
      <c r="D487" s="6" t="str">
        <f t="shared" si="23"/>
        <v>09</v>
      </c>
      <c r="E487" t="s">
        <v>791</v>
      </c>
      <c r="F487" t="s">
        <v>21</v>
      </c>
      <c r="G487" t="s">
        <v>68</v>
      </c>
      <c r="H487" s="4" t="s">
        <v>2257</v>
      </c>
      <c r="I487">
        <v>894760</v>
      </c>
      <c r="J487" s="8" t="s">
        <v>30</v>
      </c>
      <c r="K487" t="s">
        <v>392</v>
      </c>
      <c r="L487" t="s">
        <v>393</v>
      </c>
      <c r="M487" t="s">
        <v>135</v>
      </c>
      <c r="N487">
        <f t="shared" si="24"/>
        <v>9</v>
      </c>
      <c r="O487">
        <v>3</v>
      </c>
      <c r="P487" s="6">
        <v>175</v>
      </c>
      <c r="Q487">
        <v>26.25</v>
      </c>
      <c r="R487">
        <v>498.75</v>
      </c>
      <c r="S487">
        <v>24.94</v>
      </c>
      <c r="T487">
        <v>20</v>
      </c>
      <c r="U487">
        <v>20</v>
      </c>
      <c r="V487">
        <v>563.69000000000005</v>
      </c>
      <c r="W487" t="s">
        <v>27</v>
      </c>
      <c r="X487">
        <v>18</v>
      </c>
    </row>
    <row r="488" spans="1:24" ht="14.25" customHeight="1">
      <c r="A488" t="s">
        <v>1236</v>
      </c>
      <c r="B488" t="s">
        <v>2266</v>
      </c>
      <c r="C488" s="6" t="str">
        <f t="shared" si="22"/>
        <v>February</v>
      </c>
      <c r="D488" s="6" t="str">
        <f t="shared" si="23"/>
        <v>12</v>
      </c>
      <c r="E488" t="s">
        <v>795</v>
      </c>
      <c r="F488" t="s">
        <v>21</v>
      </c>
      <c r="G488" t="s">
        <v>22</v>
      </c>
      <c r="H488" s="4" t="s">
        <v>2257</v>
      </c>
      <c r="I488">
        <v>858761</v>
      </c>
      <c r="J488" s="8" t="s">
        <v>30</v>
      </c>
      <c r="K488" t="s">
        <v>396</v>
      </c>
      <c r="L488" t="s">
        <v>397</v>
      </c>
      <c r="M488" t="s">
        <v>45</v>
      </c>
      <c r="N488">
        <f t="shared" si="24"/>
        <v>6</v>
      </c>
      <c r="O488">
        <v>1</v>
      </c>
      <c r="P488" s="6">
        <v>125.55</v>
      </c>
      <c r="Q488">
        <v>12.55</v>
      </c>
      <c r="R488">
        <v>113</v>
      </c>
      <c r="S488">
        <v>5.65</v>
      </c>
      <c r="T488">
        <v>30</v>
      </c>
      <c r="U488">
        <v>0</v>
      </c>
      <c r="V488">
        <v>148.65</v>
      </c>
      <c r="W488" t="s">
        <v>27</v>
      </c>
      <c r="X488">
        <v>17</v>
      </c>
    </row>
    <row r="489" spans="1:24" ht="14.25" customHeight="1">
      <c r="A489" t="s">
        <v>1237</v>
      </c>
      <c r="B489" t="s">
        <v>2309</v>
      </c>
      <c r="C489" s="6" t="str">
        <f t="shared" si="22"/>
        <v>February</v>
      </c>
      <c r="D489" s="6" t="str">
        <f t="shared" si="23"/>
        <v>23</v>
      </c>
      <c r="E489" t="s">
        <v>799</v>
      </c>
      <c r="F489" t="s">
        <v>21</v>
      </c>
      <c r="G489" t="s">
        <v>74</v>
      </c>
      <c r="H489" s="4" t="s">
        <v>2257</v>
      </c>
      <c r="I489">
        <v>333612</v>
      </c>
      <c r="J489" s="8" t="s">
        <v>2345</v>
      </c>
      <c r="K489" t="s">
        <v>400</v>
      </c>
      <c r="L489" t="s">
        <v>401</v>
      </c>
      <c r="M489" t="s">
        <v>22</v>
      </c>
      <c r="N489">
        <f t="shared" si="24"/>
        <v>6</v>
      </c>
      <c r="O489">
        <v>3</v>
      </c>
      <c r="P489" s="6">
        <v>37.44</v>
      </c>
      <c r="Q489">
        <v>1.87</v>
      </c>
      <c r="R489">
        <v>110.45</v>
      </c>
      <c r="S489">
        <v>5.52</v>
      </c>
      <c r="T489">
        <v>30</v>
      </c>
      <c r="U489">
        <v>15</v>
      </c>
      <c r="V489">
        <v>160.97</v>
      </c>
      <c r="W489" t="s">
        <v>27</v>
      </c>
      <c r="X489">
        <v>21</v>
      </c>
    </row>
    <row r="490" spans="1:24" ht="14.25" customHeight="1">
      <c r="A490" t="s">
        <v>1238</v>
      </c>
      <c r="B490" t="s">
        <v>2313</v>
      </c>
      <c r="C490" s="6" t="str">
        <f t="shared" si="22"/>
        <v>February</v>
      </c>
      <c r="D490" s="6" t="str">
        <f t="shared" si="23"/>
        <v>17</v>
      </c>
      <c r="E490" t="s">
        <v>803</v>
      </c>
      <c r="F490" t="s">
        <v>21</v>
      </c>
      <c r="G490" t="s">
        <v>106</v>
      </c>
      <c r="H490" s="4" t="s">
        <v>2257</v>
      </c>
      <c r="I490">
        <v>170463</v>
      </c>
      <c r="J490" s="8" t="s">
        <v>2349</v>
      </c>
      <c r="K490" t="s">
        <v>404</v>
      </c>
      <c r="L490" t="s">
        <v>405</v>
      </c>
      <c r="M490" t="s">
        <v>140</v>
      </c>
      <c r="N490">
        <f t="shared" si="24"/>
        <v>3</v>
      </c>
      <c r="O490">
        <v>4</v>
      </c>
      <c r="P490" s="6">
        <v>96.67</v>
      </c>
      <c r="Q490">
        <v>9.67</v>
      </c>
      <c r="R490">
        <v>377.01</v>
      </c>
      <c r="S490">
        <v>18.850000000000001</v>
      </c>
      <c r="T490">
        <v>0</v>
      </c>
      <c r="U490">
        <v>20</v>
      </c>
      <c r="V490">
        <v>415.86</v>
      </c>
      <c r="W490" t="s">
        <v>27</v>
      </c>
      <c r="X490">
        <v>28</v>
      </c>
    </row>
    <row r="491" spans="1:24" ht="14.25" customHeight="1">
      <c r="A491" t="s">
        <v>1239</v>
      </c>
      <c r="B491" t="s">
        <v>2262</v>
      </c>
      <c r="C491" s="6" t="str">
        <f t="shared" si="22"/>
        <v>February</v>
      </c>
      <c r="D491" s="6" t="str">
        <f t="shared" si="23"/>
        <v>08</v>
      </c>
      <c r="E491" t="s">
        <v>807</v>
      </c>
      <c r="F491" t="s">
        <v>21</v>
      </c>
      <c r="G491" t="s">
        <v>68</v>
      </c>
      <c r="H491" s="4" t="s">
        <v>2257</v>
      </c>
      <c r="I491">
        <v>755129</v>
      </c>
      <c r="J491" s="8" t="s">
        <v>2345</v>
      </c>
      <c r="K491" t="s">
        <v>408</v>
      </c>
      <c r="L491" t="s">
        <v>409</v>
      </c>
      <c r="M491" t="s">
        <v>77</v>
      </c>
      <c r="N491">
        <f t="shared" si="24"/>
        <v>5</v>
      </c>
      <c r="O491">
        <v>4</v>
      </c>
      <c r="P491" s="6">
        <v>94.78</v>
      </c>
      <c r="Q491">
        <v>4.74</v>
      </c>
      <c r="R491">
        <v>374.38</v>
      </c>
      <c r="S491">
        <v>18.72</v>
      </c>
      <c r="T491">
        <v>30</v>
      </c>
      <c r="U491">
        <v>10</v>
      </c>
      <c r="V491">
        <v>433.1</v>
      </c>
      <c r="W491" t="s">
        <v>27</v>
      </c>
      <c r="X491">
        <v>38</v>
      </c>
    </row>
    <row r="492" spans="1:24" ht="14.25" customHeight="1">
      <c r="A492" t="s">
        <v>1240</v>
      </c>
      <c r="B492" t="s">
        <v>2264</v>
      </c>
      <c r="C492" s="6" t="str">
        <f t="shared" si="22"/>
        <v>January</v>
      </c>
      <c r="D492" s="6" t="str">
        <f t="shared" si="23"/>
        <v>29</v>
      </c>
      <c r="E492" t="s">
        <v>811</v>
      </c>
      <c r="F492" t="s">
        <v>101</v>
      </c>
      <c r="G492" t="s">
        <v>81</v>
      </c>
      <c r="H492" s="4" t="s">
        <v>2257</v>
      </c>
      <c r="I492">
        <v>747418</v>
      </c>
      <c r="J492" s="8" t="s">
        <v>2346</v>
      </c>
      <c r="K492" t="s">
        <v>412</v>
      </c>
      <c r="L492" t="s">
        <v>413</v>
      </c>
      <c r="M492" t="s">
        <v>40</v>
      </c>
      <c r="N492">
        <f t="shared" si="24"/>
        <v>6</v>
      </c>
      <c r="O492">
        <v>5</v>
      </c>
      <c r="P492" s="6">
        <v>146.16</v>
      </c>
      <c r="Q492">
        <v>0</v>
      </c>
      <c r="R492">
        <v>730.8</v>
      </c>
      <c r="S492">
        <v>36.54</v>
      </c>
      <c r="T492">
        <v>0</v>
      </c>
      <c r="U492">
        <v>15</v>
      </c>
      <c r="V492">
        <v>782.33999999999992</v>
      </c>
      <c r="W492" t="s">
        <v>27</v>
      </c>
      <c r="X492">
        <v>44</v>
      </c>
    </row>
    <row r="493" spans="1:24" ht="14.25" customHeight="1">
      <c r="A493" t="s">
        <v>1241</v>
      </c>
      <c r="B493" t="s">
        <v>2290</v>
      </c>
      <c r="C493" s="6" t="str">
        <f t="shared" si="22"/>
        <v>February</v>
      </c>
      <c r="D493" s="6" t="str">
        <f t="shared" si="23"/>
        <v>11</v>
      </c>
      <c r="E493" t="s">
        <v>815</v>
      </c>
      <c r="F493" t="s">
        <v>21</v>
      </c>
      <c r="G493" t="s">
        <v>22</v>
      </c>
      <c r="H493" s="4" t="s">
        <v>2257</v>
      </c>
      <c r="I493">
        <v>766015</v>
      </c>
      <c r="J493" s="8" t="s">
        <v>2346</v>
      </c>
      <c r="K493" t="s">
        <v>416</v>
      </c>
      <c r="L493" t="s">
        <v>417</v>
      </c>
      <c r="M493" t="s">
        <v>177</v>
      </c>
      <c r="N493">
        <f t="shared" si="24"/>
        <v>5</v>
      </c>
      <c r="O493">
        <v>1</v>
      </c>
      <c r="P493" s="6">
        <v>96.21</v>
      </c>
      <c r="Q493">
        <v>9.6199999999999992</v>
      </c>
      <c r="R493">
        <v>86.589999999999989</v>
      </c>
      <c r="S493">
        <v>4.33</v>
      </c>
      <c r="T493">
        <v>30</v>
      </c>
      <c r="U493">
        <v>15</v>
      </c>
      <c r="V493">
        <v>135.91999999999999</v>
      </c>
      <c r="W493" t="s">
        <v>27</v>
      </c>
      <c r="X493">
        <v>38</v>
      </c>
    </row>
    <row r="494" spans="1:24" ht="14.25" customHeight="1">
      <c r="A494" t="s">
        <v>1242</v>
      </c>
      <c r="B494" t="s">
        <v>2295</v>
      </c>
      <c r="C494" s="6" t="str">
        <f t="shared" si="22"/>
        <v>February</v>
      </c>
      <c r="D494" s="6" t="str">
        <f t="shared" si="23"/>
        <v>24</v>
      </c>
      <c r="E494" t="s">
        <v>819</v>
      </c>
      <c r="F494" t="s">
        <v>80</v>
      </c>
      <c r="G494" t="s">
        <v>81</v>
      </c>
      <c r="H494" s="4" t="s">
        <v>2257</v>
      </c>
      <c r="I494">
        <v>336187</v>
      </c>
      <c r="J494" s="8" t="s">
        <v>2349</v>
      </c>
      <c r="K494" t="s">
        <v>420</v>
      </c>
      <c r="L494" t="s">
        <v>421</v>
      </c>
      <c r="M494" t="s">
        <v>33</v>
      </c>
      <c r="N494">
        <f t="shared" si="24"/>
        <v>10</v>
      </c>
      <c r="O494">
        <v>3</v>
      </c>
      <c r="P494" s="6">
        <v>200.57</v>
      </c>
      <c r="Q494">
        <v>10.029999999999999</v>
      </c>
      <c r="R494">
        <v>591.68000000000006</v>
      </c>
      <c r="S494">
        <v>29.58</v>
      </c>
      <c r="T494">
        <v>0</v>
      </c>
      <c r="U494">
        <v>15</v>
      </c>
      <c r="V494">
        <v>636.2600000000001</v>
      </c>
      <c r="W494" t="s">
        <v>34</v>
      </c>
      <c r="X494">
        <v>25</v>
      </c>
    </row>
    <row r="495" spans="1:24" ht="14.25" customHeight="1">
      <c r="A495" t="s">
        <v>1243</v>
      </c>
      <c r="B495" t="s">
        <v>2304</v>
      </c>
      <c r="C495" s="6" t="str">
        <f t="shared" si="22"/>
        <v>January</v>
      </c>
      <c r="D495" s="6" t="str">
        <f t="shared" si="23"/>
        <v>26</v>
      </c>
      <c r="E495" t="s">
        <v>823</v>
      </c>
      <c r="F495" t="s">
        <v>80</v>
      </c>
      <c r="G495" t="s">
        <v>81</v>
      </c>
      <c r="H495" s="4" t="s">
        <v>2257</v>
      </c>
      <c r="I495">
        <v>912395</v>
      </c>
      <c r="J495" s="8" t="s">
        <v>2349</v>
      </c>
      <c r="K495" t="s">
        <v>424</v>
      </c>
      <c r="L495" t="s">
        <v>425</v>
      </c>
      <c r="M495" t="s">
        <v>135</v>
      </c>
      <c r="N495">
        <f t="shared" si="24"/>
        <v>9</v>
      </c>
      <c r="O495">
        <v>1</v>
      </c>
      <c r="P495" s="6">
        <v>217.57</v>
      </c>
      <c r="Q495">
        <v>21.76</v>
      </c>
      <c r="R495">
        <v>195.81</v>
      </c>
      <c r="S495">
        <v>9.7899999999999991</v>
      </c>
      <c r="T495">
        <v>20</v>
      </c>
      <c r="U495">
        <v>0</v>
      </c>
      <c r="V495">
        <v>225.6</v>
      </c>
      <c r="W495" t="s">
        <v>27</v>
      </c>
      <c r="X495">
        <v>32</v>
      </c>
    </row>
    <row r="496" spans="1:24" ht="14.25" customHeight="1">
      <c r="A496" t="s">
        <v>1244</v>
      </c>
      <c r="B496" t="s">
        <v>2306</v>
      </c>
      <c r="C496" s="6" t="str">
        <f t="shared" si="22"/>
        <v>February</v>
      </c>
      <c r="D496" s="6" t="str">
        <f t="shared" si="23"/>
        <v>04</v>
      </c>
      <c r="E496" t="s">
        <v>827</v>
      </c>
      <c r="F496" t="s">
        <v>21</v>
      </c>
      <c r="G496" t="s">
        <v>106</v>
      </c>
      <c r="H496" s="4" t="s">
        <v>2257</v>
      </c>
      <c r="I496">
        <v>373820</v>
      </c>
      <c r="J496" s="8" t="s">
        <v>2349</v>
      </c>
      <c r="K496" t="s">
        <v>428</v>
      </c>
      <c r="L496" t="s">
        <v>429</v>
      </c>
      <c r="M496" t="s">
        <v>98</v>
      </c>
      <c r="N496">
        <f t="shared" si="24"/>
        <v>4</v>
      </c>
      <c r="O496">
        <v>2</v>
      </c>
      <c r="P496" s="6">
        <v>178.74</v>
      </c>
      <c r="Q496">
        <v>26.81</v>
      </c>
      <c r="R496">
        <v>330.67</v>
      </c>
      <c r="S496">
        <v>16.53</v>
      </c>
      <c r="T496">
        <v>30</v>
      </c>
      <c r="U496">
        <v>15</v>
      </c>
      <c r="V496">
        <v>392.2</v>
      </c>
      <c r="W496" t="s">
        <v>27</v>
      </c>
      <c r="X496">
        <v>14</v>
      </c>
    </row>
    <row r="497" spans="1:24" ht="14.25" customHeight="1">
      <c r="A497" t="s">
        <v>1245</v>
      </c>
      <c r="B497" t="s">
        <v>2303</v>
      </c>
      <c r="C497" s="6" t="str">
        <f t="shared" si="22"/>
        <v>February</v>
      </c>
      <c r="D497" s="6" t="str">
        <f t="shared" si="23"/>
        <v>19</v>
      </c>
      <c r="E497" t="s">
        <v>831</v>
      </c>
      <c r="F497" t="s">
        <v>80</v>
      </c>
      <c r="G497" t="s">
        <v>81</v>
      </c>
      <c r="H497" s="4" t="s">
        <v>2257</v>
      </c>
      <c r="I497">
        <v>406093</v>
      </c>
      <c r="J497" s="8" t="s">
        <v>2349</v>
      </c>
      <c r="K497" t="s">
        <v>432</v>
      </c>
      <c r="L497" t="s">
        <v>433</v>
      </c>
      <c r="M497" t="s">
        <v>140</v>
      </c>
      <c r="N497">
        <f t="shared" si="24"/>
        <v>3</v>
      </c>
      <c r="O497">
        <v>1</v>
      </c>
      <c r="P497" s="6">
        <v>90.46</v>
      </c>
      <c r="Q497">
        <v>0</v>
      </c>
      <c r="R497">
        <v>90.46</v>
      </c>
      <c r="S497">
        <v>4.5199999999999996</v>
      </c>
      <c r="T497">
        <v>20</v>
      </c>
      <c r="U497">
        <v>20</v>
      </c>
      <c r="V497">
        <v>134.97999999999999</v>
      </c>
      <c r="W497" t="s">
        <v>27</v>
      </c>
      <c r="X497">
        <v>33</v>
      </c>
    </row>
    <row r="498" spans="1:24" ht="14.25" customHeight="1">
      <c r="A498" t="s">
        <v>1246</v>
      </c>
      <c r="B498" t="s">
        <v>2286</v>
      </c>
      <c r="C498" s="6" t="str">
        <f t="shared" si="22"/>
        <v>January</v>
      </c>
      <c r="D498" s="6" t="str">
        <f t="shared" si="23"/>
        <v>25</v>
      </c>
      <c r="E498" t="s">
        <v>835</v>
      </c>
      <c r="F498" t="s">
        <v>21</v>
      </c>
      <c r="G498" t="s">
        <v>68</v>
      </c>
      <c r="H498" s="4" t="s">
        <v>2257</v>
      </c>
      <c r="I498">
        <v>616479</v>
      </c>
      <c r="J498" s="8" t="s">
        <v>2349</v>
      </c>
      <c r="K498" t="s">
        <v>436</v>
      </c>
      <c r="L498" t="s">
        <v>437</v>
      </c>
      <c r="M498" t="s">
        <v>130</v>
      </c>
      <c r="N498">
        <f t="shared" si="24"/>
        <v>7</v>
      </c>
      <c r="O498">
        <v>4</v>
      </c>
      <c r="P498" s="6">
        <v>78.34</v>
      </c>
      <c r="Q498">
        <v>7.83</v>
      </c>
      <c r="R498">
        <v>305.52999999999997</v>
      </c>
      <c r="S498">
        <v>15.28</v>
      </c>
      <c r="T498">
        <v>20</v>
      </c>
      <c r="U498">
        <v>20</v>
      </c>
      <c r="V498">
        <v>360.81</v>
      </c>
      <c r="W498" t="s">
        <v>27</v>
      </c>
      <c r="X498">
        <v>28</v>
      </c>
    </row>
    <row r="499" spans="1:24" ht="14.25" customHeight="1">
      <c r="A499" t="s">
        <v>1247</v>
      </c>
      <c r="B499" t="s">
        <v>2273</v>
      </c>
      <c r="C499" s="6" t="str">
        <f t="shared" si="22"/>
        <v>January</v>
      </c>
      <c r="D499" s="6" t="str">
        <f t="shared" si="23"/>
        <v>24</v>
      </c>
      <c r="E499" t="s">
        <v>839</v>
      </c>
      <c r="F499" t="s">
        <v>21</v>
      </c>
      <c r="G499" t="s">
        <v>74</v>
      </c>
      <c r="H499" s="4" t="s">
        <v>2257</v>
      </c>
      <c r="I499">
        <v>851731</v>
      </c>
      <c r="J499" s="8" t="s">
        <v>62</v>
      </c>
      <c r="K499" t="s">
        <v>440</v>
      </c>
      <c r="L499" t="s">
        <v>441</v>
      </c>
      <c r="M499" t="s">
        <v>130</v>
      </c>
      <c r="N499">
        <f t="shared" si="24"/>
        <v>7</v>
      </c>
      <c r="O499">
        <v>1</v>
      </c>
      <c r="P499" s="6">
        <v>70.48</v>
      </c>
      <c r="Q499">
        <v>10.57</v>
      </c>
      <c r="R499">
        <v>59.91</v>
      </c>
      <c r="S499">
        <v>3</v>
      </c>
      <c r="T499">
        <v>0</v>
      </c>
      <c r="U499">
        <v>15</v>
      </c>
      <c r="V499">
        <v>77.91</v>
      </c>
      <c r="W499" t="s">
        <v>117</v>
      </c>
      <c r="X499">
        <v>25</v>
      </c>
    </row>
    <row r="500" spans="1:24" ht="14.25" customHeight="1">
      <c r="A500" t="s">
        <v>1248</v>
      </c>
      <c r="B500" t="s">
        <v>2318</v>
      </c>
      <c r="C500" s="6" t="str">
        <f t="shared" si="22"/>
        <v>January</v>
      </c>
      <c r="D500" s="6" t="str">
        <f t="shared" si="23"/>
        <v>13</v>
      </c>
      <c r="E500" t="s">
        <v>843</v>
      </c>
      <c r="F500" t="s">
        <v>80</v>
      </c>
      <c r="G500" t="s">
        <v>81</v>
      </c>
      <c r="H500" s="4" t="s">
        <v>2257</v>
      </c>
      <c r="I500">
        <v>892908</v>
      </c>
      <c r="J500" s="8" t="s">
        <v>2346</v>
      </c>
      <c r="K500" t="s">
        <v>444</v>
      </c>
      <c r="L500" t="s">
        <v>445</v>
      </c>
      <c r="M500" t="s">
        <v>26</v>
      </c>
      <c r="N500">
        <f t="shared" si="24"/>
        <v>3</v>
      </c>
      <c r="O500">
        <v>1</v>
      </c>
      <c r="P500" s="6">
        <v>151.97</v>
      </c>
      <c r="Q500">
        <v>0</v>
      </c>
      <c r="R500">
        <v>151.97</v>
      </c>
      <c r="S500">
        <v>7.6</v>
      </c>
      <c r="T500">
        <v>0</v>
      </c>
      <c r="U500">
        <v>10</v>
      </c>
      <c r="V500">
        <v>169.57</v>
      </c>
      <c r="W500" t="s">
        <v>84</v>
      </c>
      <c r="X500">
        <v>25</v>
      </c>
    </row>
    <row r="501" spans="1:24" ht="14.25" customHeight="1">
      <c r="A501" t="s">
        <v>1249</v>
      </c>
      <c r="B501" t="s">
        <v>2283</v>
      </c>
      <c r="C501" s="6" t="str">
        <f t="shared" si="22"/>
        <v>March</v>
      </c>
      <c r="D501" s="6" t="str">
        <f t="shared" si="23"/>
        <v>01</v>
      </c>
      <c r="E501" t="s">
        <v>847</v>
      </c>
      <c r="F501" t="s">
        <v>101</v>
      </c>
      <c r="G501" t="s">
        <v>81</v>
      </c>
      <c r="H501" s="4" t="s">
        <v>2257</v>
      </c>
      <c r="I501">
        <v>703986</v>
      </c>
      <c r="J501" s="8" t="s">
        <v>2347</v>
      </c>
      <c r="K501" t="s">
        <v>448</v>
      </c>
      <c r="L501" t="s">
        <v>449</v>
      </c>
      <c r="M501" t="s">
        <v>22</v>
      </c>
      <c r="N501">
        <f t="shared" si="24"/>
        <v>6</v>
      </c>
      <c r="O501">
        <v>3</v>
      </c>
      <c r="P501" s="6">
        <v>127.54</v>
      </c>
      <c r="Q501">
        <v>19.13</v>
      </c>
      <c r="R501">
        <v>363.49</v>
      </c>
      <c r="S501">
        <v>18.170000000000002</v>
      </c>
      <c r="T501">
        <v>0</v>
      </c>
      <c r="U501">
        <v>15</v>
      </c>
      <c r="V501">
        <v>396.66</v>
      </c>
      <c r="W501" t="s">
        <v>34</v>
      </c>
      <c r="X501">
        <v>25</v>
      </c>
    </row>
    <row r="502" spans="1:24" ht="14.25" customHeight="1">
      <c r="A502" t="s">
        <v>1250</v>
      </c>
      <c r="B502" t="s">
        <v>2269</v>
      </c>
      <c r="C502" s="6" t="str">
        <f t="shared" si="22"/>
        <v>February</v>
      </c>
      <c r="D502" s="6" t="str">
        <f t="shared" si="23"/>
        <v>27</v>
      </c>
      <c r="E502" t="s">
        <v>851</v>
      </c>
      <c r="F502" t="s">
        <v>80</v>
      </c>
      <c r="G502" t="s">
        <v>81</v>
      </c>
      <c r="H502" s="4" t="s">
        <v>2257</v>
      </c>
      <c r="I502">
        <v>573146</v>
      </c>
      <c r="J502" s="8" t="s">
        <v>30</v>
      </c>
      <c r="K502" t="s">
        <v>452</v>
      </c>
      <c r="L502" t="s">
        <v>453</v>
      </c>
      <c r="M502" t="s">
        <v>33</v>
      </c>
      <c r="N502">
        <f t="shared" si="24"/>
        <v>10</v>
      </c>
      <c r="O502">
        <v>4</v>
      </c>
      <c r="P502" s="6">
        <v>193.95</v>
      </c>
      <c r="Q502">
        <v>19.39</v>
      </c>
      <c r="R502">
        <v>756.41</v>
      </c>
      <c r="S502">
        <v>37.82</v>
      </c>
      <c r="T502">
        <v>10</v>
      </c>
      <c r="U502">
        <v>15</v>
      </c>
      <c r="V502">
        <v>819.23</v>
      </c>
      <c r="W502" t="s">
        <v>27</v>
      </c>
      <c r="X502">
        <v>32</v>
      </c>
    </row>
    <row r="503" spans="1:24" ht="14.25" customHeight="1">
      <c r="A503" t="s">
        <v>1251</v>
      </c>
      <c r="B503" t="s">
        <v>2298</v>
      </c>
      <c r="C503" s="6" t="str">
        <f t="shared" si="22"/>
        <v>January</v>
      </c>
      <c r="D503" s="6" t="str">
        <f t="shared" si="23"/>
        <v>07</v>
      </c>
      <c r="E503" t="s">
        <v>853</v>
      </c>
      <c r="F503" t="s">
        <v>80</v>
      </c>
      <c r="G503" t="s">
        <v>81</v>
      </c>
      <c r="H503" s="4" t="s">
        <v>2257</v>
      </c>
      <c r="I503">
        <v>450067</v>
      </c>
      <c r="J503" s="8" t="s">
        <v>2347</v>
      </c>
      <c r="K503" t="s">
        <v>456</v>
      </c>
      <c r="L503" t="s">
        <v>457</v>
      </c>
      <c r="M503" t="s">
        <v>55</v>
      </c>
      <c r="N503">
        <f t="shared" si="24"/>
        <v>5</v>
      </c>
      <c r="O503">
        <v>3</v>
      </c>
      <c r="P503" s="6">
        <v>158.27000000000001</v>
      </c>
      <c r="Q503">
        <v>15.83</v>
      </c>
      <c r="R503">
        <v>458.98000000000008</v>
      </c>
      <c r="S503">
        <v>22.95</v>
      </c>
      <c r="T503">
        <v>10</v>
      </c>
      <c r="U503">
        <v>0</v>
      </c>
      <c r="V503">
        <v>491.93000000000012</v>
      </c>
      <c r="W503" t="s">
        <v>27</v>
      </c>
      <c r="X503">
        <v>22</v>
      </c>
    </row>
    <row r="504" spans="1:24" ht="14.25" customHeight="1">
      <c r="A504" t="s">
        <v>1252</v>
      </c>
      <c r="B504" t="s">
        <v>2296</v>
      </c>
      <c r="C504" s="6" t="str">
        <f t="shared" si="22"/>
        <v>February</v>
      </c>
      <c r="D504" s="6" t="str">
        <f t="shared" si="23"/>
        <v>26</v>
      </c>
      <c r="E504" t="s">
        <v>855</v>
      </c>
      <c r="F504" t="s">
        <v>21</v>
      </c>
      <c r="G504" t="s">
        <v>22</v>
      </c>
      <c r="H504" s="4" t="s">
        <v>2257</v>
      </c>
      <c r="I504">
        <v>901115</v>
      </c>
      <c r="J504" s="8" t="s">
        <v>2349</v>
      </c>
      <c r="K504" t="s">
        <v>460</v>
      </c>
      <c r="L504" t="s">
        <v>461</v>
      </c>
      <c r="M504" t="s">
        <v>130</v>
      </c>
      <c r="N504">
        <f t="shared" si="24"/>
        <v>7</v>
      </c>
      <c r="O504">
        <v>3</v>
      </c>
      <c r="P504" s="6">
        <v>299.12</v>
      </c>
      <c r="Q504">
        <v>44.87</v>
      </c>
      <c r="R504">
        <v>852.49</v>
      </c>
      <c r="S504">
        <v>42.62</v>
      </c>
      <c r="T504">
        <v>0</v>
      </c>
      <c r="U504">
        <v>0</v>
      </c>
      <c r="V504">
        <v>895.11</v>
      </c>
      <c r="W504" t="s">
        <v>27</v>
      </c>
      <c r="X504">
        <v>39</v>
      </c>
    </row>
    <row r="505" spans="1:24" ht="14.25" customHeight="1">
      <c r="A505" t="s">
        <v>1253</v>
      </c>
      <c r="B505" t="s">
        <v>2275</v>
      </c>
      <c r="C505" s="6" t="str">
        <f t="shared" si="22"/>
        <v>February</v>
      </c>
      <c r="D505" s="6" t="str">
        <f t="shared" si="23"/>
        <v>05</v>
      </c>
      <c r="E505" t="s">
        <v>857</v>
      </c>
      <c r="F505" t="s">
        <v>21</v>
      </c>
      <c r="G505" t="s">
        <v>37</v>
      </c>
      <c r="H505" s="4" t="s">
        <v>2257</v>
      </c>
      <c r="I505">
        <v>440686</v>
      </c>
      <c r="J505" s="8" t="s">
        <v>2345</v>
      </c>
      <c r="K505" t="s">
        <v>464</v>
      </c>
      <c r="L505" t="s">
        <v>465</v>
      </c>
      <c r="M505" t="s">
        <v>89</v>
      </c>
      <c r="N505">
        <f t="shared" si="24"/>
        <v>7</v>
      </c>
      <c r="O505">
        <v>3</v>
      </c>
      <c r="P505" s="6">
        <v>130.49</v>
      </c>
      <c r="Q505">
        <v>19.57</v>
      </c>
      <c r="R505">
        <v>371.9</v>
      </c>
      <c r="S505">
        <v>18.600000000000001</v>
      </c>
      <c r="T505">
        <v>20</v>
      </c>
      <c r="U505">
        <v>15</v>
      </c>
      <c r="V505">
        <v>425.50000000000011</v>
      </c>
      <c r="W505" t="s">
        <v>27</v>
      </c>
      <c r="X505">
        <v>26</v>
      </c>
    </row>
    <row r="506" spans="1:24" ht="14.25" customHeight="1">
      <c r="A506" t="s">
        <v>1254</v>
      </c>
      <c r="B506" t="s">
        <v>2314</v>
      </c>
      <c r="C506" s="6" t="str">
        <f t="shared" si="22"/>
        <v>February</v>
      </c>
      <c r="D506" s="6" t="str">
        <f t="shared" si="23"/>
        <v>14</v>
      </c>
      <c r="E506" t="s">
        <v>859</v>
      </c>
      <c r="F506" t="s">
        <v>21</v>
      </c>
      <c r="G506" t="s">
        <v>68</v>
      </c>
      <c r="H506" s="4" t="s">
        <v>2257</v>
      </c>
      <c r="I506">
        <v>263244</v>
      </c>
      <c r="J506" s="8" t="s">
        <v>62</v>
      </c>
      <c r="K506" t="s">
        <v>468</v>
      </c>
      <c r="L506" t="s">
        <v>469</v>
      </c>
      <c r="M506" t="s">
        <v>71</v>
      </c>
      <c r="N506">
        <f t="shared" si="24"/>
        <v>6</v>
      </c>
      <c r="O506">
        <v>1</v>
      </c>
      <c r="P506" s="6">
        <v>56.06</v>
      </c>
      <c r="Q506">
        <v>0</v>
      </c>
      <c r="R506">
        <v>56.06</v>
      </c>
      <c r="S506">
        <v>2.8</v>
      </c>
      <c r="T506">
        <v>0</v>
      </c>
      <c r="U506">
        <v>15</v>
      </c>
      <c r="V506">
        <v>73.86</v>
      </c>
      <c r="W506" t="s">
        <v>27</v>
      </c>
      <c r="X506">
        <v>14</v>
      </c>
    </row>
    <row r="507" spans="1:24" ht="14.25" customHeight="1">
      <c r="A507" t="s">
        <v>1255</v>
      </c>
      <c r="B507" t="s">
        <v>2305</v>
      </c>
      <c r="C507" s="6" t="str">
        <f t="shared" si="22"/>
        <v>January</v>
      </c>
      <c r="D507" s="6" t="str">
        <f t="shared" si="23"/>
        <v>20</v>
      </c>
      <c r="E507" t="s">
        <v>861</v>
      </c>
      <c r="F507" t="s">
        <v>21</v>
      </c>
      <c r="G507" t="s">
        <v>68</v>
      </c>
      <c r="H507" s="4" t="s">
        <v>2257</v>
      </c>
      <c r="I507">
        <v>906608</v>
      </c>
      <c r="J507" s="8" t="s">
        <v>30</v>
      </c>
      <c r="K507" t="s">
        <v>472</v>
      </c>
      <c r="L507" t="s">
        <v>473</v>
      </c>
      <c r="M507" t="s">
        <v>65</v>
      </c>
      <c r="N507">
        <f t="shared" si="24"/>
        <v>6</v>
      </c>
      <c r="O507">
        <v>4</v>
      </c>
      <c r="P507" s="6">
        <v>215.69</v>
      </c>
      <c r="Q507">
        <v>0</v>
      </c>
      <c r="R507">
        <v>862.76</v>
      </c>
      <c r="S507">
        <v>43.14</v>
      </c>
      <c r="T507">
        <v>30</v>
      </c>
      <c r="U507">
        <v>10</v>
      </c>
      <c r="V507">
        <v>945.9</v>
      </c>
      <c r="W507" t="s">
        <v>27</v>
      </c>
      <c r="X507">
        <v>20</v>
      </c>
    </row>
    <row r="508" spans="1:24" ht="14.25" customHeight="1">
      <c r="A508" t="s">
        <v>1256</v>
      </c>
      <c r="B508" t="s">
        <v>2316</v>
      </c>
      <c r="C508" s="6" t="str">
        <f t="shared" si="22"/>
        <v>January</v>
      </c>
      <c r="D508" s="6" t="str">
        <f t="shared" si="23"/>
        <v>01</v>
      </c>
      <c r="E508" t="s">
        <v>863</v>
      </c>
      <c r="F508" t="s">
        <v>21</v>
      </c>
      <c r="G508" t="s">
        <v>37</v>
      </c>
      <c r="H508" s="4" t="s">
        <v>2257</v>
      </c>
      <c r="I508">
        <v>748456</v>
      </c>
      <c r="J508" s="8" t="s">
        <v>30</v>
      </c>
      <c r="K508" t="s">
        <v>476</v>
      </c>
      <c r="L508" t="s">
        <v>477</v>
      </c>
      <c r="M508" t="s">
        <v>140</v>
      </c>
      <c r="N508">
        <f t="shared" si="24"/>
        <v>3</v>
      </c>
      <c r="O508">
        <v>3</v>
      </c>
      <c r="P508" s="6">
        <v>224.68</v>
      </c>
      <c r="Q508">
        <v>0</v>
      </c>
      <c r="R508">
        <v>674.04</v>
      </c>
      <c r="S508">
        <v>33.700000000000003</v>
      </c>
      <c r="T508">
        <v>20</v>
      </c>
      <c r="U508">
        <v>5</v>
      </c>
      <c r="V508">
        <v>732.74</v>
      </c>
      <c r="W508" t="s">
        <v>27</v>
      </c>
      <c r="X508">
        <v>4</v>
      </c>
    </row>
    <row r="509" spans="1:24" ht="14.25" customHeight="1">
      <c r="A509" t="s">
        <v>1257</v>
      </c>
      <c r="B509" t="s">
        <v>2267</v>
      </c>
      <c r="C509" s="6" t="str">
        <f t="shared" si="22"/>
        <v>January</v>
      </c>
      <c r="D509" s="6" t="str">
        <f t="shared" si="23"/>
        <v>08</v>
      </c>
      <c r="E509" t="s">
        <v>865</v>
      </c>
      <c r="F509" t="s">
        <v>21</v>
      </c>
      <c r="G509" t="s">
        <v>74</v>
      </c>
      <c r="H509" s="4" t="s">
        <v>2257</v>
      </c>
      <c r="I509">
        <v>347572</v>
      </c>
      <c r="J509" s="8" t="s">
        <v>30</v>
      </c>
      <c r="K509" t="s">
        <v>480</v>
      </c>
      <c r="L509" t="s">
        <v>481</v>
      </c>
      <c r="M509" t="s">
        <v>40</v>
      </c>
      <c r="N509">
        <f t="shared" si="24"/>
        <v>6</v>
      </c>
      <c r="O509">
        <v>4</v>
      </c>
      <c r="P509" s="6">
        <v>77.430000000000007</v>
      </c>
      <c r="Q509">
        <v>7.74</v>
      </c>
      <c r="R509">
        <v>301.98</v>
      </c>
      <c r="S509">
        <v>15.1</v>
      </c>
      <c r="T509">
        <v>30</v>
      </c>
      <c r="U509">
        <v>0</v>
      </c>
      <c r="V509">
        <v>347.08</v>
      </c>
      <c r="W509" t="s">
        <v>27</v>
      </c>
      <c r="X509">
        <v>12</v>
      </c>
    </row>
    <row r="510" spans="1:24" ht="14.25" customHeight="1">
      <c r="A510" t="s">
        <v>1258</v>
      </c>
      <c r="B510" t="s">
        <v>2321</v>
      </c>
      <c r="C510" s="6" t="str">
        <f t="shared" si="22"/>
        <v>February</v>
      </c>
      <c r="D510" s="6" t="str">
        <f t="shared" si="23"/>
        <v>15</v>
      </c>
      <c r="E510" t="s">
        <v>867</v>
      </c>
      <c r="F510" t="s">
        <v>80</v>
      </c>
      <c r="G510" t="s">
        <v>81</v>
      </c>
      <c r="H510" s="4" t="s">
        <v>2257</v>
      </c>
      <c r="I510">
        <v>712084</v>
      </c>
      <c r="J510" s="8" t="s">
        <v>2349</v>
      </c>
      <c r="K510" t="s">
        <v>484</v>
      </c>
      <c r="L510" t="s">
        <v>485</v>
      </c>
      <c r="M510" t="s">
        <v>45</v>
      </c>
      <c r="N510">
        <f t="shared" si="24"/>
        <v>6</v>
      </c>
      <c r="O510">
        <v>2</v>
      </c>
      <c r="P510" s="6">
        <v>99.75</v>
      </c>
      <c r="Q510">
        <v>9.98</v>
      </c>
      <c r="R510">
        <v>189.52</v>
      </c>
      <c r="S510">
        <v>9.48</v>
      </c>
      <c r="T510">
        <v>20</v>
      </c>
      <c r="U510">
        <v>20</v>
      </c>
      <c r="V510">
        <v>239</v>
      </c>
      <c r="W510" t="s">
        <v>27</v>
      </c>
      <c r="X510">
        <v>11</v>
      </c>
    </row>
    <row r="511" spans="1:24" ht="14.25" customHeight="1">
      <c r="A511" t="s">
        <v>1259</v>
      </c>
      <c r="B511" t="s">
        <v>2292</v>
      </c>
      <c r="C511" s="6" t="str">
        <f t="shared" si="22"/>
        <v>January</v>
      </c>
      <c r="D511" s="6" t="str">
        <f t="shared" si="23"/>
        <v>16</v>
      </c>
      <c r="E511" t="s">
        <v>869</v>
      </c>
      <c r="F511" t="s">
        <v>21</v>
      </c>
      <c r="G511" t="s">
        <v>22</v>
      </c>
      <c r="H511" s="4" t="s">
        <v>2257</v>
      </c>
      <c r="I511">
        <v>554151</v>
      </c>
      <c r="J511" s="8" t="s">
        <v>30</v>
      </c>
      <c r="K511" t="s">
        <v>488</v>
      </c>
      <c r="L511" t="s">
        <v>489</v>
      </c>
      <c r="M511" t="s">
        <v>135</v>
      </c>
      <c r="N511">
        <f t="shared" si="24"/>
        <v>9</v>
      </c>
      <c r="O511">
        <v>1</v>
      </c>
      <c r="P511" s="6">
        <v>146.91999999999999</v>
      </c>
      <c r="Q511">
        <v>22.04</v>
      </c>
      <c r="R511">
        <v>124.88</v>
      </c>
      <c r="S511">
        <v>6.24</v>
      </c>
      <c r="T511">
        <v>30</v>
      </c>
      <c r="U511">
        <v>0</v>
      </c>
      <c r="V511">
        <v>161.12</v>
      </c>
      <c r="W511" t="s">
        <v>27</v>
      </c>
      <c r="X511">
        <v>40</v>
      </c>
    </row>
    <row r="512" spans="1:24" ht="14.25" customHeight="1">
      <c r="A512" t="s">
        <v>1260</v>
      </c>
      <c r="B512" t="s">
        <v>2302</v>
      </c>
      <c r="C512" s="6" t="str">
        <f t="shared" si="22"/>
        <v>January</v>
      </c>
      <c r="D512" s="6" t="str">
        <f t="shared" si="23"/>
        <v>14</v>
      </c>
      <c r="E512" t="s">
        <v>871</v>
      </c>
      <c r="F512" t="s">
        <v>21</v>
      </c>
      <c r="G512" t="s">
        <v>74</v>
      </c>
      <c r="H512" s="4" t="s">
        <v>2257</v>
      </c>
      <c r="I512">
        <v>395866</v>
      </c>
      <c r="J512" s="8" t="s">
        <v>62</v>
      </c>
      <c r="K512" t="s">
        <v>492</v>
      </c>
      <c r="L512" t="s">
        <v>493</v>
      </c>
      <c r="M512" t="s">
        <v>77</v>
      </c>
      <c r="N512">
        <f t="shared" si="24"/>
        <v>5</v>
      </c>
      <c r="O512">
        <v>1</v>
      </c>
      <c r="P512" s="6">
        <v>7.2</v>
      </c>
      <c r="Q512">
        <v>0.36</v>
      </c>
      <c r="R512">
        <v>6.84</v>
      </c>
      <c r="S512">
        <v>0.34</v>
      </c>
      <c r="T512">
        <v>10</v>
      </c>
      <c r="U512">
        <v>15</v>
      </c>
      <c r="V512">
        <v>32.18</v>
      </c>
      <c r="W512" t="s">
        <v>27</v>
      </c>
      <c r="X512">
        <v>16</v>
      </c>
    </row>
    <row r="513" spans="1:24" ht="14.25" customHeight="1">
      <c r="A513" t="s">
        <v>1261</v>
      </c>
      <c r="B513" t="s">
        <v>2285</v>
      </c>
      <c r="C513" s="6" t="str">
        <f t="shared" si="22"/>
        <v>January</v>
      </c>
      <c r="D513" s="6" t="str">
        <f t="shared" si="23"/>
        <v>12</v>
      </c>
      <c r="E513" t="s">
        <v>873</v>
      </c>
      <c r="F513" t="s">
        <v>21</v>
      </c>
      <c r="G513" t="s">
        <v>74</v>
      </c>
      <c r="H513" s="4" t="s">
        <v>2257</v>
      </c>
      <c r="I513">
        <v>389360</v>
      </c>
      <c r="J513" s="8" t="s">
        <v>30</v>
      </c>
      <c r="K513" t="s">
        <v>496</v>
      </c>
      <c r="L513" t="s">
        <v>497</v>
      </c>
      <c r="M513" t="s">
        <v>140</v>
      </c>
      <c r="N513">
        <f t="shared" si="24"/>
        <v>3</v>
      </c>
      <c r="O513">
        <v>6</v>
      </c>
      <c r="P513" s="6">
        <v>120.03</v>
      </c>
      <c r="Q513">
        <v>12</v>
      </c>
      <c r="R513">
        <v>708.18000000000006</v>
      </c>
      <c r="S513">
        <v>35.409999999999997</v>
      </c>
      <c r="T513">
        <v>0</v>
      </c>
      <c r="U513">
        <v>10</v>
      </c>
      <c r="V513">
        <v>753.59</v>
      </c>
      <c r="W513" t="s">
        <v>27</v>
      </c>
      <c r="X513">
        <v>12</v>
      </c>
    </row>
    <row r="514" spans="1:24" ht="14.25" customHeight="1">
      <c r="A514" t="s">
        <v>1262</v>
      </c>
      <c r="B514" t="s">
        <v>2294</v>
      </c>
      <c r="C514" s="6" t="str">
        <f t="shared" si="22"/>
        <v>February</v>
      </c>
      <c r="D514" s="6" t="str">
        <f t="shared" si="23"/>
        <v>20</v>
      </c>
      <c r="E514" t="s">
        <v>875</v>
      </c>
      <c r="F514" t="s">
        <v>21</v>
      </c>
      <c r="G514" t="s">
        <v>37</v>
      </c>
      <c r="H514" s="4" t="s">
        <v>2257</v>
      </c>
      <c r="I514">
        <v>524671</v>
      </c>
      <c r="J514" s="8" t="s">
        <v>2348</v>
      </c>
      <c r="K514" t="s">
        <v>500</v>
      </c>
      <c r="L514" t="s">
        <v>501</v>
      </c>
      <c r="M514" t="s">
        <v>130</v>
      </c>
      <c r="N514">
        <f t="shared" si="24"/>
        <v>7</v>
      </c>
      <c r="O514">
        <v>3</v>
      </c>
      <c r="P514" s="6">
        <v>175.46</v>
      </c>
      <c r="Q514">
        <v>26.32</v>
      </c>
      <c r="R514">
        <v>500.06</v>
      </c>
      <c r="S514">
        <v>25</v>
      </c>
      <c r="T514">
        <v>0</v>
      </c>
      <c r="U514">
        <v>5</v>
      </c>
      <c r="V514">
        <v>530.05999999999995</v>
      </c>
      <c r="W514" t="s">
        <v>27</v>
      </c>
      <c r="X514">
        <v>27</v>
      </c>
    </row>
    <row r="515" spans="1:24" ht="14.25" customHeight="1">
      <c r="A515" t="s">
        <v>1263</v>
      </c>
      <c r="B515" t="s">
        <v>2271</v>
      </c>
      <c r="C515" s="6" t="str">
        <f t="shared" ref="C515:C578" si="25">TEXT(B515,"mmmm")</f>
        <v>January</v>
      </c>
      <c r="D515" s="6" t="str">
        <f t="shared" ref="D515:D578" si="26">TEXT(B515,"dd")</f>
        <v>23</v>
      </c>
      <c r="E515" t="s">
        <v>877</v>
      </c>
      <c r="F515" t="s">
        <v>21</v>
      </c>
      <c r="G515" t="s">
        <v>37</v>
      </c>
      <c r="H515" s="4" t="s">
        <v>2257</v>
      </c>
      <c r="I515">
        <v>726926</v>
      </c>
      <c r="J515" s="8" t="s">
        <v>2349</v>
      </c>
      <c r="K515" t="s">
        <v>504</v>
      </c>
      <c r="L515" t="s">
        <v>505</v>
      </c>
      <c r="M515" t="s">
        <v>98</v>
      </c>
      <c r="N515">
        <f t="shared" si="24"/>
        <v>4</v>
      </c>
      <c r="O515">
        <v>1</v>
      </c>
      <c r="P515" s="6">
        <v>113.89</v>
      </c>
      <c r="Q515">
        <v>11.39</v>
      </c>
      <c r="R515">
        <v>102.5</v>
      </c>
      <c r="S515">
        <v>5.12</v>
      </c>
      <c r="T515">
        <v>10</v>
      </c>
      <c r="U515">
        <v>5</v>
      </c>
      <c r="V515">
        <v>122.62</v>
      </c>
      <c r="W515" t="s">
        <v>27</v>
      </c>
      <c r="X515">
        <v>32</v>
      </c>
    </row>
    <row r="516" spans="1:24" ht="14.25" customHeight="1">
      <c r="A516" t="s">
        <v>1264</v>
      </c>
      <c r="B516" t="s">
        <v>2265</v>
      </c>
      <c r="C516" s="6" t="str">
        <f t="shared" si="25"/>
        <v>January</v>
      </c>
      <c r="D516" s="6" t="str">
        <f t="shared" si="26"/>
        <v>15</v>
      </c>
      <c r="E516" t="s">
        <v>879</v>
      </c>
      <c r="F516" t="s">
        <v>21</v>
      </c>
      <c r="G516" t="s">
        <v>37</v>
      </c>
      <c r="H516" s="4" t="s">
        <v>2257</v>
      </c>
      <c r="I516">
        <v>137019</v>
      </c>
      <c r="J516" s="8" t="s">
        <v>2349</v>
      </c>
      <c r="K516" t="s">
        <v>508</v>
      </c>
      <c r="L516" t="s">
        <v>509</v>
      </c>
      <c r="M516" t="s">
        <v>98</v>
      </c>
      <c r="N516">
        <f t="shared" si="24"/>
        <v>4</v>
      </c>
      <c r="O516">
        <v>1</v>
      </c>
      <c r="P516" s="6">
        <v>159.07</v>
      </c>
      <c r="Q516">
        <v>23.86</v>
      </c>
      <c r="R516">
        <v>135.21</v>
      </c>
      <c r="S516">
        <v>6.76</v>
      </c>
      <c r="T516">
        <v>10</v>
      </c>
      <c r="U516">
        <v>15</v>
      </c>
      <c r="V516">
        <v>166.97</v>
      </c>
      <c r="W516" t="s">
        <v>34</v>
      </c>
      <c r="X516">
        <v>25</v>
      </c>
    </row>
    <row r="517" spans="1:24" ht="14.25" customHeight="1">
      <c r="A517" t="s">
        <v>1265</v>
      </c>
      <c r="B517" t="s">
        <v>2291</v>
      </c>
      <c r="C517" s="6" t="str">
        <f t="shared" si="25"/>
        <v>January</v>
      </c>
      <c r="D517" s="6" t="str">
        <f t="shared" si="26"/>
        <v>28</v>
      </c>
      <c r="E517" t="s">
        <v>881</v>
      </c>
      <c r="F517" t="s">
        <v>101</v>
      </c>
      <c r="G517" t="s">
        <v>81</v>
      </c>
      <c r="H517" s="4" t="s">
        <v>2257</v>
      </c>
      <c r="I517">
        <v>258598</v>
      </c>
      <c r="J517" s="8" t="s">
        <v>30</v>
      </c>
      <c r="K517" t="s">
        <v>512</v>
      </c>
      <c r="L517" t="s">
        <v>513</v>
      </c>
      <c r="M517" t="s">
        <v>135</v>
      </c>
      <c r="N517">
        <f t="shared" si="24"/>
        <v>9</v>
      </c>
      <c r="O517">
        <v>2</v>
      </c>
      <c r="P517" s="6">
        <v>130.61000000000001</v>
      </c>
      <c r="Q517">
        <v>6.53</v>
      </c>
      <c r="R517">
        <v>254.69</v>
      </c>
      <c r="S517">
        <v>12.73</v>
      </c>
      <c r="T517">
        <v>0</v>
      </c>
      <c r="U517">
        <v>0</v>
      </c>
      <c r="V517">
        <v>267.42</v>
      </c>
      <c r="W517" t="s">
        <v>27</v>
      </c>
      <c r="X517">
        <v>35</v>
      </c>
    </row>
    <row r="518" spans="1:24" ht="14.25" customHeight="1">
      <c r="A518" t="s">
        <v>1266</v>
      </c>
      <c r="B518" t="s">
        <v>2310</v>
      </c>
      <c r="C518" s="6" t="str">
        <f t="shared" si="25"/>
        <v>February</v>
      </c>
      <c r="D518" s="6" t="str">
        <f t="shared" si="26"/>
        <v>03</v>
      </c>
      <c r="E518" t="s">
        <v>883</v>
      </c>
      <c r="F518" t="s">
        <v>21</v>
      </c>
      <c r="G518" t="s">
        <v>68</v>
      </c>
      <c r="H518" s="4" t="s">
        <v>2257</v>
      </c>
      <c r="I518">
        <v>929827</v>
      </c>
      <c r="J518" s="8" t="s">
        <v>2348</v>
      </c>
      <c r="K518" t="s">
        <v>516</v>
      </c>
      <c r="L518" t="s">
        <v>517</v>
      </c>
      <c r="M518" t="s">
        <v>177</v>
      </c>
      <c r="N518">
        <f t="shared" si="24"/>
        <v>5</v>
      </c>
      <c r="O518">
        <v>3</v>
      </c>
      <c r="P518" s="6">
        <v>277.25</v>
      </c>
      <c r="Q518">
        <v>0</v>
      </c>
      <c r="R518">
        <v>831.75</v>
      </c>
      <c r="S518">
        <v>41.59</v>
      </c>
      <c r="T518">
        <v>30</v>
      </c>
      <c r="U518">
        <v>10</v>
      </c>
      <c r="V518">
        <v>913.34</v>
      </c>
      <c r="W518" t="s">
        <v>117</v>
      </c>
      <c r="X518">
        <v>25</v>
      </c>
    </row>
    <row r="519" spans="1:24" ht="14.25" customHeight="1">
      <c r="A519" t="s">
        <v>1267</v>
      </c>
      <c r="B519" t="s">
        <v>2279</v>
      </c>
      <c r="C519" s="6" t="str">
        <f t="shared" si="25"/>
        <v>January</v>
      </c>
      <c r="D519" s="6" t="str">
        <f t="shared" si="26"/>
        <v>02</v>
      </c>
      <c r="E519" t="s">
        <v>885</v>
      </c>
      <c r="F519" t="s">
        <v>21</v>
      </c>
      <c r="G519" t="s">
        <v>37</v>
      </c>
      <c r="H519" s="4" t="s">
        <v>2257</v>
      </c>
      <c r="I519">
        <v>915495</v>
      </c>
      <c r="J519" s="8" t="s">
        <v>62</v>
      </c>
      <c r="K519" t="s">
        <v>520</v>
      </c>
      <c r="L519" t="s">
        <v>521</v>
      </c>
      <c r="M519" t="s">
        <v>40</v>
      </c>
      <c r="N519">
        <f t="shared" si="24"/>
        <v>6</v>
      </c>
      <c r="O519">
        <v>1</v>
      </c>
      <c r="P519" s="6">
        <v>158.12</v>
      </c>
      <c r="Q519">
        <v>15.81</v>
      </c>
      <c r="R519">
        <v>142.31</v>
      </c>
      <c r="S519">
        <v>7.12</v>
      </c>
      <c r="T519">
        <v>0</v>
      </c>
      <c r="U519">
        <v>5</v>
      </c>
      <c r="V519">
        <v>154.43</v>
      </c>
      <c r="W519" t="s">
        <v>27</v>
      </c>
      <c r="X519">
        <v>28</v>
      </c>
    </row>
    <row r="520" spans="1:24" ht="14.25" customHeight="1">
      <c r="A520" t="s">
        <v>1268</v>
      </c>
      <c r="B520" t="s">
        <v>2319</v>
      </c>
      <c r="C520" s="6" t="str">
        <f t="shared" si="25"/>
        <v>February</v>
      </c>
      <c r="D520" s="6" t="str">
        <f t="shared" si="26"/>
        <v>01</v>
      </c>
      <c r="E520" t="s">
        <v>887</v>
      </c>
      <c r="F520" t="s">
        <v>21</v>
      </c>
      <c r="G520" t="s">
        <v>106</v>
      </c>
      <c r="H520" s="4" t="s">
        <v>2257</v>
      </c>
      <c r="I520">
        <v>526673</v>
      </c>
      <c r="J520" s="8" t="s">
        <v>30</v>
      </c>
      <c r="K520" t="s">
        <v>524</v>
      </c>
      <c r="L520" t="s">
        <v>525</v>
      </c>
      <c r="M520" t="s">
        <v>22</v>
      </c>
      <c r="N520">
        <f t="shared" si="24"/>
        <v>6</v>
      </c>
      <c r="O520">
        <v>5</v>
      </c>
      <c r="P520" s="6">
        <v>169.25</v>
      </c>
      <c r="Q520">
        <v>16.93</v>
      </c>
      <c r="R520">
        <v>829.32</v>
      </c>
      <c r="S520">
        <v>41.47</v>
      </c>
      <c r="T520">
        <v>0</v>
      </c>
      <c r="U520">
        <v>15</v>
      </c>
      <c r="V520">
        <v>885.79000000000008</v>
      </c>
      <c r="W520" t="s">
        <v>27</v>
      </c>
      <c r="X520">
        <v>28</v>
      </c>
    </row>
    <row r="521" spans="1:24" ht="14.25" customHeight="1">
      <c r="A521" t="s">
        <v>1269</v>
      </c>
      <c r="B521" t="s">
        <v>2271</v>
      </c>
      <c r="C521" s="6" t="str">
        <f t="shared" si="25"/>
        <v>January</v>
      </c>
      <c r="D521" s="6" t="str">
        <f t="shared" si="26"/>
        <v>23</v>
      </c>
      <c r="E521" t="s">
        <v>889</v>
      </c>
      <c r="F521" t="s">
        <v>21</v>
      </c>
      <c r="G521" t="s">
        <v>37</v>
      </c>
      <c r="H521" s="4" t="s">
        <v>2257</v>
      </c>
      <c r="I521">
        <v>452156</v>
      </c>
      <c r="J521" s="8" t="s">
        <v>2348</v>
      </c>
      <c r="K521" t="s">
        <v>528</v>
      </c>
      <c r="L521" t="s">
        <v>529</v>
      </c>
      <c r="M521" t="s">
        <v>135</v>
      </c>
      <c r="N521">
        <f t="shared" si="24"/>
        <v>9</v>
      </c>
      <c r="O521">
        <v>3</v>
      </c>
      <c r="P521" s="6">
        <v>185.79</v>
      </c>
      <c r="Q521">
        <v>0</v>
      </c>
      <c r="R521">
        <v>557.37</v>
      </c>
      <c r="S521">
        <v>27.87</v>
      </c>
      <c r="T521">
        <v>30</v>
      </c>
      <c r="U521">
        <v>20</v>
      </c>
      <c r="V521">
        <v>635.24</v>
      </c>
      <c r="W521" t="s">
        <v>27</v>
      </c>
      <c r="X521">
        <v>18</v>
      </c>
    </row>
    <row r="522" spans="1:24" ht="14.25" customHeight="1">
      <c r="A522" t="s">
        <v>1270</v>
      </c>
      <c r="B522" t="s">
        <v>2278</v>
      </c>
      <c r="C522" s="6" t="str">
        <f t="shared" si="25"/>
        <v>January</v>
      </c>
      <c r="D522" s="6" t="str">
        <f t="shared" si="26"/>
        <v>22</v>
      </c>
      <c r="E522" t="s">
        <v>891</v>
      </c>
      <c r="F522" t="s">
        <v>101</v>
      </c>
      <c r="G522" t="s">
        <v>81</v>
      </c>
      <c r="H522" s="4" t="s">
        <v>2257</v>
      </c>
      <c r="I522">
        <v>967591</v>
      </c>
      <c r="J522" s="8" t="s">
        <v>30</v>
      </c>
      <c r="K522" t="s">
        <v>532</v>
      </c>
      <c r="L522" t="s">
        <v>533</v>
      </c>
      <c r="M522" t="s">
        <v>130</v>
      </c>
      <c r="N522">
        <f t="shared" si="24"/>
        <v>7</v>
      </c>
      <c r="O522">
        <v>3</v>
      </c>
      <c r="P522" s="6">
        <v>102.14</v>
      </c>
      <c r="Q522">
        <v>5.1100000000000003</v>
      </c>
      <c r="R522">
        <v>301.31</v>
      </c>
      <c r="S522">
        <v>15.07</v>
      </c>
      <c r="T522">
        <v>20</v>
      </c>
      <c r="U522">
        <v>5</v>
      </c>
      <c r="V522">
        <v>341.38</v>
      </c>
      <c r="W522" t="s">
        <v>27</v>
      </c>
      <c r="X522">
        <v>21</v>
      </c>
    </row>
    <row r="523" spans="1:24" ht="14.25" customHeight="1">
      <c r="A523" t="s">
        <v>1271</v>
      </c>
      <c r="B523" t="s">
        <v>2294</v>
      </c>
      <c r="C523" s="6" t="str">
        <f t="shared" si="25"/>
        <v>February</v>
      </c>
      <c r="D523" s="6" t="str">
        <f t="shared" si="26"/>
        <v>20</v>
      </c>
      <c r="E523" t="s">
        <v>893</v>
      </c>
      <c r="F523" t="s">
        <v>21</v>
      </c>
      <c r="G523" t="s">
        <v>74</v>
      </c>
      <c r="H523" s="4" t="s">
        <v>2257</v>
      </c>
      <c r="I523">
        <v>543842</v>
      </c>
      <c r="J523" s="8" t="s">
        <v>2348</v>
      </c>
      <c r="K523" t="s">
        <v>536</v>
      </c>
      <c r="L523" t="s">
        <v>537</v>
      </c>
      <c r="M523" t="s">
        <v>33</v>
      </c>
      <c r="N523">
        <f t="shared" si="24"/>
        <v>10</v>
      </c>
      <c r="O523">
        <v>2</v>
      </c>
      <c r="P523" s="6">
        <v>194.25</v>
      </c>
      <c r="Q523">
        <v>0</v>
      </c>
      <c r="R523">
        <v>388.5</v>
      </c>
      <c r="S523">
        <v>19.43</v>
      </c>
      <c r="T523">
        <v>30</v>
      </c>
      <c r="U523">
        <v>15</v>
      </c>
      <c r="V523">
        <v>452.93</v>
      </c>
      <c r="W523" t="s">
        <v>27</v>
      </c>
      <c r="X523">
        <v>20</v>
      </c>
    </row>
    <row r="524" spans="1:24" ht="14.25" customHeight="1">
      <c r="A524" t="s">
        <v>1272</v>
      </c>
      <c r="B524" t="s">
        <v>2286</v>
      </c>
      <c r="C524" s="6" t="str">
        <f t="shared" si="25"/>
        <v>January</v>
      </c>
      <c r="D524" s="6" t="str">
        <f t="shared" si="26"/>
        <v>25</v>
      </c>
      <c r="E524" t="s">
        <v>895</v>
      </c>
      <c r="F524" t="s">
        <v>21</v>
      </c>
      <c r="G524" t="s">
        <v>37</v>
      </c>
      <c r="H524" s="4" t="s">
        <v>2257</v>
      </c>
      <c r="I524">
        <v>998035</v>
      </c>
      <c r="J524" s="8" t="s">
        <v>62</v>
      </c>
      <c r="K524" t="s">
        <v>540</v>
      </c>
      <c r="L524" t="s">
        <v>541</v>
      </c>
      <c r="M524" t="s">
        <v>71</v>
      </c>
      <c r="N524">
        <f t="shared" si="24"/>
        <v>6</v>
      </c>
      <c r="O524">
        <v>2</v>
      </c>
      <c r="P524" s="6">
        <v>176.44</v>
      </c>
      <c r="Q524">
        <v>8.82</v>
      </c>
      <c r="R524">
        <v>344.06</v>
      </c>
      <c r="S524">
        <v>17.2</v>
      </c>
      <c r="T524">
        <v>10</v>
      </c>
      <c r="U524">
        <v>0</v>
      </c>
      <c r="V524">
        <v>371.26</v>
      </c>
      <c r="W524" t="s">
        <v>27</v>
      </c>
      <c r="X524">
        <v>31</v>
      </c>
    </row>
    <row r="525" spans="1:24" ht="14.25" customHeight="1">
      <c r="A525" t="s">
        <v>1273</v>
      </c>
      <c r="B525" t="s">
        <v>2269</v>
      </c>
      <c r="C525" s="6" t="str">
        <f t="shared" si="25"/>
        <v>February</v>
      </c>
      <c r="D525" s="6" t="str">
        <f t="shared" si="26"/>
        <v>27</v>
      </c>
      <c r="E525" t="s">
        <v>897</v>
      </c>
      <c r="F525" t="s">
        <v>21</v>
      </c>
      <c r="G525" t="s">
        <v>22</v>
      </c>
      <c r="H525" s="4" t="s">
        <v>2257</v>
      </c>
      <c r="I525">
        <v>293839</v>
      </c>
      <c r="J525" s="8" t="s">
        <v>2349</v>
      </c>
      <c r="K525" t="s">
        <v>544</v>
      </c>
      <c r="L525" t="s">
        <v>545</v>
      </c>
      <c r="M525" t="s">
        <v>22</v>
      </c>
      <c r="N525">
        <f t="shared" ref="N525:N588" si="27">LEN(M525)</f>
        <v>6</v>
      </c>
      <c r="O525">
        <v>3</v>
      </c>
      <c r="P525" s="6">
        <v>83.6</v>
      </c>
      <c r="Q525">
        <v>4.18</v>
      </c>
      <c r="R525">
        <v>246.62</v>
      </c>
      <c r="S525">
        <v>12.33</v>
      </c>
      <c r="T525">
        <v>10</v>
      </c>
      <c r="U525">
        <v>0</v>
      </c>
      <c r="V525">
        <v>268.95</v>
      </c>
      <c r="W525" t="s">
        <v>27</v>
      </c>
      <c r="X525">
        <v>27</v>
      </c>
    </row>
    <row r="526" spans="1:24" ht="14.25" customHeight="1">
      <c r="A526" t="s">
        <v>1274</v>
      </c>
      <c r="B526" t="s">
        <v>2278</v>
      </c>
      <c r="C526" s="6" t="str">
        <f t="shared" si="25"/>
        <v>January</v>
      </c>
      <c r="D526" s="6" t="str">
        <f t="shared" si="26"/>
        <v>22</v>
      </c>
      <c r="E526" t="s">
        <v>899</v>
      </c>
      <c r="F526" t="s">
        <v>80</v>
      </c>
      <c r="G526" t="s">
        <v>81</v>
      </c>
      <c r="H526" s="4" t="s">
        <v>2257</v>
      </c>
      <c r="I526">
        <v>799746</v>
      </c>
      <c r="J526" s="8" t="s">
        <v>2345</v>
      </c>
      <c r="K526" t="s">
        <v>548</v>
      </c>
      <c r="L526" t="s">
        <v>549</v>
      </c>
      <c r="M526" t="s">
        <v>45</v>
      </c>
      <c r="N526">
        <f t="shared" si="27"/>
        <v>6</v>
      </c>
      <c r="O526">
        <v>2</v>
      </c>
      <c r="P526" s="6">
        <v>200.77</v>
      </c>
      <c r="Q526">
        <v>10.039999999999999</v>
      </c>
      <c r="R526">
        <v>391.5</v>
      </c>
      <c r="S526">
        <v>19.579999999999998</v>
      </c>
      <c r="T526">
        <v>10</v>
      </c>
      <c r="U526">
        <v>10</v>
      </c>
      <c r="V526">
        <v>431.08</v>
      </c>
      <c r="W526" t="s">
        <v>27</v>
      </c>
      <c r="X526">
        <v>6</v>
      </c>
    </row>
    <row r="527" spans="1:24" ht="14.25" customHeight="1">
      <c r="A527" t="s">
        <v>1275</v>
      </c>
      <c r="B527" t="s">
        <v>2269</v>
      </c>
      <c r="C527" s="6" t="str">
        <f t="shared" si="25"/>
        <v>February</v>
      </c>
      <c r="D527" s="6" t="str">
        <f t="shared" si="26"/>
        <v>27</v>
      </c>
      <c r="E527" t="s">
        <v>901</v>
      </c>
      <c r="F527" t="s">
        <v>21</v>
      </c>
      <c r="G527" t="s">
        <v>74</v>
      </c>
      <c r="H527" s="4" t="s">
        <v>2257</v>
      </c>
      <c r="I527">
        <v>196393</v>
      </c>
      <c r="J527" s="8" t="s">
        <v>30</v>
      </c>
      <c r="K527" t="s">
        <v>552</v>
      </c>
      <c r="L527" t="s">
        <v>553</v>
      </c>
      <c r="M527" t="s">
        <v>33</v>
      </c>
      <c r="N527">
        <f t="shared" si="27"/>
        <v>10</v>
      </c>
      <c r="O527">
        <v>4</v>
      </c>
      <c r="P527" s="6">
        <v>129.06</v>
      </c>
      <c r="Q527">
        <v>19.36</v>
      </c>
      <c r="R527">
        <v>496.88</v>
      </c>
      <c r="S527">
        <v>24.84</v>
      </c>
      <c r="T527">
        <v>20</v>
      </c>
      <c r="U527">
        <v>20</v>
      </c>
      <c r="V527">
        <v>561.72</v>
      </c>
      <c r="W527" t="s">
        <v>84</v>
      </c>
      <c r="X527">
        <v>25</v>
      </c>
    </row>
    <row r="528" spans="1:24" ht="14.25" customHeight="1">
      <c r="A528" t="s">
        <v>1276</v>
      </c>
      <c r="B528" t="s">
        <v>2269</v>
      </c>
      <c r="C528" s="6" t="str">
        <f t="shared" si="25"/>
        <v>February</v>
      </c>
      <c r="D528" s="6" t="str">
        <f t="shared" si="26"/>
        <v>27</v>
      </c>
      <c r="E528" t="s">
        <v>903</v>
      </c>
      <c r="F528" t="s">
        <v>21</v>
      </c>
      <c r="G528" t="s">
        <v>68</v>
      </c>
      <c r="H528" s="4" t="s">
        <v>2257</v>
      </c>
      <c r="I528">
        <v>622313</v>
      </c>
      <c r="J528" s="8" t="s">
        <v>2349</v>
      </c>
      <c r="K528" t="s">
        <v>556</v>
      </c>
      <c r="L528" t="s">
        <v>557</v>
      </c>
      <c r="M528" t="s">
        <v>40</v>
      </c>
      <c r="N528">
        <f t="shared" si="27"/>
        <v>6</v>
      </c>
      <c r="O528">
        <v>2</v>
      </c>
      <c r="P528" s="6">
        <v>66.89</v>
      </c>
      <c r="Q528">
        <v>0</v>
      </c>
      <c r="R528">
        <v>133.78</v>
      </c>
      <c r="S528">
        <v>6.69</v>
      </c>
      <c r="T528">
        <v>20</v>
      </c>
      <c r="U528">
        <v>5</v>
      </c>
      <c r="V528">
        <v>165.47</v>
      </c>
      <c r="W528" t="s">
        <v>27</v>
      </c>
      <c r="X528">
        <v>39</v>
      </c>
    </row>
    <row r="529" spans="1:24" ht="14.25" customHeight="1">
      <c r="A529" t="s">
        <v>1277</v>
      </c>
      <c r="B529" t="s">
        <v>2278</v>
      </c>
      <c r="C529" s="6" t="str">
        <f t="shared" si="25"/>
        <v>January</v>
      </c>
      <c r="D529" s="6" t="str">
        <f t="shared" si="26"/>
        <v>22</v>
      </c>
      <c r="E529" t="s">
        <v>905</v>
      </c>
      <c r="F529" t="s">
        <v>21</v>
      </c>
      <c r="G529" t="s">
        <v>37</v>
      </c>
      <c r="H529" s="4" t="s">
        <v>2257</v>
      </c>
      <c r="I529">
        <v>839538</v>
      </c>
      <c r="J529" s="8" t="s">
        <v>62</v>
      </c>
      <c r="K529" t="s">
        <v>560</v>
      </c>
      <c r="L529" t="s">
        <v>561</v>
      </c>
      <c r="M529" t="s">
        <v>65</v>
      </c>
      <c r="N529">
        <f t="shared" si="27"/>
        <v>6</v>
      </c>
      <c r="O529">
        <v>2</v>
      </c>
      <c r="P529" s="6">
        <v>96.28</v>
      </c>
      <c r="Q529">
        <v>4.8099999999999996</v>
      </c>
      <c r="R529">
        <v>187.75</v>
      </c>
      <c r="S529">
        <v>9.39</v>
      </c>
      <c r="T529">
        <v>10</v>
      </c>
      <c r="U529">
        <v>15</v>
      </c>
      <c r="V529">
        <v>222.14</v>
      </c>
      <c r="W529" t="s">
        <v>27</v>
      </c>
      <c r="X529">
        <v>22</v>
      </c>
    </row>
    <row r="530" spans="1:24" ht="14.25" customHeight="1">
      <c r="A530" t="s">
        <v>1278</v>
      </c>
      <c r="B530" t="s">
        <v>2287</v>
      </c>
      <c r="C530" s="6" t="str">
        <f t="shared" si="25"/>
        <v>February</v>
      </c>
      <c r="D530" s="6" t="str">
        <f t="shared" si="26"/>
        <v>18</v>
      </c>
      <c r="E530" t="s">
        <v>907</v>
      </c>
      <c r="F530" t="s">
        <v>21</v>
      </c>
      <c r="G530" t="s">
        <v>106</v>
      </c>
      <c r="H530" s="4" t="s">
        <v>2257</v>
      </c>
      <c r="I530">
        <v>301604</v>
      </c>
      <c r="J530" s="8" t="s">
        <v>30</v>
      </c>
      <c r="K530" t="s">
        <v>564</v>
      </c>
      <c r="L530" t="s">
        <v>565</v>
      </c>
      <c r="M530" t="s">
        <v>177</v>
      </c>
      <c r="N530">
        <f t="shared" si="27"/>
        <v>5</v>
      </c>
      <c r="O530">
        <v>7</v>
      </c>
      <c r="P530" s="6">
        <v>74.209999999999994</v>
      </c>
      <c r="Q530">
        <v>7.42</v>
      </c>
      <c r="R530">
        <v>512.04999999999995</v>
      </c>
      <c r="S530">
        <v>25.6</v>
      </c>
      <c r="T530">
        <v>10</v>
      </c>
      <c r="U530">
        <v>0</v>
      </c>
      <c r="V530">
        <v>547.65</v>
      </c>
      <c r="W530" t="s">
        <v>27</v>
      </c>
      <c r="X530">
        <v>27</v>
      </c>
    </row>
    <row r="531" spans="1:24" ht="14.25" customHeight="1">
      <c r="A531" t="s">
        <v>1279</v>
      </c>
      <c r="B531" t="s">
        <v>2263</v>
      </c>
      <c r="C531" s="6" t="str">
        <f t="shared" si="25"/>
        <v>February</v>
      </c>
      <c r="D531" s="6" t="str">
        <f t="shared" si="26"/>
        <v>21</v>
      </c>
      <c r="E531" t="s">
        <v>909</v>
      </c>
      <c r="F531" t="s">
        <v>21</v>
      </c>
      <c r="G531" t="s">
        <v>68</v>
      </c>
      <c r="H531" s="4" t="s">
        <v>2257</v>
      </c>
      <c r="I531">
        <v>704056</v>
      </c>
      <c r="J531" s="8" t="s">
        <v>30</v>
      </c>
      <c r="K531" t="s">
        <v>568</v>
      </c>
      <c r="L531" t="s">
        <v>569</v>
      </c>
      <c r="M531" t="s">
        <v>33</v>
      </c>
      <c r="N531">
        <f t="shared" si="27"/>
        <v>10</v>
      </c>
      <c r="O531">
        <v>3</v>
      </c>
      <c r="P531" s="6">
        <v>85.26</v>
      </c>
      <c r="Q531">
        <v>8.5299999999999994</v>
      </c>
      <c r="R531">
        <v>247.25</v>
      </c>
      <c r="S531">
        <v>12.36</v>
      </c>
      <c r="T531">
        <v>10</v>
      </c>
      <c r="U531">
        <v>20</v>
      </c>
      <c r="V531">
        <v>289.61</v>
      </c>
      <c r="W531" t="s">
        <v>27</v>
      </c>
      <c r="X531">
        <v>38</v>
      </c>
    </row>
    <row r="532" spans="1:24" ht="14.25" customHeight="1">
      <c r="A532" t="s">
        <v>1280</v>
      </c>
      <c r="B532" t="s">
        <v>2290</v>
      </c>
      <c r="C532" s="6" t="str">
        <f t="shared" si="25"/>
        <v>February</v>
      </c>
      <c r="D532" s="6" t="str">
        <f t="shared" si="26"/>
        <v>11</v>
      </c>
      <c r="E532" t="s">
        <v>911</v>
      </c>
      <c r="F532" t="s">
        <v>21</v>
      </c>
      <c r="G532" t="s">
        <v>68</v>
      </c>
      <c r="H532" s="4" t="s">
        <v>2257</v>
      </c>
      <c r="I532">
        <v>425329</v>
      </c>
      <c r="J532" s="8" t="s">
        <v>2349</v>
      </c>
      <c r="K532" t="s">
        <v>572</v>
      </c>
      <c r="L532" t="s">
        <v>573</v>
      </c>
      <c r="M532" t="s">
        <v>77</v>
      </c>
      <c r="N532">
        <f t="shared" si="27"/>
        <v>5</v>
      </c>
      <c r="O532">
        <v>3</v>
      </c>
      <c r="P532" s="6">
        <v>200.3</v>
      </c>
      <c r="Q532">
        <v>30.05</v>
      </c>
      <c r="R532">
        <v>570.85000000000014</v>
      </c>
      <c r="S532">
        <v>28.54</v>
      </c>
      <c r="T532">
        <v>30</v>
      </c>
      <c r="U532">
        <v>15</v>
      </c>
      <c r="V532">
        <v>644.3900000000001</v>
      </c>
      <c r="W532" t="s">
        <v>34</v>
      </c>
      <c r="X532">
        <v>25</v>
      </c>
    </row>
    <row r="533" spans="1:24" ht="14.25" customHeight="1">
      <c r="A533" t="s">
        <v>1281</v>
      </c>
      <c r="B533" t="s">
        <v>2308</v>
      </c>
      <c r="C533" s="6" t="str">
        <f t="shared" si="25"/>
        <v>January</v>
      </c>
      <c r="D533" s="6" t="str">
        <f t="shared" si="26"/>
        <v>06</v>
      </c>
      <c r="E533" t="s">
        <v>913</v>
      </c>
      <c r="F533" t="s">
        <v>21</v>
      </c>
      <c r="G533" t="s">
        <v>22</v>
      </c>
      <c r="H533" s="4" t="s">
        <v>2257</v>
      </c>
      <c r="I533">
        <v>591006</v>
      </c>
      <c r="J533" s="8" t="s">
        <v>30</v>
      </c>
      <c r="K533" t="s">
        <v>576</v>
      </c>
      <c r="L533" t="s">
        <v>577</v>
      </c>
      <c r="M533" t="s">
        <v>33</v>
      </c>
      <c r="N533">
        <f t="shared" si="27"/>
        <v>10</v>
      </c>
      <c r="O533">
        <v>1</v>
      </c>
      <c r="P533" s="6">
        <v>71.94</v>
      </c>
      <c r="Q533">
        <v>3.6</v>
      </c>
      <c r="R533">
        <v>68.34</v>
      </c>
      <c r="S533">
        <v>3.42</v>
      </c>
      <c r="T533">
        <v>10</v>
      </c>
      <c r="U533">
        <v>10</v>
      </c>
      <c r="V533">
        <v>91.76</v>
      </c>
      <c r="W533" t="s">
        <v>27</v>
      </c>
      <c r="X533">
        <v>40</v>
      </c>
    </row>
    <row r="534" spans="1:24" ht="14.25" customHeight="1">
      <c r="A534" t="s">
        <v>1282</v>
      </c>
      <c r="B534" t="s">
        <v>2265</v>
      </c>
      <c r="C534" s="6" t="str">
        <f t="shared" si="25"/>
        <v>January</v>
      </c>
      <c r="D534" s="6" t="str">
        <f t="shared" si="26"/>
        <v>15</v>
      </c>
      <c r="E534" t="s">
        <v>915</v>
      </c>
      <c r="F534" t="s">
        <v>21</v>
      </c>
      <c r="G534" t="s">
        <v>37</v>
      </c>
      <c r="H534" s="4" t="s">
        <v>2257</v>
      </c>
      <c r="I534">
        <v>362091</v>
      </c>
      <c r="J534" s="8" t="s">
        <v>30</v>
      </c>
      <c r="K534" t="s">
        <v>580</v>
      </c>
      <c r="L534" t="s">
        <v>581</v>
      </c>
      <c r="M534" t="s">
        <v>140</v>
      </c>
      <c r="N534">
        <f t="shared" si="27"/>
        <v>3</v>
      </c>
      <c r="O534">
        <v>1</v>
      </c>
      <c r="P534" s="6">
        <v>23.41</v>
      </c>
      <c r="Q534">
        <v>3.51</v>
      </c>
      <c r="R534">
        <v>19.899999999999999</v>
      </c>
      <c r="S534">
        <v>0.99</v>
      </c>
      <c r="T534">
        <v>20</v>
      </c>
      <c r="U534">
        <v>5</v>
      </c>
      <c r="V534">
        <v>45.89</v>
      </c>
      <c r="W534" t="s">
        <v>27</v>
      </c>
      <c r="X534">
        <v>26</v>
      </c>
    </row>
    <row r="535" spans="1:24" ht="14.25" customHeight="1">
      <c r="A535" t="s">
        <v>1283</v>
      </c>
      <c r="B535" t="s">
        <v>2309</v>
      </c>
      <c r="C535" s="6" t="str">
        <f t="shared" si="25"/>
        <v>February</v>
      </c>
      <c r="D535" s="6" t="str">
        <f t="shared" si="26"/>
        <v>23</v>
      </c>
      <c r="E535" t="s">
        <v>917</v>
      </c>
      <c r="F535" t="s">
        <v>21</v>
      </c>
      <c r="G535" t="s">
        <v>106</v>
      </c>
      <c r="H535" s="4" t="s">
        <v>2257</v>
      </c>
      <c r="I535">
        <v>997116</v>
      </c>
      <c r="J535" s="8" t="s">
        <v>2346</v>
      </c>
      <c r="K535" t="s">
        <v>584</v>
      </c>
      <c r="L535" t="s">
        <v>585</v>
      </c>
      <c r="M535" t="s">
        <v>140</v>
      </c>
      <c r="N535">
        <f t="shared" si="27"/>
        <v>3</v>
      </c>
      <c r="O535">
        <v>3</v>
      </c>
      <c r="P535" s="6">
        <v>167.05</v>
      </c>
      <c r="Q535">
        <v>0</v>
      </c>
      <c r="R535">
        <v>501.15</v>
      </c>
      <c r="S535">
        <v>25.06</v>
      </c>
      <c r="T535">
        <v>20</v>
      </c>
      <c r="U535">
        <v>5</v>
      </c>
      <c r="V535">
        <v>551.21</v>
      </c>
      <c r="W535" t="s">
        <v>27</v>
      </c>
      <c r="X535">
        <v>28</v>
      </c>
    </row>
    <row r="536" spans="1:24" ht="14.25" customHeight="1">
      <c r="A536" t="s">
        <v>1284</v>
      </c>
      <c r="B536" t="s">
        <v>2266</v>
      </c>
      <c r="C536" s="6" t="str">
        <f t="shared" si="25"/>
        <v>February</v>
      </c>
      <c r="D536" s="6" t="str">
        <f t="shared" si="26"/>
        <v>12</v>
      </c>
      <c r="E536" t="s">
        <v>919</v>
      </c>
      <c r="F536" t="s">
        <v>21</v>
      </c>
      <c r="G536" t="s">
        <v>74</v>
      </c>
      <c r="H536" s="4" t="s">
        <v>2257</v>
      </c>
      <c r="I536">
        <v>236285</v>
      </c>
      <c r="J536" s="8" t="s">
        <v>30</v>
      </c>
      <c r="K536" t="s">
        <v>588</v>
      </c>
      <c r="L536" t="s">
        <v>589</v>
      </c>
      <c r="M536" t="s">
        <v>177</v>
      </c>
      <c r="N536">
        <f t="shared" si="27"/>
        <v>5</v>
      </c>
      <c r="O536">
        <v>1</v>
      </c>
      <c r="P536" s="6">
        <v>143.88</v>
      </c>
      <c r="Q536">
        <v>7.19</v>
      </c>
      <c r="R536">
        <v>136.69</v>
      </c>
      <c r="S536">
        <v>6.83</v>
      </c>
      <c r="T536">
        <v>20</v>
      </c>
      <c r="U536">
        <v>5</v>
      </c>
      <c r="V536">
        <v>168.52</v>
      </c>
      <c r="W536" t="s">
        <v>27</v>
      </c>
      <c r="X536">
        <v>41</v>
      </c>
    </row>
    <row r="537" spans="1:24" ht="14.25" customHeight="1">
      <c r="A537" t="s">
        <v>1285</v>
      </c>
      <c r="B537" t="s">
        <v>2283</v>
      </c>
      <c r="C537" s="6" t="str">
        <f t="shared" si="25"/>
        <v>March</v>
      </c>
      <c r="D537" s="6" t="str">
        <f t="shared" si="26"/>
        <v>01</v>
      </c>
      <c r="E537" t="s">
        <v>921</v>
      </c>
      <c r="F537" t="s">
        <v>21</v>
      </c>
      <c r="G537" t="s">
        <v>68</v>
      </c>
      <c r="H537" s="4" t="s">
        <v>2257</v>
      </c>
      <c r="I537">
        <v>808387</v>
      </c>
      <c r="J537" s="8" t="s">
        <v>2346</v>
      </c>
      <c r="K537" t="s">
        <v>592</v>
      </c>
      <c r="L537" t="s">
        <v>593</v>
      </c>
      <c r="M537" t="s">
        <v>26</v>
      </c>
      <c r="N537">
        <f t="shared" si="27"/>
        <v>3</v>
      </c>
      <c r="O537">
        <v>1</v>
      </c>
      <c r="P537" s="6">
        <v>44.68</v>
      </c>
      <c r="Q537">
        <v>4.47</v>
      </c>
      <c r="R537">
        <v>40.21</v>
      </c>
      <c r="S537">
        <v>2.0099999999999998</v>
      </c>
      <c r="T537">
        <v>0</v>
      </c>
      <c r="U537">
        <v>5</v>
      </c>
      <c r="V537">
        <v>47.22</v>
      </c>
      <c r="W537" t="s">
        <v>84</v>
      </c>
      <c r="X537">
        <v>25</v>
      </c>
    </row>
    <row r="538" spans="1:24" ht="14.25" customHeight="1">
      <c r="A538" t="s">
        <v>1286</v>
      </c>
      <c r="B538" t="s">
        <v>2297</v>
      </c>
      <c r="C538" s="6" t="str">
        <f t="shared" si="25"/>
        <v>February</v>
      </c>
      <c r="D538" s="6" t="str">
        <f t="shared" si="26"/>
        <v>06</v>
      </c>
      <c r="E538" t="s">
        <v>923</v>
      </c>
      <c r="F538" t="s">
        <v>21</v>
      </c>
      <c r="G538" t="s">
        <v>68</v>
      </c>
      <c r="H538" s="4" t="s">
        <v>2257</v>
      </c>
      <c r="I538">
        <v>908871</v>
      </c>
      <c r="J538" s="8" t="s">
        <v>62</v>
      </c>
      <c r="K538" t="s">
        <v>596</v>
      </c>
      <c r="L538" t="s">
        <v>597</v>
      </c>
      <c r="M538" t="s">
        <v>55</v>
      </c>
      <c r="N538">
        <f t="shared" si="27"/>
        <v>5</v>
      </c>
      <c r="O538">
        <v>3</v>
      </c>
      <c r="P538" s="6">
        <v>176.55</v>
      </c>
      <c r="Q538">
        <v>26.48</v>
      </c>
      <c r="R538">
        <v>503.17000000000007</v>
      </c>
      <c r="S538">
        <v>25.16</v>
      </c>
      <c r="T538">
        <v>10</v>
      </c>
      <c r="U538">
        <v>0</v>
      </c>
      <c r="V538">
        <v>538.33000000000004</v>
      </c>
      <c r="W538" t="s">
        <v>27</v>
      </c>
      <c r="X538">
        <v>33</v>
      </c>
    </row>
    <row r="539" spans="1:24" ht="14.25" customHeight="1">
      <c r="A539" t="s">
        <v>1287</v>
      </c>
      <c r="B539" t="s">
        <v>2284</v>
      </c>
      <c r="C539" s="6" t="str">
        <f t="shared" si="25"/>
        <v>February</v>
      </c>
      <c r="D539" s="6" t="str">
        <f t="shared" si="26"/>
        <v>02</v>
      </c>
      <c r="E539" t="s">
        <v>925</v>
      </c>
      <c r="F539" t="s">
        <v>21</v>
      </c>
      <c r="G539" t="s">
        <v>37</v>
      </c>
      <c r="H539" s="4" t="s">
        <v>2257</v>
      </c>
      <c r="I539">
        <v>776479</v>
      </c>
      <c r="J539" s="8" t="s">
        <v>2346</v>
      </c>
      <c r="K539" t="s">
        <v>600</v>
      </c>
      <c r="L539" t="s">
        <v>601</v>
      </c>
      <c r="M539" t="s">
        <v>65</v>
      </c>
      <c r="N539">
        <f t="shared" si="27"/>
        <v>6</v>
      </c>
      <c r="O539">
        <v>1</v>
      </c>
      <c r="P539" s="6">
        <v>134.43</v>
      </c>
      <c r="Q539">
        <v>0</v>
      </c>
      <c r="R539">
        <v>134.43</v>
      </c>
      <c r="S539">
        <v>6.72</v>
      </c>
      <c r="T539">
        <v>0</v>
      </c>
      <c r="U539">
        <v>0</v>
      </c>
      <c r="V539">
        <v>141.15</v>
      </c>
      <c r="W539" t="s">
        <v>27</v>
      </c>
      <c r="X539">
        <v>30</v>
      </c>
    </row>
    <row r="540" spans="1:24" ht="14.25" customHeight="1">
      <c r="A540" t="s">
        <v>1288</v>
      </c>
      <c r="B540" t="s">
        <v>2267</v>
      </c>
      <c r="C540" s="6" t="str">
        <f t="shared" si="25"/>
        <v>January</v>
      </c>
      <c r="D540" s="6" t="str">
        <f t="shared" si="26"/>
        <v>08</v>
      </c>
      <c r="E540" t="s">
        <v>927</v>
      </c>
      <c r="F540" t="s">
        <v>21</v>
      </c>
      <c r="G540" t="s">
        <v>74</v>
      </c>
      <c r="H540" s="4" t="s">
        <v>2257</v>
      </c>
      <c r="I540">
        <v>515466</v>
      </c>
      <c r="J540" s="8" t="s">
        <v>2349</v>
      </c>
      <c r="K540" t="s">
        <v>604</v>
      </c>
      <c r="L540" t="s">
        <v>605</v>
      </c>
      <c r="M540" t="s">
        <v>55</v>
      </c>
      <c r="N540">
        <f t="shared" si="27"/>
        <v>5</v>
      </c>
      <c r="O540">
        <v>5</v>
      </c>
      <c r="P540" s="6">
        <v>213.07</v>
      </c>
      <c r="Q540">
        <v>21.31</v>
      </c>
      <c r="R540">
        <v>1044.04</v>
      </c>
      <c r="S540">
        <v>52.2</v>
      </c>
      <c r="T540">
        <v>0</v>
      </c>
      <c r="U540">
        <v>15</v>
      </c>
      <c r="V540">
        <v>1111.24</v>
      </c>
      <c r="W540" t="s">
        <v>27</v>
      </c>
      <c r="X540">
        <v>3</v>
      </c>
    </row>
    <row r="541" spans="1:24" ht="14.25" customHeight="1">
      <c r="A541" t="s">
        <v>1289</v>
      </c>
      <c r="B541" t="s">
        <v>2274</v>
      </c>
      <c r="C541" s="6" t="str">
        <f t="shared" si="25"/>
        <v>February</v>
      </c>
      <c r="D541" s="6" t="str">
        <f t="shared" si="26"/>
        <v>22</v>
      </c>
      <c r="E541" t="s">
        <v>929</v>
      </c>
      <c r="F541" t="s">
        <v>21</v>
      </c>
      <c r="G541" t="s">
        <v>37</v>
      </c>
      <c r="H541" s="4" t="s">
        <v>2257</v>
      </c>
      <c r="I541">
        <v>205686</v>
      </c>
      <c r="J541" s="8" t="s">
        <v>2349</v>
      </c>
      <c r="K541" t="s">
        <v>608</v>
      </c>
      <c r="L541" t="s">
        <v>609</v>
      </c>
      <c r="M541" t="s">
        <v>77</v>
      </c>
      <c r="N541">
        <f t="shared" si="27"/>
        <v>5</v>
      </c>
      <c r="O541">
        <v>5</v>
      </c>
      <c r="P541" s="6">
        <v>163.63</v>
      </c>
      <c r="Q541">
        <v>8.18</v>
      </c>
      <c r="R541">
        <v>809.97</v>
      </c>
      <c r="S541">
        <v>40.5</v>
      </c>
      <c r="T541">
        <v>20</v>
      </c>
      <c r="U541">
        <v>0</v>
      </c>
      <c r="V541">
        <v>870.47</v>
      </c>
      <c r="W541" t="s">
        <v>27</v>
      </c>
      <c r="X541">
        <v>13</v>
      </c>
    </row>
    <row r="542" spans="1:24" ht="14.25" customHeight="1">
      <c r="A542" t="s">
        <v>1290</v>
      </c>
      <c r="B542" t="s">
        <v>2283</v>
      </c>
      <c r="C542" s="6" t="str">
        <f t="shared" si="25"/>
        <v>March</v>
      </c>
      <c r="D542" s="6" t="str">
        <f t="shared" si="26"/>
        <v>01</v>
      </c>
      <c r="E542" t="s">
        <v>931</v>
      </c>
      <c r="F542" t="s">
        <v>21</v>
      </c>
      <c r="G542" t="s">
        <v>68</v>
      </c>
      <c r="H542" s="4" t="s">
        <v>2257</v>
      </c>
      <c r="I542">
        <v>798148</v>
      </c>
      <c r="J542" s="8" t="s">
        <v>30</v>
      </c>
      <c r="K542" t="s">
        <v>612</v>
      </c>
      <c r="L542" t="s">
        <v>613</v>
      </c>
      <c r="M542" t="s">
        <v>98</v>
      </c>
      <c r="N542">
        <f t="shared" si="27"/>
        <v>4</v>
      </c>
      <c r="O542">
        <v>1</v>
      </c>
      <c r="P542" s="6">
        <v>14.1</v>
      </c>
      <c r="Q542">
        <v>0.71</v>
      </c>
      <c r="R542">
        <v>13.39</v>
      </c>
      <c r="S542">
        <v>0.67</v>
      </c>
      <c r="T542">
        <v>0</v>
      </c>
      <c r="U542">
        <v>5</v>
      </c>
      <c r="V542">
        <v>19.059999999999999</v>
      </c>
      <c r="W542" t="s">
        <v>117</v>
      </c>
      <c r="X542">
        <v>25</v>
      </c>
    </row>
    <row r="543" spans="1:24" ht="14.25" customHeight="1">
      <c r="A543" t="s">
        <v>1291</v>
      </c>
      <c r="B543" t="s">
        <v>2280</v>
      </c>
      <c r="C543" s="6" t="str">
        <f t="shared" si="25"/>
        <v>February</v>
      </c>
      <c r="D543" s="6" t="str">
        <f t="shared" si="26"/>
        <v>13</v>
      </c>
      <c r="E543" t="s">
        <v>933</v>
      </c>
      <c r="F543" t="s">
        <v>21</v>
      </c>
      <c r="G543" t="s">
        <v>74</v>
      </c>
      <c r="H543" s="4" t="s">
        <v>2257</v>
      </c>
      <c r="I543">
        <v>240148</v>
      </c>
      <c r="J543" s="8" t="s">
        <v>62</v>
      </c>
      <c r="K543" t="s">
        <v>616</v>
      </c>
      <c r="L543" t="s">
        <v>617</v>
      </c>
      <c r="M543" t="s">
        <v>177</v>
      </c>
      <c r="N543">
        <f t="shared" si="27"/>
        <v>5</v>
      </c>
      <c r="O543">
        <v>2</v>
      </c>
      <c r="P543" s="6">
        <v>170.89</v>
      </c>
      <c r="Q543">
        <v>17.09</v>
      </c>
      <c r="R543">
        <v>324.69</v>
      </c>
      <c r="S543">
        <v>16.23</v>
      </c>
      <c r="T543">
        <v>0</v>
      </c>
      <c r="U543">
        <v>0</v>
      </c>
      <c r="V543">
        <v>340.92</v>
      </c>
      <c r="W543" t="s">
        <v>27</v>
      </c>
      <c r="X543">
        <v>12</v>
      </c>
    </row>
    <row r="544" spans="1:24" ht="14.25" customHeight="1">
      <c r="A544" t="s">
        <v>1292</v>
      </c>
      <c r="B544" t="s">
        <v>2280</v>
      </c>
      <c r="C544" s="6" t="str">
        <f t="shared" si="25"/>
        <v>February</v>
      </c>
      <c r="D544" s="6" t="str">
        <f t="shared" si="26"/>
        <v>13</v>
      </c>
      <c r="E544" t="s">
        <v>935</v>
      </c>
      <c r="F544" t="s">
        <v>21</v>
      </c>
      <c r="G544" t="s">
        <v>106</v>
      </c>
      <c r="H544" s="4" t="s">
        <v>2257</v>
      </c>
      <c r="I544">
        <v>490452</v>
      </c>
      <c r="J544" s="8" t="s">
        <v>2348</v>
      </c>
      <c r="K544" t="s">
        <v>620</v>
      </c>
      <c r="L544" t="s">
        <v>621</v>
      </c>
      <c r="M544" t="s">
        <v>33</v>
      </c>
      <c r="N544">
        <f t="shared" si="27"/>
        <v>10</v>
      </c>
      <c r="O544">
        <v>3</v>
      </c>
      <c r="P544" s="6">
        <v>118.33</v>
      </c>
      <c r="Q544">
        <v>11.83</v>
      </c>
      <c r="R544">
        <v>343.16</v>
      </c>
      <c r="S544">
        <v>17.16</v>
      </c>
      <c r="T544">
        <v>20</v>
      </c>
      <c r="U544">
        <v>10</v>
      </c>
      <c r="V544">
        <v>390.32000000000011</v>
      </c>
      <c r="W544" t="s">
        <v>27</v>
      </c>
      <c r="X544">
        <v>32</v>
      </c>
    </row>
    <row r="545" spans="1:24" ht="14.25" customHeight="1">
      <c r="A545" t="s">
        <v>1293</v>
      </c>
      <c r="B545" t="s">
        <v>2317</v>
      </c>
      <c r="C545" s="6" t="str">
        <f t="shared" si="25"/>
        <v>January</v>
      </c>
      <c r="D545" s="6" t="str">
        <f t="shared" si="26"/>
        <v>05</v>
      </c>
      <c r="E545" t="s">
        <v>937</v>
      </c>
      <c r="F545" t="s">
        <v>21</v>
      </c>
      <c r="G545" t="s">
        <v>22</v>
      </c>
      <c r="H545" s="4" t="s">
        <v>2257</v>
      </c>
      <c r="I545">
        <v>585651</v>
      </c>
      <c r="J545" s="8" t="s">
        <v>2348</v>
      </c>
      <c r="K545" t="s">
        <v>624</v>
      </c>
      <c r="L545" t="s">
        <v>625</v>
      </c>
      <c r="M545" t="s">
        <v>45</v>
      </c>
      <c r="N545">
        <f t="shared" si="27"/>
        <v>6</v>
      </c>
      <c r="O545">
        <v>4</v>
      </c>
      <c r="P545" s="6">
        <v>140.97999999999999</v>
      </c>
      <c r="Q545">
        <v>0</v>
      </c>
      <c r="R545">
        <v>563.91999999999996</v>
      </c>
      <c r="S545">
        <v>28.2</v>
      </c>
      <c r="T545">
        <v>10</v>
      </c>
      <c r="U545">
        <v>10</v>
      </c>
      <c r="V545">
        <v>612.12</v>
      </c>
      <c r="W545" t="s">
        <v>27</v>
      </c>
      <c r="X545">
        <v>9</v>
      </c>
    </row>
    <row r="546" spans="1:24" ht="14.25" customHeight="1">
      <c r="A546" t="s">
        <v>1294</v>
      </c>
      <c r="B546" t="s">
        <v>2262</v>
      </c>
      <c r="C546" s="6" t="str">
        <f t="shared" si="25"/>
        <v>February</v>
      </c>
      <c r="D546" s="6" t="str">
        <f t="shared" si="26"/>
        <v>08</v>
      </c>
      <c r="E546" t="s">
        <v>939</v>
      </c>
      <c r="F546" t="s">
        <v>21</v>
      </c>
      <c r="G546" t="s">
        <v>106</v>
      </c>
      <c r="H546" s="4" t="s">
        <v>2257</v>
      </c>
      <c r="I546">
        <v>857634</v>
      </c>
      <c r="J546" s="8" t="s">
        <v>30</v>
      </c>
      <c r="K546" t="s">
        <v>628</v>
      </c>
      <c r="L546" t="s">
        <v>629</v>
      </c>
      <c r="M546" t="s">
        <v>140</v>
      </c>
      <c r="N546">
        <f t="shared" si="27"/>
        <v>3</v>
      </c>
      <c r="O546">
        <v>2</v>
      </c>
      <c r="P546" s="6">
        <v>205.23</v>
      </c>
      <c r="Q546">
        <v>30.78</v>
      </c>
      <c r="R546">
        <v>379.67999999999989</v>
      </c>
      <c r="S546">
        <v>18.98</v>
      </c>
      <c r="T546">
        <v>10</v>
      </c>
      <c r="U546">
        <v>5</v>
      </c>
      <c r="V546">
        <v>413.66</v>
      </c>
      <c r="W546" t="s">
        <v>27</v>
      </c>
      <c r="X546">
        <v>21</v>
      </c>
    </row>
    <row r="547" spans="1:24" ht="14.25" customHeight="1">
      <c r="A547" t="s">
        <v>1295</v>
      </c>
      <c r="B547" t="s">
        <v>2301</v>
      </c>
      <c r="C547" s="6" t="str">
        <f t="shared" si="25"/>
        <v>January</v>
      </c>
      <c r="D547" s="6" t="str">
        <f t="shared" si="26"/>
        <v>04</v>
      </c>
      <c r="E547" t="s">
        <v>941</v>
      </c>
      <c r="F547" t="s">
        <v>21</v>
      </c>
      <c r="G547" t="s">
        <v>68</v>
      </c>
      <c r="H547" s="4" t="s">
        <v>2257</v>
      </c>
      <c r="I547">
        <v>273115</v>
      </c>
      <c r="J547" s="8" t="s">
        <v>30</v>
      </c>
      <c r="K547" t="s">
        <v>632</v>
      </c>
      <c r="L547" t="s">
        <v>633</v>
      </c>
      <c r="M547" t="s">
        <v>130</v>
      </c>
      <c r="N547">
        <f t="shared" si="27"/>
        <v>7</v>
      </c>
      <c r="O547">
        <v>4</v>
      </c>
      <c r="P547" s="6">
        <v>233.8</v>
      </c>
      <c r="Q547">
        <v>23.38</v>
      </c>
      <c r="R547">
        <v>911.82</v>
      </c>
      <c r="S547">
        <v>45.59</v>
      </c>
      <c r="T547">
        <v>10</v>
      </c>
      <c r="U547">
        <v>20</v>
      </c>
      <c r="V547">
        <v>987.41000000000008</v>
      </c>
      <c r="W547" t="s">
        <v>27</v>
      </c>
      <c r="X547">
        <v>17</v>
      </c>
    </row>
    <row r="548" spans="1:24" ht="14.25" customHeight="1">
      <c r="A548" t="s">
        <v>1296</v>
      </c>
      <c r="B548" t="s">
        <v>2308</v>
      </c>
      <c r="C548" s="6" t="str">
        <f t="shared" si="25"/>
        <v>January</v>
      </c>
      <c r="D548" s="6" t="str">
        <f t="shared" si="26"/>
        <v>06</v>
      </c>
      <c r="E548" t="s">
        <v>943</v>
      </c>
      <c r="F548" t="s">
        <v>21</v>
      </c>
      <c r="G548" t="s">
        <v>106</v>
      </c>
      <c r="H548" s="4" t="s">
        <v>2257</v>
      </c>
      <c r="I548">
        <v>813340</v>
      </c>
      <c r="J548" s="8" t="s">
        <v>2346</v>
      </c>
      <c r="K548" t="s">
        <v>636</v>
      </c>
      <c r="L548" t="s">
        <v>637</v>
      </c>
      <c r="M548" t="s">
        <v>40</v>
      </c>
      <c r="N548">
        <f t="shared" si="27"/>
        <v>6</v>
      </c>
      <c r="O548">
        <v>3</v>
      </c>
      <c r="P548" s="6">
        <v>27.87</v>
      </c>
      <c r="Q548">
        <v>1.39</v>
      </c>
      <c r="R548">
        <v>82.22</v>
      </c>
      <c r="S548">
        <v>4.1100000000000003</v>
      </c>
      <c r="T548">
        <v>30</v>
      </c>
      <c r="U548">
        <v>5</v>
      </c>
      <c r="V548">
        <v>121.33</v>
      </c>
      <c r="W548" t="s">
        <v>27</v>
      </c>
      <c r="X548">
        <v>31</v>
      </c>
    </row>
    <row r="549" spans="1:24" ht="14.25" customHeight="1">
      <c r="A549" t="s">
        <v>1297</v>
      </c>
      <c r="B549" t="s">
        <v>2314</v>
      </c>
      <c r="C549" s="6" t="str">
        <f t="shared" si="25"/>
        <v>February</v>
      </c>
      <c r="D549" s="6" t="str">
        <f t="shared" si="26"/>
        <v>14</v>
      </c>
      <c r="E549" t="s">
        <v>945</v>
      </c>
      <c r="F549" t="s">
        <v>21</v>
      </c>
      <c r="G549" t="s">
        <v>74</v>
      </c>
      <c r="H549" s="4" t="s">
        <v>2257</v>
      </c>
      <c r="I549">
        <v>897124</v>
      </c>
      <c r="J549" s="8" t="s">
        <v>30</v>
      </c>
      <c r="K549" t="s">
        <v>640</v>
      </c>
      <c r="L549" t="s">
        <v>641</v>
      </c>
      <c r="M549" t="s">
        <v>71</v>
      </c>
      <c r="N549">
        <f t="shared" si="27"/>
        <v>6</v>
      </c>
      <c r="O549">
        <v>5</v>
      </c>
      <c r="P549" s="6">
        <v>114.16</v>
      </c>
      <c r="Q549">
        <v>0</v>
      </c>
      <c r="R549">
        <v>570.79999999999995</v>
      </c>
      <c r="S549">
        <v>28.54</v>
      </c>
      <c r="T549">
        <v>30</v>
      </c>
      <c r="U549">
        <v>20</v>
      </c>
      <c r="V549">
        <v>649.33999999999992</v>
      </c>
      <c r="W549" t="s">
        <v>34</v>
      </c>
      <c r="X549">
        <v>25</v>
      </c>
    </row>
    <row r="550" spans="1:24" ht="14.25" customHeight="1">
      <c r="A550" t="s">
        <v>1298</v>
      </c>
      <c r="B550" t="s">
        <v>2319</v>
      </c>
      <c r="C550" s="6" t="str">
        <f t="shared" si="25"/>
        <v>February</v>
      </c>
      <c r="D550" s="6" t="str">
        <f t="shared" si="26"/>
        <v>01</v>
      </c>
      <c r="E550" t="s">
        <v>947</v>
      </c>
      <c r="F550" t="s">
        <v>21</v>
      </c>
      <c r="G550" t="s">
        <v>37</v>
      </c>
      <c r="H550" s="4" t="s">
        <v>2257</v>
      </c>
      <c r="I550">
        <v>971535</v>
      </c>
      <c r="J550" s="8" t="s">
        <v>2346</v>
      </c>
      <c r="K550" t="s">
        <v>644</v>
      </c>
      <c r="L550" t="s">
        <v>645</v>
      </c>
      <c r="M550" t="s">
        <v>98</v>
      </c>
      <c r="N550">
        <f t="shared" si="27"/>
        <v>4</v>
      </c>
      <c r="O550">
        <v>1</v>
      </c>
      <c r="P550" s="6">
        <v>108.55</v>
      </c>
      <c r="Q550">
        <v>16.28</v>
      </c>
      <c r="R550">
        <v>92.27</v>
      </c>
      <c r="S550">
        <v>4.6100000000000003</v>
      </c>
      <c r="T550">
        <v>30</v>
      </c>
      <c r="U550">
        <v>20</v>
      </c>
      <c r="V550">
        <v>146.88</v>
      </c>
      <c r="W550" t="s">
        <v>27</v>
      </c>
      <c r="X550">
        <v>24</v>
      </c>
    </row>
    <row r="551" spans="1:24" ht="14.25" customHeight="1">
      <c r="A551" t="s">
        <v>1299</v>
      </c>
      <c r="B551" t="s">
        <v>2263</v>
      </c>
      <c r="C551" s="6" t="str">
        <f t="shared" si="25"/>
        <v>February</v>
      </c>
      <c r="D551" s="6" t="str">
        <f t="shared" si="26"/>
        <v>21</v>
      </c>
      <c r="E551" t="s">
        <v>949</v>
      </c>
      <c r="F551" t="s">
        <v>80</v>
      </c>
      <c r="G551" t="s">
        <v>81</v>
      </c>
      <c r="H551" s="4" t="s">
        <v>2257</v>
      </c>
      <c r="I551">
        <v>578454</v>
      </c>
      <c r="J551" s="8" t="s">
        <v>2346</v>
      </c>
      <c r="K551" t="s">
        <v>648</v>
      </c>
      <c r="L551" t="s">
        <v>649</v>
      </c>
      <c r="M551" t="s">
        <v>55</v>
      </c>
      <c r="N551">
        <f t="shared" si="27"/>
        <v>5</v>
      </c>
      <c r="O551">
        <v>1</v>
      </c>
      <c r="P551" s="6">
        <v>186.8</v>
      </c>
      <c r="Q551">
        <v>18.68</v>
      </c>
      <c r="R551">
        <v>168.12</v>
      </c>
      <c r="S551">
        <v>8.41</v>
      </c>
      <c r="T551">
        <v>30</v>
      </c>
      <c r="U551">
        <v>15</v>
      </c>
      <c r="V551">
        <v>221.53</v>
      </c>
      <c r="W551" t="s">
        <v>27</v>
      </c>
      <c r="X551">
        <v>28</v>
      </c>
    </row>
    <row r="552" spans="1:24" ht="14.25" customHeight="1">
      <c r="A552" t="s">
        <v>1300</v>
      </c>
      <c r="B552" t="s">
        <v>2281</v>
      </c>
      <c r="C552" s="6" t="str">
        <f t="shared" si="25"/>
        <v>January</v>
      </c>
      <c r="D552" s="6" t="str">
        <f t="shared" si="26"/>
        <v>30</v>
      </c>
      <c r="E552" t="s">
        <v>951</v>
      </c>
      <c r="F552" t="s">
        <v>21</v>
      </c>
      <c r="G552" t="s">
        <v>68</v>
      </c>
      <c r="H552" s="4" t="s">
        <v>2257</v>
      </c>
      <c r="I552">
        <v>870824</v>
      </c>
      <c r="J552" s="8" t="s">
        <v>30</v>
      </c>
      <c r="K552" t="s">
        <v>652</v>
      </c>
      <c r="L552" t="s">
        <v>653</v>
      </c>
      <c r="M552" t="s">
        <v>89</v>
      </c>
      <c r="N552">
        <f t="shared" si="27"/>
        <v>7</v>
      </c>
      <c r="O552">
        <v>5</v>
      </c>
      <c r="P552" s="6">
        <v>112.31</v>
      </c>
      <c r="Q552">
        <v>16.850000000000001</v>
      </c>
      <c r="R552">
        <v>544.69999999999993</v>
      </c>
      <c r="S552">
        <v>27.23</v>
      </c>
      <c r="T552">
        <v>20</v>
      </c>
      <c r="U552">
        <v>10</v>
      </c>
      <c r="V552">
        <v>601.92999999999995</v>
      </c>
      <c r="W552" t="s">
        <v>27</v>
      </c>
      <c r="X552">
        <v>31</v>
      </c>
    </row>
    <row r="553" spans="1:24" ht="14.25" customHeight="1">
      <c r="A553" t="s">
        <v>1301</v>
      </c>
      <c r="B553" t="s">
        <v>2293</v>
      </c>
      <c r="C553" s="6" t="str">
        <f t="shared" si="25"/>
        <v>February</v>
      </c>
      <c r="D553" s="6" t="str">
        <f t="shared" si="26"/>
        <v>16</v>
      </c>
      <c r="E553" t="s">
        <v>953</v>
      </c>
      <c r="F553" t="s">
        <v>21</v>
      </c>
      <c r="G553" t="s">
        <v>74</v>
      </c>
      <c r="H553" s="4" t="s">
        <v>2257</v>
      </c>
      <c r="I553">
        <v>416363</v>
      </c>
      <c r="J553" s="8" t="s">
        <v>30</v>
      </c>
      <c r="K553" t="s">
        <v>656</v>
      </c>
      <c r="L553" t="s">
        <v>657</v>
      </c>
      <c r="M553" t="s">
        <v>135</v>
      </c>
      <c r="N553">
        <f t="shared" si="27"/>
        <v>9</v>
      </c>
      <c r="O553">
        <v>1</v>
      </c>
      <c r="P553" s="6">
        <v>109.85</v>
      </c>
      <c r="Q553">
        <v>10.98</v>
      </c>
      <c r="R553">
        <v>98.86999999999999</v>
      </c>
      <c r="S553">
        <v>4.9400000000000004</v>
      </c>
      <c r="T553">
        <v>0</v>
      </c>
      <c r="U553">
        <v>15</v>
      </c>
      <c r="V553">
        <v>118.81</v>
      </c>
      <c r="W553" t="s">
        <v>27</v>
      </c>
      <c r="X553">
        <v>21</v>
      </c>
    </row>
    <row r="554" spans="1:24" ht="14.25" customHeight="1">
      <c r="A554" t="s">
        <v>1302</v>
      </c>
      <c r="B554" t="s">
        <v>2306</v>
      </c>
      <c r="C554" s="6" t="str">
        <f t="shared" si="25"/>
        <v>February</v>
      </c>
      <c r="D554" s="6" t="str">
        <f t="shared" si="26"/>
        <v>04</v>
      </c>
      <c r="E554" t="s">
        <v>955</v>
      </c>
      <c r="F554" t="s">
        <v>21</v>
      </c>
      <c r="G554" t="s">
        <v>106</v>
      </c>
      <c r="H554" s="4" t="s">
        <v>2257</v>
      </c>
      <c r="I554">
        <v>269934</v>
      </c>
      <c r="J554" s="8" t="s">
        <v>30</v>
      </c>
      <c r="K554" t="s">
        <v>660</v>
      </c>
      <c r="L554" t="s">
        <v>661</v>
      </c>
      <c r="M554" t="s">
        <v>140</v>
      </c>
      <c r="N554">
        <f t="shared" si="27"/>
        <v>3</v>
      </c>
      <c r="O554">
        <v>6</v>
      </c>
      <c r="P554" s="6">
        <v>134.02000000000001</v>
      </c>
      <c r="Q554">
        <v>13.4</v>
      </c>
      <c r="R554">
        <v>790.72000000000014</v>
      </c>
      <c r="S554">
        <v>39.54</v>
      </c>
      <c r="T554">
        <v>0</v>
      </c>
      <c r="U554">
        <v>20</v>
      </c>
      <c r="V554">
        <v>850.2600000000001</v>
      </c>
      <c r="W554" t="s">
        <v>27</v>
      </c>
      <c r="X554">
        <v>14</v>
      </c>
    </row>
    <row r="555" spans="1:24" ht="14.25" customHeight="1">
      <c r="A555" t="s">
        <v>1303</v>
      </c>
      <c r="B555" t="s">
        <v>2295</v>
      </c>
      <c r="C555" s="6" t="str">
        <f t="shared" si="25"/>
        <v>February</v>
      </c>
      <c r="D555" s="6" t="str">
        <f t="shared" si="26"/>
        <v>24</v>
      </c>
      <c r="E555" t="s">
        <v>957</v>
      </c>
      <c r="F555" t="s">
        <v>80</v>
      </c>
      <c r="G555" t="s">
        <v>81</v>
      </c>
      <c r="H555" s="4" t="s">
        <v>2257</v>
      </c>
      <c r="I555">
        <v>201407</v>
      </c>
      <c r="J555" s="8" t="s">
        <v>2346</v>
      </c>
      <c r="K555" t="s">
        <v>664</v>
      </c>
      <c r="L555" t="s">
        <v>665</v>
      </c>
      <c r="M555" t="s">
        <v>89</v>
      </c>
      <c r="N555">
        <f t="shared" si="27"/>
        <v>7</v>
      </c>
      <c r="O555">
        <v>2</v>
      </c>
      <c r="P555" s="6">
        <v>177.5</v>
      </c>
      <c r="Q555">
        <v>0</v>
      </c>
      <c r="R555">
        <v>355</v>
      </c>
      <c r="S555">
        <v>17.75</v>
      </c>
      <c r="T555">
        <v>30</v>
      </c>
      <c r="U555">
        <v>20</v>
      </c>
      <c r="V555">
        <v>422.75</v>
      </c>
      <c r="W555" t="s">
        <v>27</v>
      </c>
      <c r="X555">
        <v>40</v>
      </c>
    </row>
    <row r="556" spans="1:24" ht="14.25" customHeight="1">
      <c r="A556" t="s">
        <v>1304</v>
      </c>
      <c r="B556" t="s">
        <v>2276</v>
      </c>
      <c r="C556" s="6" t="str">
        <f t="shared" si="25"/>
        <v>February</v>
      </c>
      <c r="D556" s="6" t="str">
        <f t="shared" si="26"/>
        <v>09</v>
      </c>
      <c r="E556" t="s">
        <v>959</v>
      </c>
      <c r="F556" t="s">
        <v>21</v>
      </c>
      <c r="G556" t="s">
        <v>106</v>
      </c>
      <c r="H556" s="4" t="s">
        <v>2257</v>
      </c>
      <c r="I556">
        <v>311144</v>
      </c>
      <c r="J556" s="8" t="s">
        <v>30</v>
      </c>
      <c r="K556" t="s">
        <v>668</v>
      </c>
      <c r="L556" t="s">
        <v>669</v>
      </c>
      <c r="M556" t="s">
        <v>55</v>
      </c>
      <c r="N556">
        <f t="shared" si="27"/>
        <v>5</v>
      </c>
      <c r="O556">
        <v>5</v>
      </c>
      <c r="P556" s="6">
        <v>187.11</v>
      </c>
      <c r="Q556">
        <v>18.71</v>
      </c>
      <c r="R556">
        <v>916.84</v>
      </c>
      <c r="S556">
        <v>45.84</v>
      </c>
      <c r="T556">
        <v>20</v>
      </c>
      <c r="U556">
        <v>10</v>
      </c>
      <c r="V556">
        <v>992.68000000000006</v>
      </c>
      <c r="W556" t="s">
        <v>27</v>
      </c>
      <c r="X556">
        <v>30</v>
      </c>
    </row>
    <row r="557" spans="1:24" ht="14.25" customHeight="1">
      <c r="A557" t="s">
        <v>1305</v>
      </c>
      <c r="B557" t="s">
        <v>2263</v>
      </c>
      <c r="C557" s="6" t="str">
        <f t="shared" si="25"/>
        <v>February</v>
      </c>
      <c r="D557" s="6" t="str">
        <f t="shared" si="26"/>
        <v>21</v>
      </c>
      <c r="E557" t="s">
        <v>961</v>
      </c>
      <c r="F557" t="s">
        <v>21</v>
      </c>
      <c r="G557" t="s">
        <v>74</v>
      </c>
      <c r="H557" s="4" t="s">
        <v>2257</v>
      </c>
      <c r="I557">
        <v>630875</v>
      </c>
      <c r="J557" s="8" t="s">
        <v>2348</v>
      </c>
      <c r="K557" t="s">
        <v>672</v>
      </c>
      <c r="L557" t="s">
        <v>673</v>
      </c>
      <c r="M557" t="s">
        <v>135</v>
      </c>
      <c r="N557">
        <f t="shared" si="27"/>
        <v>9</v>
      </c>
      <c r="O557">
        <v>4</v>
      </c>
      <c r="P557" s="6">
        <v>120.35</v>
      </c>
      <c r="Q557">
        <v>6.02</v>
      </c>
      <c r="R557">
        <v>475.38</v>
      </c>
      <c r="S557">
        <v>23.77</v>
      </c>
      <c r="T557">
        <v>10</v>
      </c>
      <c r="U557">
        <v>10</v>
      </c>
      <c r="V557">
        <v>519.15</v>
      </c>
      <c r="W557" t="s">
        <v>27</v>
      </c>
      <c r="X557">
        <v>36</v>
      </c>
    </row>
    <row r="558" spans="1:24" ht="14.25" customHeight="1">
      <c r="A558" t="s">
        <v>1306</v>
      </c>
      <c r="B558" t="s">
        <v>2292</v>
      </c>
      <c r="C558" s="6" t="str">
        <f t="shared" si="25"/>
        <v>January</v>
      </c>
      <c r="D558" s="6" t="str">
        <f t="shared" si="26"/>
        <v>16</v>
      </c>
      <c r="E558" t="s">
        <v>963</v>
      </c>
      <c r="F558" t="s">
        <v>21</v>
      </c>
      <c r="G558" t="s">
        <v>106</v>
      </c>
      <c r="H558" s="4" t="s">
        <v>2257</v>
      </c>
      <c r="I558">
        <v>657242</v>
      </c>
      <c r="J558" s="8" t="s">
        <v>30</v>
      </c>
      <c r="K558" t="s">
        <v>676</v>
      </c>
      <c r="L558" t="s">
        <v>677</v>
      </c>
      <c r="M558" t="s">
        <v>135</v>
      </c>
      <c r="N558">
        <f t="shared" si="27"/>
        <v>9</v>
      </c>
      <c r="O558">
        <v>5</v>
      </c>
      <c r="P558" s="6">
        <v>88.84</v>
      </c>
      <c r="Q558">
        <v>13.33</v>
      </c>
      <c r="R558">
        <v>430.87000000000012</v>
      </c>
      <c r="S558">
        <v>21.54</v>
      </c>
      <c r="T558">
        <v>0</v>
      </c>
      <c r="U558">
        <v>0</v>
      </c>
      <c r="V558">
        <v>452.41000000000008</v>
      </c>
      <c r="W558" t="s">
        <v>27</v>
      </c>
      <c r="X558">
        <v>26</v>
      </c>
    </row>
    <row r="559" spans="1:24" ht="14.25" customHeight="1">
      <c r="A559" t="s">
        <v>1307</v>
      </c>
      <c r="B559" t="s">
        <v>2318</v>
      </c>
      <c r="C559" s="6" t="str">
        <f t="shared" si="25"/>
        <v>January</v>
      </c>
      <c r="D559" s="6" t="str">
        <f t="shared" si="26"/>
        <v>13</v>
      </c>
      <c r="E559" t="s">
        <v>965</v>
      </c>
      <c r="F559" t="s">
        <v>80</v>
      </c>
      <c r="G559" t="s">
        <v>81</v>
      </c>
      <c r="H559" s="4" t="s">
        <v>2257</v>
      </c>
      <c r="I559">
        <v>223728</v>
      </c>
      <c r="J559" s="8" t="s">
        <v>30</v>
      </c>
      <c r="K559" t="s">
        <v>680</v>
      </c>
      <c r="L559" t="s">
        <v>681</v>
      </c>
      <c r="M559" t="s">
        <v>98</v>
      </c>
      <c r="N559">
        <f t="shared" si="27"/>
        <v>4</v>
      </c>
      <c r="O559">
        <v>6</v>
      </c>
      <c r="P559" s="6">
        <v>141.30000000000001</v>
      </c>
      <c r="Q559">
        <v>7.07</v>
      </c>
      <c r="R559">
        <v>840.73</v>
      </c>
      <c r="S559">
        <v>42.04</v>
      </c>
      <c r="T559">
        <v>10</v>
      </c>
      <c r="U559">
        <v>15</v>
      </c>
      <c r="V559">
        <v>907.77</v>
      </c>
      <c r="W559" t="s">
        <v>27</v>
      </c>
      <c r="X559">
        <v>12</v>
      </c>
    </row>
    <row r="560" spans="1:24" ht="14.25" customHeight="1">
      <c r="A560" t="s">
        <v>1308</v>
      </c>
      <c r="B560" t="s">
        <v>2303</v>
      </c>
      <c r="C560" s="6" t="str">
        <f t="shared" si="25"/>
        <v>February</v>
      </c>
      <c r="D560" s="6" t="str">
        <f t="shared" si="26"/>
        <v>19</v>
      </c>
      <c r="E560" t="s">
        <v>967</v>
      </c>
      <c r="F560" t="s">
        <v>21</v>
      </c>
      <c r="G560" t="s">
        <v>68</v>
      </c>
      <c r="H560" s="4" t="s">
        <v>2257</v>
      </c>
      <c r="I560">
        <v>907221</v>
      </c>
      <c r="J560" s="8" t="s">
        <v>2349</v>
      </c>
      <c r="K560" t="s">
        <v>684</v>
      </c>
      <c r="L560" t="s">
        <v>685</v>
      </c>
      <c r="M560" t="s">
        <v>177</v>
      </c>
      <c r="N560">
        <f t="shared" si="27"/>
        <v>5</v>
      </c>
      <c r="O560">
        <v>3</v>
      </c>
      <c r="P560" s="6">
        <v>125.58</v>
      </c>
      <c r="Q560">
        <v>12.56</v>
      </c>
      <c r="R560">
        <v>364.18</v>
      </c>
      <c r="S560">
        <v>18.21</v>
      </c>
      <c r="T560">
        <v>20</v>
      </c>
      <c r="U560">
        <v>20</v>
      </c>
      <c r="V560">
        <v>422.39</v>
      </c>
      <c r="W560" t="s">
        <v>27</v>
      </c>
      <c r="X560">
        <v>19</v>
      </c>
    </row>
    <row r="561" spans="1:24" ht="14.25" customHeight="1">
      <c r="A561" t="s">
        <v>1309</v>
      </c>
      <c r="B561" t="s">
        <v>2283</v>
      </c>
      <c r="C561" s="6" t="str">
        <f t="shared" si="25"/>
        <v>March</v>
      </c>
      <c r="D561" s="6" t="str">
        <f t="shared" si="26"/>
        <v>01</v>
      </c>
      <c r="E561" t="s">
        <v>969</v>
      </c>
      <c r="F561" t="s">
        <v>21</v>
      </c>
      <c r="G561" t="s">
        <v>74</v>
      </c>
      <c r="H561" s="4" t="s">
        <v>2257</v>
      </c>
      <c r="I561">
        <v>733676</v>
      </c>
      <c r="J561" s="8" t="s">
        <v>2345</v>
      </c>
      <c r="K561" t="s">
        <v>688</v>
      </c>
      <c r="L561" t="s">
        <v>689</v>
      </c>
      <c r="M561" t="s">
        <v>50</v>
      </c>
      <c r="N561">
        <f t="shared" si="27"/>
        <v>5</v>
      </c>
      <c r="O561">
        <v>2</v>
      </c>
      <c r="P561" s="6">
        <v>43.92</v>
      </c>
      <c r="Q561">
        <v>6.59</v>
      </c>
      <c r="R561">
        <v>81.25</v>
      </c>
      <c r="S561">
        <v>4.0599999999999996</v>
      </c>
      <c r="T561">
        <v>30</v>
      </c>
      <c r="U561">
        <v>0</v>
      </c>
      <c r="V561">
        <v>115.31</v>
      </c>
      <c r="W561" t="s">
        <v>27</v>
      </c>
      <c r="X561">
        <v>15</v>
      </c>
    </row>
    <row r="562" spans="1:24" ht="14.25" customHeight="1">
      <c r="A562" t="s">
        <v>1310</v>
      </c>
      <c r="B562" t="s">
        <v>2290</v>
      </c>
      <c r="C562" s="6" t="str">
        <f t="shared" si="25"/>
        <v>February</v>
      </c>
      <c r="D562" s="6" t="str">
        <f t="shared" si="26"/>
        <v>11</v>
      </c>
      <c r="E562" t="s">
        <v>971</v>
      </c>
      <c r="F562" t="s">
        <v>21</v>
      </c>
      <c r="G562" t="s">
        <v>68</v>
      </c>
      <c r="H562" s="4" t="s">
        <v>2257</v>
      </c>
      <c r="I562">
        <v>154722</v>
      </c>
      <c r="J562" s="8" t="s">
        <v>30</v>
      </c>
      <c r="K562" t="s">
        <v>692</v>
      </c>
      <c r="L562" t="s">
        <v>693</v>
      </c>
      <c r="M562" t="s">
        <v>50</v>
      </c>
      <c r="N562">
        <f t="shared" si="27"/>
        <v>5</v>
      </c>
      <c r="O562">
        <v>9</v>
      </c>
      <c r="P562" s="6">
        <v>132.87</v>
      </c>
      <c r="Q562">
        <v>13.29</v>
      </c>
      <c r="R562">
        <v>1182.54</v>
      </c>
      <c r="S562">
        <v>59.13</v>
      </c>
      <c r="T562">
        <v>0</v>
      </c>
      <c r="U562">
        <v>0</v>
      </c>
      <c r="V562">
        <v>1241.67</v>
      </c>
      <c r="W562" t="s">
        <v>27</v>
      </c>
      <c r="X562">
        <v>34</v>
      </c>
    </row>
    <row r="563" spans="1:24" ht="14.25" customHeight="1">
      <c r="A563" t="s">
        <v>1311</v>
      </c>
      <c r="B563" t="s">
        <v>2281</v>
      </c>
      <c r="C563" s="6" t="str">
        <f t="shared" si="25"/>
        <v>January</v>
      </c>
      <c r="D563" s="6" t="str">
        <f t="shared" si="26"/>
        <v>30</v>
      </c>
      <c r="E563" t="s">
        <v>973</v>
      </c>
      <c r="F563" t="s">
        <v>21</v>
      </c>
      <c r="G563" t="s">
        <v>74</v>
      </c>
      <c r="H563" s="4" t="s">
        <v>2257</v>
      </c>
      <c r="I563">
        <v>958823</v>
      </c>
      <c r="J563" s="8" t="s">
        <v>30</v>
      </c>
      <c r="K563" t="s">
        <v>696</v>
      </c>
      <c r="L563" t="s">
        <v>697</v>
      </c>
      <c r="M563" t="s">
        <v>50</v>
      </c>
      <c r="N563">
        <f t="shared" si="27"/>
        <v>5</v>
      </c>
      <c r="O563">
        <v>3</v>
      </c>
      <c r="P563" s="6">
        <v>101.98</v>
      </c>
      <c r="Q563">
        <v>15.3</v>
      </c>
      <c r="R563">
        <v>290.64</v>
      </c>
      <c r="S563">
        <v>14.53</v>
      </c>
      <c r="T563">
        <v>10</v>
      </c>
      <c r="U563">
        <v>10</v>
      </c>
      <c r="V563">
        <v>325.17</v>
      </c>
      <c r="W563" t="s">
        <v>84</v>
      </c>
      <c r="X563">
        <v>25</v>
      </c>
    </row>
    <row r="564" spans="1:24" ht="14.25" customHeight="1">
      <c r="A564" t="s">
        <v>1312</v>
      </c>
      <c r="B564" t="s">
        <v>2270</v>
      </c>
      <c r="C564" s="6" t="str">
        <f t="shared" si="25"/>
        <v>January</v>
      </c>
      <c r="D564" s="6" t="str">
        <f t="shared" si="26"/>
        <v>19</v>
      </c>
      <c r="E564" t="s">
        <v>975</v>
      </c>
      <c r="F564" t="s">
        <v>21</v>
      </c>
      <c r="G564" t="s">
        <v>74</v>
      </c>
      <c r="H564" s="4" t="s">
        <v>2257</v>
      </c>
      <c r="I564">
        <v>972834</v>
      </c>
      <c r="J564" s="8" t="s">
        <v>62</v>
      </c>
      <c r="K564" t="s">
        <v>700</v>
      </c>
      <c r="L564" t="s">
        <v>701</v>
      </c>
      <c r="M564" t="s">
        <v>50</v>
      </c>
      <c r="N564">
        <f t="shared" si="27"/>
        <v>5</v>
      </c>
      <c r="O564">
        <v>6</v>
      </c>
      <c r="P564" s="6">
        <v>165.36</v>
      </c>
      <c r="Q564">
        <v>8.27</v>
      </c>
      <c r="R564">
        <v>983.8900000000001</v>
      </c>
      <c r="S564">
        <v>49.19</v>
      </c>
      <c r="T564">
        <v>0</v>
      </c>
      <c r="U564">
        <v>15</v>
      </c>
      <c r="V564">
        <v>1048.08</v>
      </c>
      <c r="W564" t="s">
        <v>27</v>
      </c>
      <c r="X564">
        <v>16</v>
      </c>
    </row>
    <row r="565" spans="1:24" ht="14.25" customHeight="1">
      <c r="A565" t="s">
        <v>1313</v>
      </c>
      <c r="B565" t="s">
        <v>2307</v>
      </c>
      <c r="C565" s="6" t="str">
        <f t="shared" si="25"/>
        <v>January</v>
      </c>
      <c r="D565" s="6" t="str">
        <f t="shared" si="26"/>
        <v>17</v>
      </c>
      <c r="E565" t="s">
        <v>977</v>
      </c>
      <c r="F565" t="s">
        <v>21</v>
      </c>
      <c r="G565" t="s">
        <v>106</v>
      </c>
      <c r="H565" s="4" t="s">
        <v>2257</v>
      </c>
      <c r="I565">
        <v>744894</v>
      </c>
      <c r="J565" s="8" t="s">
        <v>30</v>
      </c>
      <c r="K565" t="s">
        <v>704</v>
      </c>
      <c r="L565" t="s">
        <v>705</v>
      </c>
      <c r="M565" t="s">
        <v>26</v>
      </c>
      <c r="N565">
        <f t="shared" si="27"/>
        <v>3</v>
      </c>
      <c r="O565">
        <v>2</v>
      </c>
      <c r="P565" s="6">
        <v>36.71</v>
      </c>
      <c r="Q565">
        <v>1.84</v>
      </c>
      <c r="R565">
        <v>71.58</v>
      </c>
      <c r="S565">
        <v>3.58</v>
      </c>
      <c r="T565">
        <v>20</v>
      </c>
      <c r="U565">
        <v>20</v>
      </c>
      <c r="V565">
        <v>115.16</v>
      </c>
      <c r="W565" t="s">
        <v>27</v>
      </c>
      <c r="X565">
        <v>31</v>
      </c>
    </row>
    <row r="566" spans="1:24" ht="14.25" customHeight="1">
      <c r="A566" t="s">
        <v>1314</v>
      </c>
      <c r="B566" t="s">
        <v>2320</v>
      </c>
      <c r="C566" s="6" t="str">
        <f t="shared" si="25"/>
        <v>February</v>
      </c>
      <c r="D566" s="6" t="str">
        <f t="shared" si="26"/>
        <v>25</v>
      </c>
      <c r="E566" t="s">
        <v>979</v>
      </c>
      <c r="F566" t="s">
        <v>21</v>
      </c>
      <c r="G566" t="s">
        <v>22</v>
      </c>
      <c r="H566" s="4" t="s">
        <v>2257</v>
      </c>
      <c r="I566">
        <v>915869</v>
      </c>
      <c r="J566" s="8" t="s">
        <v>2345</v>
      </c>
      <c r="K566" t="s">
        <v>708</v>
      </c>
      <c r="L566" t="s">
        <v>709</v>
      </c>
      <c r="M566" t="s">
        <v>55</v>
      </c>
      <c r="N566">
        <f t="shared" si="27"/>
        <v>5</v>
      </c>
      <c r="O566">
        <v>3</v>
      </c>
      <c r="P566" s="6">
        <v>99.53</v>
      </c>
      <c r="Q566">
        <v>0</v>
      </c>
      <c r="R566">
        <v>298.58999999999997</v>
      </c>
      <c r="S566">
        <v>14.93</v>
      </c>
      <c r="T566">
        <v>0</v>
      </c>
      <c r="U566">
        <v>20</v>
      </c>
      <c r="V566">
        <v>333.52</v>
      </c>
      <c r="W566" t="s">
        <v>27</v>
      </c>
      <c r="X566">
        <v>14</v>
      </c>
    </row>
    <row r="567" spans="1:24" ht="14.25" customHeight="1">
      <c r="A567" t="s">
        <v>1315</v>
      </c>
      <c r="B567" t="s">
        <v>2270</v>
      </c>
      <c r="C567" s="6" t="str">
        <f t="shared" si="25"/>
        <v>January</v>
      </c>
      <c r="D567" s="6" t="str">
        <f t="shared" si="26"/>
        <v>19</v>
      </c>
      <c r="E567" t="s">
        <v>981</v>
      </c>
      <c r="F567" t="s">
        <v>21</v>
      </c>
      <c r="G567" t="s">
        <v>68</v>
      </c>
      <c r="H567" s="4" t="s">
        <v>2257</v>
      </c>
      <c r="I567">
        <v>373813</v>
      </c>
      <c r="J567" s="8" t="s">
        <v>30</v>
      </c>
      <c r="K567" t="s">
        <v>712</v>
      </c>
      <c r="L567" t="s">
        <v>713</v>
      </c>
      <c r="M567" t="s">
        <v>65</v>
      </c>
      <c r="N567">
        <f t="shared" si="27"/>
        <v>6</v>
      </c>
      <c r="O567">
        <v>5</v>
      </c>
      <c r="P567" s="6">
        <v>173.72</v>
      </c>
      <c r="Q567">
        <v>26.06</v>
      </c>
      <c r="R567">
        <v>842.54000000000008</v>
      </c>
      <c r="S567">
        <v>42.13</v>
      </c>
      <c r="T567">
        <v>0</v>
      </c>
      <c r="U567">
        <v>5</v>
      </c>
      <c r="V567">
        <v>889.67000000000007</v>
      </c>
      <c r="W567" t="s">
        <v>27</v>
      </c>
      <c r="X567">
        <v>18</v>
      </c>
    </row>
    <row r="568" spans="1:24" ht="14.25" customHeight="1">
      <c r="A568" t="s">
        <v>1316</v>
      </c>
      <c r="B568" t="s">
        <v>2291</v>
      </c>
      <c r="C568" s="6" t="str">
        <f t="shared" si="25"/>
        <v>January</v>
      </c>
      <c r="D568" s="6" t="str">
        <f t="shared" si="26"/>
        <v>28</v>
      </c>
      <c r="E568" t="s">
        <v>983</v>
      </c>
      <c r="F568" t="s">
        <v>21</v>
      </c>
      <c r="G568" t="s">
        <v>74</v>
      </c>
      <c r="H568" s="4" t="s">
        <v>2257</v>
      </c>
      <c r="I568">
        <v>624624</v>
      </c>
      <c r="J568" s="8" t="s">
        <v>2346</v>
      </c>
      <c r="K568" t="s">
        <v>716</v>
      </c>
      <c r="L568" t="s">
        <v>717</v>
      </c>
      <c r="M568" t="s">
        <v>71</v>
      </c>
      <c r="N568">
        <f t="shared" si="27"/>
        <v>6</v>
      </c>
      <c r="O568">
        <v>3</v>
      </c>
      <c r="P568" s="6">
        <v>169.22</v>
      </c>
      <c r="Q568">
        <v>8.4600000000000009</v>
      </c>
      <c r="R568">
        <v>499.2</v>
      </c>
      <c r="S568">
        <v>24.96</v>
      </c>
      <c r="T568">
        <v>30</v>
      </c>
      <c r="U568">
        <v>5</v>
      </c>
      <c r="V568">
        <v>559.16</v>
      </c>
      <c r="W568" t="s">
        <v>27</v>
      </c>
      <c r="X568">
        <v>30</v>
      </c>
    </row>
    <row r="569" spans="1:24" ht="14.25" customHeight="1">
      <c r="A569" t="s">
        <v>1317</v>
      </c>
      <c r="B569" t="s">
        <v>2269</v>
      </c>
      <c r="C569" s="6" t="str">
        <f t="shared" si="25"/>
        <v>February</v>
      </c>
      <c r="D569" s="6" t="str">
        <f t="shared" si="26"/>
        <v>27</v>
      </c>
      <c r="E569" t="s">
        <v>985</v>
      </c>
      <c r="F569" t="s">
        <v>21</v>
      </c>
      <c r="G569" t="s">
        <v>68</v>
      </c>
      <c r="H569" s="4" t="s">
        <v>2257</v>
      </c>
      <c r="I569">
        <v>116279</v>
      </c>
      <c r="J569" s="8" t="s">
        <v>30</v>
      </c>
      <c r="K569" t="s">
        <v>720</v>
      </c>
      <c r="L569" t="s">
        <v>721</v>
      </c>
      <c r="M569" t="s">
        <v>130</v>
      </c>
      <c r="N569">
        <f t="shared" si="27"/>
        <v>7</v>
      </c>
      <c r="O569">
        <v>3</v>
      </c>
      <c r="P569" s="6">
        <v>109.05</v>
      </c>
      <c r="Q569">
        <v>10.91</v>
      </c>
      <c r="R569">
        <v>316.24</v>
      </c>
      <c r="S569">
        <v>15.81</v>
      </c>
      <c r="T569">
        <v>20</v>
      </c>
      <c r="U569">
        <v>15</v>
      </c>
      <c r="V569">
        <v>367.05</v>
      </c>
      <c r="W569" t="s">
        <v>27</v>
      </c>
      <c r="X569">
        <v>20</v>
      </c>
    </row>
    <row r="570" spans="1:24" ht="14.25" customHeight="1">
      <c r="A570" t="s">
        <v>1318</v>
      </c>
      <c r="B570" t="s">
        <v>2295</v>
      </c>
      <c r="C570" s="6" t="str">
        <f t="shared" si="25"/>
        <v>February</v>
      </c>
      <c r="D570" s="6" t="str">
        <f t="shared" si="26"/>
        <v>24</v>
      </c>
      <c r="E570" t="s">
        <v>987</v>
      </c>
      <c r="F570" t="s">
        <v>21</v>
      </c>
      <c r="G570" t="s">
        <v>106</v>
      </c>
      <c r="H570" s="4" t="s">
        <v>2257</v>
      </c>
      <c r="I570">
        <v>985050</v>
      </c>
      <c r="J570" s="8" t="s">
        <v>30</v>
      </c>
      <c r="K570" t="s">
        <v>724</v>
      </c>
      <c r="L570" t="s">
        <v>725</v>
      </c>
      <c r="M570" t="s">
        <v>130</v>
      </c>
      <c r="N570">
        <f t="shared" si="27"/>
        <v>7</v>
      </c>
      <c r="O570">
        <v>2</v>
      </c>
      <c r="P570" s="6">
        <v>75.209999999999994</v>
      </c>
      <c r="Q570">
        <v>11.28</v>
      </c>
      <c r="R570">
        <v>139.13999999999999</v>
      </c>
      <c r="S570">
        <v>6.96</v>
      </c>
      <c r="T570">
        <v>20</v>
      </c>
      <c r="U570">
        <v>0</v>
      </c>
      <c r="V570">
        <v>166.1</v>
      </c>
      <c r="W570" t="s">
        <v>27</v>
      </c>
      <c r="X570">
        <v>18</v>
      </c>
    </row>
    <row r="571" spans="1:24" ht="14.25" customHeight="1">
      <c r="A571" t="s">
        <v>1319</v>
      </c>
      <c r="B571" t="s">
        <v>2304</v>
      </c>
      <c r="C571" s="6" t="str">
        <f t="shared" si="25"/>
        <v>January</v>
      </c>
      <c r="D571" s="6" t="str">
        <f t="shared" si="26"/>
        <v>26</v>
      </c>
      <c r="E571" t="s">
        <v>989</v>
      </c>
      <c r="F571" t="s">
        <v>21</v>
      </c>
      <c r="G571" t="s">
        <v>68</v>
      </c>
      <c r="H571" s="4" t="s">
        <v>2257</v>
      </c>
      <c r="I571">
        <v>337723</v>
      </c>
      <c r="J571" s="8" t="s">
        <v>2345</v>
      </c>
      <c r="K571" t="s">
        <v>728</v>
      </c>
      <c r="L571" t="s">
        <v>729</v>
      </c>
      <c r="M571" t="s">
        <v>177</v>
      </c>
      <c r="N571">
        <f t="shared" si="27"/>
        <v>5</v>
      </c>
      <c r="O571">
        <v>1</v>
      </c>
      <c r="P571" s="6">
        <v>113.3</v>
      </c>
      <c r="Q571">
        <v>16.989999999999998</v>
      </c>
      <c r="R571">
        <v>96.31</v>
      </c>
      <c r="S571">
        <v>4.82</v>
      </c>
      <c r="T571">
        <v>0</v>
      </c>
      <c r="U571">
        <v>15</v>
      </c>
      <c r="V571">
        <v>116.13</v>
      </c>
      <c r="W571" t="s">
        <v>27</v>
      </c>
      <c r="X571">
        <v>17</v>
      </c>
    </row>
    <row r="572" spans="1:24" ht="14.25" customHeight="1">
      <c r="A572" t="s">
        <v>1320</v>
      </c>
      <c r="B572" t="s">
        <v>2297</v>
      </c>
      <c r="C572" s="6" t="str">
        <f t="shared" si="25"/>
        <v>February</v>
      </c>
      <c r="D572" s="6" t="str">
        <f t="shared" si="26"/>
        <v>06</v>
      </c>
      <c r="E572" t="s">
        <v>991</v>
      </c>
      <c r="F572" t="s">
        <v>21</v>
      </c>
      <c r="G572" t="s">
        <v>74</v>
      </c>
      <c r="H572" s="4" t="s">
        <v>2257</v>
      </c>
      <c r="I572">
        <v>297478</v>
      </c>
      <c r="J572" s="8" t="s">
        <v>2346</v>
      </c>
      <c r="K572" t="s">
        <v>732</v>
      </c>
      <c r="L572" t="s">
        <v>733</v>
      </c>
      <c r="M572" t="s">
        <v>22</v>
      </c>
      <c r="N572">
        <f t="shared" si="27"/>
        <v>6</v>
      </c>
      <c r="O572">
        <v>2</v>
      </c>
      <c r="P572" s="6">
        <v>90.96</v>
      </c>
      <c r="Q572">
        <v>4.55</v>
      </c>
      <c r="R572">
        <v>177.37</v>
      </c>
      <c r="S572">
        <v>8.8699999999999992</v>
      </c>
      <c r="T572">
        <v>10</v>
      </c>
      <c r="U572">
        <v>15</v>
      </c>
      <c r="V572">
        <v>211.24</v>
      </c>
      <c r="W572" t="s">
        <v>27</v>
      </c>
      <c r="X572">
        <v>14</v>
      </c>
    </row>
    <row r="573" spans="1:24" ht="14.25" customHeight="1">
      <c r="A573" t="s">
        <v>1321</v>
      </c>
      <c r="B573" t="s">
        <v>2304</v>
      </c>
      <c r="C573" s="6" t="str">
        <f t="shared" si="25"/>
        <v>January</v>
      </c>
      <c r="D573" s="6" t="str">
        <f t="shared" si="26"/>
        <v>26</v>
      </c>
      <c r="E573" t="s">
        <v>993</v>
      </c>
      <c r="F573" t="s">
        <v>21</v>
      </c>
      <c r="G573" t="s">
        <v>74</v>
      </c>
      <c r="H573" s="4" t="s">
        <v>2257</v>
      </c>
      <c r="I573">
        <v>789245</v>
      </c>
      <c r="J573" s="8" t="s">
        <v>2346</v>
      </c>
      <c r="K573" t="s">
        <v>736</v>
      </c>
      <c r="L573" t="s">
        <v>737</v>
      </c>
      <c r="M573" t="s">
        <v>22</v>
      </c>
      <c r="N573">
        <f t="shared" si="27"/>
        <v>6</v>
      </c>
      <c r="O573">
        <v>1</v>
      </c>
      <c r="P573" s="6">
        <v>93.08</v>
      </c>
      <c r="Q573">
        <v>9.31</v>
      </c>
      <c r="R573">
        <v>83.77</v>
      </c>
      <c r="S573">
        <v>4.1900000000000004</v>
      </c>
      <c r="T573">
        <v>0</v>
      </c>
      <c r="U573">
        <v>5</v>
      </c>
      <c r="V573">
        <v>92.96</v>
      </c>
      <c r="W573" t="s">
        <v>34</v>
      </c>
      <c r="X573">
        <v>25</v>
      </c>
    </row>
    <row r="574" spans="1:24" ht="14.25" customHeight="1">
      <c r="A574" t="s">
        <v>1322</v>
      </c>
      <c r="B574" t="s">
        <v>2274</v>
      </c>
      <c r="C574" s="6" t="str">
        <f t="shared" si="25"/>
        <v>February</v>
      </c>
      <c r="D574" s="6" t="str">
        <f t="shared" si="26"/>
        <v>22</v>
      </c>
      <c r="E574" t="s">
        <v>995</v>
      </c>
      <c r="F574" t="s">
        <v>21</v>
      </c>
      <c r="G574" t="s">
        <v>74</v>
      </c>
      <c r="H574" s="4" t="s">
        <v>2257</v>
      </c>
      <c r="I574">
        <v>455239</v>
      </c>
      <c r="J574" s="8" t="s">
        <v>2348</v>
      </c>
      <c r="K574" t="s">
        <v>740</v>
      </c>
      <c r="L574" t="s">
        <v>741</v>
      </c>
      <c r="M574" t="s">
        <v>55</v>
      </c>
      <c r="N574">
        <f t="shared" si="27"/>
        <v>5</v>
      </c>
      <c r="O574">
        <v>5</v>
      </c>
      <c r="P574" s="6">
        <v>171.06</v>
      </c>
      <c r="Q574">
        <v>8.5500000000000007</v>
      </c>
      <c r="R574">
        <v>846.75</v>
      </c>
      <c r="S574">
        <v>42.34</v>
      </c>
      <c r="T574">
        <v>30</v>
      </c>
      <c r="U574">
        <v>0</v>
      </c>
      <c r="V574">
        <v>919.09</v>
      </c>
      <c r="W574" t="s">
        <v>27</v>
      </c>
      <c r="X574">
        <v>40</v>
      </c>
    </row>
    <row r="575" spans="1:24" ht="14.25" customHeight="1">
      <c r="A575" t="s">
        <v>1323</v>
      </c>
      <c r="B575" t="s">
        <v>2271</v>
      </c>
      <c r="C575" s="6" t="str">
        <f t="shared" si="25"/>
        <v>January</v>
      </c>
      <c r="D575" s="6" t="str">
        <f t="shared" si="26"/>
        <v>23</v>
      </c>
      <c r="E575" t="s">
        <v>997</v>
      </c>
      <c r="F575" t="s">
        <v>21</v>
      </c>
      <c r="G575" t="s">
        <v>68</v>
      </c>
      <c r="H575" s="4" t="s">
        <v>2257</v>
      </c>
      <c r="I575">
        <v>479593</v>
      </c>
      <c r="J575" s="8" t="s">
        <v>2346</v>
      </c>
      <c r="K575" t="s">
        <v>744</v>
      </c>
      <c r="L575" t="s">
        <v>745</v>
      </c>
      <c r="M575" t="s">
        <v>33</v>
      </c>
      <c r="N575">
        <f t="shared" si="27"/>
        <v>10</v>
      </c>
      <c r="O575">
        <v>6</v>
      </c>
      <c r="P575" s="6">
        <v>113.05</v>
      </c>
      <c r="Q575">
        <v>11.3</v>
      </c>
      <c r="R575">
        <v>667</v>
      </c>
      <c r="S575">
        <v>33.35</v>
      </c>
      <c r="T575">
        <v>30</v>
      </c>
      <c r="U575">
        <v>20</v>
      </c>
      <c r="V575">
        <v>750.35</v>
      </c>
      <c r="W575" t="s">
        <v>27</v>
      </c>
      <c r="X575">
        <v>28</v>
      </c>
    </row>
    <row r="576" spans="1:24" ht="14.25" customHeight="1">
      <c r="A576" t="s">
        <v>1324</v>
      </c>
      <c r="B576" t="s">
        <v>2299</v>
      </c>
      <c r="C576" s="6" t="str">
        <f t="shared" si="25"/>
        <v>January</v>
      </c>
      <c r="D576" s="6" t="str">
        <f t="shared" si="26"/>
        <v>09</v>
      </c>
      <c r="E576" t="s">
        <v>999</v>
      </c>
      <c r="F576" t="s">
        <v>21</v>
      </c>
      <c r="G576" t="s">
        <v>68</v>
      </c>
      <c r="H576" s="4" t="s">
        <v>2257</v>
      </c>
      <c r="I576">
        <v>917459</v>
      </c>
      <c r="J576" s="8" t="s">
        <v>30</v>
      </c>
      <c r="K576" t="s">
        <v>748</v>
      </c>
      <c r="L576" t="s">
        <v>749</v>
      </c>
      <c r="M576" t="s">
        <v>177</v>
      </c>
      <c r="N576">
        <f t="shared" si="27"/>
        <v>5</v>
      </c>
      <c r="O576">
        <v>1</v>
      </c>
      <c r="P576" s="6">
        <v>126.99</v>
      </c>
      <c r="Q576">
        <v>0</v>
      </c>
      <c r="R576">
        <v>126.99</v>
      </c>
      <c r="S576">
        <v>6.35</v>
      </c>
      <c r="T576">
        <v>10</v>
      </c>
      <c r="U576">
        <v>15</v>
      </c>
      <c r="V576">
        <v>158.34</v>
      </c>
      <c r="W576" t="s">
        <v>27</v>
      </c>
      <c r="X576">
        <v>23</v>
      </c>
    </row>
    <row r="577" spans="1:24" ht="14.25" customHeight="1">
      <c r="A577" t="s">
        <v>1325</v>
      </c>
      <c r="B577" t="s">
        <v>2285</v>
      </c>
      <c r="C577" s="6" t="str">
        <f t="shared" si="25"/>
        <v>January</v>
      </c>
      <c r="D577" s="6" t="str">
        <f t="shared" si="26"/>
        <v>12</v>
      </c>
      <c r="E577" t="s">
        <v>1001</v>
      </c>
      <c r="F577" t="s">
        <v>21</v>
      </c>
      <c r="G577" t="s">
        <v>22</v>
      </c>
      <c r="H577" s="4" t="s">
        <v>2257</v>
      </c>
      <c r="I577">
        <v>846760</v>
      </c>
      <c r="J577" s="8" t="s">
        <v>2345</v>
      </c>
      <c r="K577" t="s">
        <v>752</v>
      </c>
      <c r="L577" t="s">
        <v>753</v>
      </c>
      <c r="M577" t="s">
        <v>98</v>
      </c>
      <c r="N577">
        <f t="shared" si="27"/>
        <v>4</v>
      </c>
      <c r="O577">
        <v>2</v>
      </c>
      <c r="P577" s="6">
        <v>131.35</v>
      </c>
      <c r="Q577">
        <v>0</v>
      </c>
      <c r="R577">
        <v>262.7</v>
      </c>
      <c r="S577">
        <v>13.13</v>
      </c>
      <c r="T577">
        <v>0</v>
      </c>
      <c r="U577">
        <v>5</v>
      </c>
      <c r="V577">
        <v>280.83</v>
      </c>
      <c r="W577" t="s">
        <v>27</v>
      </c>
      <c r="X577">
        <v>23</v>
      </c>
    </row>
    <row r="578" spans="1:24" ht="14.25" customHeight="1">
      <c r="A578" t="s">
        <v>1326</v>
      </c>
      <c r="B578" t="s">
        <v>2274</v>
      </c>
      <c r="C578" s="6" t="str">
        <f t="shared" si="25"/>
        <v>February</v>
      </c>
      <c r="D578" s="6" t="str">
        <f t="shared" si="26"/>
        <v>22</v>
      </c>
      <c r="E578" t="s">
        <v>1003</v>
      </c>
      <c r="F578" t="s">
        <v>101</v>
      </c>
      <c r="G578" t="s">
        <v>81</v>
      </c>
      <c r="H578" s="4" t="s">
        <v>2257</v>
      </c>
      <c r="I578">
        <v>189037</v>
      </c>
      <c r="J578" s="8" t="s">
        <v>30</v>
      </c>
      <c r="K578" t="s">
        <v>756</v>
      </c>
      <c r="L578" t="s">
        <v>757</v>
      </c>
      <c r="M578" t="s">
        <v>71</v>
      </c>
      <c r="N578">
        <f t="shared" si="27"/>
        <v>6</v>
      </c>
      <c r="O578">
        <v>1</v>
      </c>
      <c r="P578" s="6">
        <v>87.6</v>
      </c>
      <c r="Q578">
        <v>13.14</v>
      </c>
      <c r="R578">
        <v>74.459999999999994</v>
      </c>
      <c r="S578">
        <v>3.72</v>
      </c>
      <c r="T578">
        <v>30</v>
      </c>
      <c r="U578">
        <v>0</v>
      </c>
      <c r="V578">
        <v>108.18</v>
      </c>
      <c r="W578" t="s">
        <v>27</v>
      </c>
      <c r="X578">
        <v>14</v>
      </c>
    </row>
    <row r="579" spans="1:24" ht="14.25" customHeight="1">
      <c r="A579" t="s">
        <v>1327</v>
      </c>
      <c r="B579" t="s">
        <v>2316</v>
      </c>
      <c r="C579" s="6" t="str">
        <f t="shared" ref="C579:C642" si="28">TEXT(B579,"mmmm")</f>
        <v>January</v>
      </c>
      <c r="D579" s="6" t="str">
        <f t="shared" ref="D579:D642" si="29">TEXT(B579,"dd")</f>
        <v>01</v>
      </c>
      <c r="E579" t="s">
        <v>1005</v>
      </c>
      <c r="F579" t="s">
        <v>21</v>
      </c>
      <c r="G579" t="s">
        <v>74</v>
      </c>
      <c r="H579" s="4" t="s">
        <v>2257</v>
      </c>
      <c r="I579">
        <v>259882</v>
      </c>
      <c r="J579" s="8" t="s">
        <v>2345</v>
      </c>
      <c r="K579" t="s">
        <v>760</v>
      </c>
      <c r="L579" t="s">
        <v>761</v>
      </c>
      <c r="M579" t="s">
        <v>71</v>
      </c>
      <c r="N579">
        <f t="shared" si="27"/>
        <v>6</v>
      </c>
      <c r="O579">
        <v>3</v>
      </c>
      <c r="P579" s="6">
        <v>142.12</v>
      </c>
      <c r="Q579">
        <v>0</v>
      </c>
      <c r="R579">
        <v>426.36</v>
      </c>
      <c r="S579">
        <v>21.32</v>
      </c>
      <c r="T579">
        <v>10</v>
      </c>
      <c r="U579">
        <v>15</v>
      </c>
      <c r="V579">
        <v>472.68</v>
      </c>
      <c r="W579" t="s">
        <v>34</v>
      </c>
      <c r="X579">
        <v>25</v>
      </c>
    </row>
    <row r="580" spans="1:24" ht="14.25" customHeight="1">
      <c r="A580" t="s">
        <v>1328</v>
      </c>
      <c r="B580" t="s">
        <v>2269</v>
      </c>
      <c r="C580" s="6" t="str">
        <f t="shared" si="28"/>
        <v>February</v>
      </c>
      <c r="D580" s="6" t="str">
        <f t="shared" si="29"/>
        <v>27</v>
      </c>
      <c r="E580" t="s">
        <v>1007</v>
      </c>
      <c r="F580" t="s">
        <v>21</v>
      </c>
      <c r="G580" t="s">
        <v>68</v>
      </c>
      <c r="H580" s="4" t="s">
        <v>2257</v>
      </c>
      <c r="I580">
        <v>780428</v>
      </c>
      <c r="J580" s="8" t="s">
        <v>30</v>
      </c>
      <c r="K580" t="s">
        <v>764</v>
      </c>
      <c r="L580" t="s">
        <v>765</v>
      </c>
      <c r="M580" t="s">
        <v>140</v>
      </c>
      <c r="N580">
        <f t="shared" si="27"/>
        <v>3</v>
      </c>
      <c r="O580">
        <v>5</v>
      </c>
      <c r="P580" s="6">
        <v>128.21</v>
      </c>
      <c r="Q580">
        <v>0</v>
      </c>
      <c r="R580">
        <v>641.05000000000007</v>
      </c>
      <c r="S580">
        <v>32.049999999999997</v>
      </c>
      <c r="T580">
        <v>10</v>
      </c>
      <c r="U580">
        <v>0</v>
      </c>
      <c r="V580">
        <v>683.1</v>
      </c>
      <c r="W580" t="s">
        <v>34</v>
      </c>
      <c r="X580">
        <v>25</v>
      </c>
    </row>
    <row r="581" spans="1:24" ht="14.25" customHeight="1">
      <c r="A581" t="s">
        <v>1329</v>
      </c>
      <c r="B581" t="s">
        <v>2269</v>
      </c>
      <c r="C581" s="6" t="str">
        <f t="shared" si="28"/>
        <v>February</v>
      </c>
      <c r="D581" s="6" t="str">
        <f t="shared" si="29"/>
        <v>27</v>
      </c>
      <c r="E581" t="s">
        <v>1009</v>
      </c>
      <c r="F581" t="s">
        <v>21</v>
      </c>
      <c r="G581" t="s">
        <v>68</v>
      </c>
      <c r="H581" s="4" t="s">
        <v>2257</v>
      </c>
      <c r="I581">
        <v>470608</v>
      </c>
      <c r="J581" s="8" t="s">
        <v>2345</v>
      </c>
      <c r="K581" t="s">
        <v>768</v>
      </c>
      <c r="L581" t="s">
        <v>769</v>
      </c>
      <c r="M581" t="s">
        <v>140</v>
      </c>
      <c r="N581">
        <f t="shared" si="27"/>
        <v>3</v>
      </c>
      <c r="O581">
        <v>2</v>
      </c>
      <c r="P581" s="6">
        <v>170.71</v>
      </c>
      <c r="Q581">
        <v>8.5399999999999991</v>
      </c>
      <c r="R581">
        <v>332.88</v>
      </c>
      <c r="S581">
        <v>16.64</v>
      </c>
      <c r="T581">
        <v>30</v>
      </c>
      <c r="U581">
        <v>20</v>
      </c>
      <c r="V581">
        <v>399.52</v>
      </c>
      <c r="W581" t="s">
        <v>27</v>
      </c>
      <c r="X581">
        <v>0</v>
      </c>
    </row>
    <row r="582" spans="1:24" ht="14.25" customHeight="1">
      <c r="A582" t="s">
        <v>1330</v>
      </c>
      <c r="B582" t="s">
        <v>2316</v>
      </c>
      <c r="C582" s="6" t="str">
        <f t="shared" si="28"/>
        <v>January</v>
      </c>
      <c r="D582" s="6" t="str">
        <f t="shared" si="29"/>
        <v>01</v>
      </c>
      <c r="E582" t="s">
        <v>1011</v>
      </c>
      <c r="F582" t="s">
        <v>21</v>
      </c>
      <c r="G582" t="s">
        <v>106</v>
      </c>
      <c r="H582" s="4" t="s">
        <v>2257</v>
      </c>
      <c r="I582">
        <v>848692</v>
      </c>
      <c r="J582" s="8" t="s">
        <v>2349</v>
      </c>
      <c r="K582" t="s">
        <v>772</v>
      </c>
      <c r="L582" t="s">
        <v>773</v>
      </c>
      <c r="M582" t="s">
        <v>98</v>
      </c>
      <c r="N582">
        <f t="shared" si="27"/>
        <v>4</v>
      </c>
      <c r="O582">
        <v>6</v>
      </c>
      <c r="P582" s="6">
        <v>79.489999999999995</v>
      </c>
      <c r="Q582">
        <v>3.97</v>
      </c>
      <c r="R582">
        <v>472.96999999999991</v>
      </c>
      <c r="S582">
        <v>23.65</v>
      </c>
      <c r="T582">
        <v>20</v>
      </c>
      <c r="U582">
        <v>10</v>
      </c>
      <c r="V582">
        <v>526.61999999999989</v>
      </c>
      <c r="W582" t="s">
        <v>27</v>
      </c>
      <c r="X582">
        <v>10</v>
      </c>
    </row>
    <row r="583" spans="1:24" ht="14.25" customHeight="1">
      <c r="A583" t="s">
        <v>1331</v>
      </c>
      <c r="B583" t="s">
        <v>2293</v>
      </c>
      <c r="C583" s="6" t="str">
        <f t="shared" si="28"/>
        <v>February</v>
      </c>
      <c r="D583" s="6" t="str">
        <f t="shared" si="29"/>
        <v>16</v>
      </c>
      <c r="E583" t="s">
        <v>1013</v>
      </c>
      <c r="F583" t="s">
        <v>21</v>
      </c>
      <c r="G583" t="s">
        <v>106</v>
      </c>
      <c r="H583" s="4" t="s">
        <v>2257</v>
      </c>
      <c r="I583">
        <v>371365</v>
      </c>
      <c r="J583" s="8" t="s">
        <v>2349</v>
      </c>
      <c r="K583" t="s">
        <v>776</v>
      </c>
      <c r="L583" t="s">
        <v>777</v>
      </c>
      <c r="M583" t="s">
        <v>135</v>
      </c>
      <c r="N583">
        <f t="shared" si="27"/>
        <v>9</v>
      </c>
      <c r="O583">
        <v>4</v>
      </c>
      <c r="P583" s="6">
        <v>98.01</v>
      </c>
      <c r="Q583">
        <v>14.7</v>
      </c>
      <c r="R583">
        <v>377.34</v>
      </c>
      <c r="S583">
        <v>18.87</v>
      </c>
      <c r="T583">
        <v>0</v>
      </c>
      <c r="U583">
        <v>20</v>
      </c>
      <c r="V583">
        <v>416.21</v>
      </c>
      <c r="W583" t="s">
        <v>27</v>
      </c>
      <c r="X583">
        <v>28</v>
      </c>
    </row>
    <row r="584" spans="1:24" ht="14.25" customHeight="1">
      <c r="A584" t="s">
        <v>1332</v>
      </c>
      <c r="B584" t="s">
        <v>2310</v>
      </c>
      <c r="C584" s="6" t="str">
        <f t="shared" si="28"/>
        <v>February</v>
      </c>
      <c r="D584" s="6" t="str">
        <f t="shared" si="29"/>
        <v>03</v>
      </c>
      <c r="E584" t="s">
        <v>1015</v>
      </c>
      <c r="F584" t="s">
        <v>21</v>
      </c>
      <c r="G584" t="s">
        <v>74</v>
      </c>
      <c r="H584" s="4" t="s">
        <v>2257</v>
      </c>
      <c r="I584">
        <v>701206</v>
      </c>
      <c r="J584" s="8" t="s">
        <v>30</v>
      </c>
      <c r="K584" t="s">
        <v>780</v>
      </c>
      <c r="L584" t="s">
        <v>781</v>
      </c>
      <c r="M584" t="s">
        <v>177</v>
      </c>
      <c r="N584">
        <f t="shared" si="27"/>
        <v>5</v>
      </c>
      <c r="O584">
        <v>1</v>
      </c>
      <c r="P584" s="6">
        <v>90.51</v>
      </c>
      <c r="Q584">
        <v>13.58</v>
      </c>
      <c r="R584">
        <v>76.930000000000007</v>
      </c>
      <c r="S584">
        <v>3.85</v>
      </c>
      <c r="T584">
        <v>30</v>
      </c>
      <c r="U584">
        <v>10</v>
      </c>
      <c r="V584">
        <v>120.78</v>
      </c>
      <c r="W584" t="s">
        <v>27</v>
      </c>
      <c r="X584">
        <v>28</v>
      </c>
    </row>
    <row r="585" spans="1:24" ht="14.25" customHeight="1">
      <c r="A585" t="s">
        <v>1333</v>
      </c>
      <c r="B585" t="s">
        <v>2319</v>
      </c>
      <c r="C585" s="6" t="str">
        <f t="shared" si="28"/>
        <v>February</v>
      </c>
      <c r="D585" s="6" t="str">
        <f t="shared" si="29"/>
        <v>01</v>
      </c>
      <c r="E585" t="s">
        <v>1017</v>
      </c>
      <c r="F585" t="s">
        <v>21</v>
      </c>
      <c r="G585" t="s">
        <v>106</v>
      </c>
      <c r="H585" s="4" t="s">
        <v>2257</v>
      </c>
      <c r="I585">
        <v>326572</v>
      </c>
      <c r="J585" s="8" t="s">
        <v>2347</v>
      </c>
      <c r="K585" t="s">
        <v>784</v>
      </c>
      <c r="L585" t="s">
        <v>785</v>
      </c>
      <c r="M585" t="s">
        <v>26</v>
      </c>
      <c r="N585">
        <f t="shared" si="27"/>
        <v>3</v>
      </c>
      <c r="O585">
        <v>3</v>
      </c>
      <c r="P585" s="6">
        <v>200.68</v>
      </c>
      <c r="Q585">
        <v>10.029999999999999</v>
      </c>
      <c r="R585">
        <v>592.01</v>
      </c>
      <c r="S585">
        <v>29.6</v>
      </c>
      <c r="T585">
        <v>20</v>
      </c>
      <c r="U585">
        <v>10</v>
      </c>
      <c r="V585">
        <v>651.61</v>
      </c>
      <c r="W585" t="s">
        <v>27</v>
      </c>
      <c r="X585">
        <v>21</v>
      </c>
    </row>
    <row r="586" spans="1:24" ht="14.25" customHeight="1">
      <c r="A586" t="s">
        <v>1334</v>
      </c>
      <c r="B586" t="s">
        <v>2309</v>
      </c>
      <c r="C586" s="6" t="str">
        <f t="shared" si="28"/>
        <v>February</v>
      </c>
      <c r="D586" s="6" t="str">
        <f t="shared" si="29"/>
        <v>23</v>
      </c>
      <c r="E586" t="s">
        <v>1019</v>
      </c>
      <c r="F586" t="s">
        <v>21</v>
      </c>
      <c r="G586" t="s">
        <v>106</v>
      </c>
      <c r="H586" s="4" t="s">
        <v>2257</v>
      </c>
      <c r="I586">
        <v>452103</v>
      </c>
      <c r="J586" s="8" t="s">
        <v>2349</v>
      </c>
      <c r="K586" t="s">
        <v>788</v>
      </c>
      <c r="L586" t="s">
        <v>789</v>
      </c>
      <c r="M586" t="s">
        <v>177</v>
      </c>
      <c r="N586">
        <f t="shared" si="27"/>
        <v>5</v>
      </c>
      <c r="O586">
        <v>8</v>
      </c>
      <c r="P586" s="6">
        <v>137.74</v>
      </c>
      <c r="Q586">
        <v>0</v>
      </c>
      <c r="R586">
        <v>1101.92</v>
      </c>
      <c r="S586">
        <v>55.1</v>
      </c>
      <c r="T586">
        <v>20</v>
      </c>
      <c r="U586">
        <v>15</v>
      </c>
      <c r="V586">
        <v>1192.02</v>
      </c>
      <c r="W586" t="s">
        <v>27</v>
      </c>
      <c r="X586">
        <v>9</v>
      </c>
    </row>
    <row r="587" spans="1:24" ht="14.25" customHeight="1">
      <c r="A587" t="s">
        <v>1335</v>
      </c>
      <c r="B587" t="s">
        <v>2313</v>
      </c>
      <c r="C587" s="6" t="str">
        <f t="shared" si="28"/>
        <v>February</v>
      </c>
      <c r="D587" s="6" t="str">
        <f t="shared" si="29"/>
        <v>17</v>
      </c>
      <c r="E587" t="s">
        <v>1021</v>
      </c>
      <c r="F587" t="s">
        <v>21</v>
      </c>
      <c r="G587" t="s">
        <v>22</v>
      </c>
      <c r="H587" s="4" t="s">
        <v>2257</v>
      </c>
      <c r="I587">
        <v>899687</v>
      </c>
      <c r="J587" s="8" t="s">
        <v>62</v>
      </c>
      <c r="K587" t="s">
        <v>792</v>
      </c>
      <c r="L587" t="s">
        <v>793</v>
      </c>
      <c r="M587" t="s">
        <v>140</v>
      </c>
      <c r="N587">
        <f t="shared" si="27"/>
        <v>3</v>
      </c>
      <c r="O587">
        <v>1</v>
      </c>
      <c r="P587" s="6">
        <v>144.13</v>
      </c>
      <c r="Q587">
        <v>21.62</v>
      </c>
      <c r="R587">
        <v>122.51</v>
      </c>
      <c r="S587">
        <v>6.13</v>
      </c>
      <c r="T587">
        <v>0</v>
      </c>
      <c r="U587">
        <v>5</v>
      </c>
      <c r="V587">
        <v>133.63999999999999</v>
      </c>
      <c r="W587" t="s">
        <v>27</v>
      </c>
      <c r="X587">
        <v>22</v>
      </c>
    </row>
    <row r="588" spans="1:24" ht="14.25" customHeight="1">
      <c r="A588" t="s">
        <v>1336</v>
      </c>
      <c r="B588" t="s">
        <v>2286</v>
      </c>
      <c r="C588" s="6" t="str">
        <f t="shared" si="28"/>
        <v>January</v>
      </c>
      <c r="D588" s="6" t="str">
        <f t="shared" si="29"/>
        <v>25</v>
      </c>
      <c r="E588" t="s">
        <v>1023</v>
      </c>
      <c r="F588" t="s">
        <v>21</v>
      </c>
      <c r="G588" t="s">
        <v>68</v>
      </c>
      <c r="H588" s="4" t="s">
        <v>2257</v>
      </c>
      <c r="I588">
        <v>485946</v>
      </c>
      <c r="J588" s="8" t="s">
        <v>62</v>
      </c>
      <c r="K588" t="s">
        <v>796</v>
      </c>
      <c r="L588" t="s">
        <v>797</v>
      </c>
      <c r="M588" t="s">
        <v>177</v>
      </c>
      <c r="N588">
        <f t="shared" si="27"/>
        <v>5</v>
      </c>
      <c r="O588">
        <v>3</v>
      </c>
      <c r="P588" s="6">
        <v>83.53</v>
      </c>
      <c r="Q588">
        <v>0</v>
      </c>
      <c r="R588">
        <v>250.59</v>
      </c>
      <c r="S588">
        <v>12.53</v>
      </c>
      <c r="T588">
        <v>30</v>
      </c>
      <c r="U588">
        <v>15</v>
      </c>
      <c r="V588">
        <v>308.12</v>
      </c>
      <c r="W588" t="s">
        <v>84</v>
      </c>
      <c r="X588">
        <v>25</v>
      </c>
    </row>
    <row r="589" spans="1:24" ht="14.25" customHeight="1">
      <c r="A589" t="s">
        <v>1337</v>
      </c>
      <c r="B589" t="s">
        <v>2276</v>
      </c>
      <c r="C589" s="6" t="str">
        <f t="shared" si="28"/>
        <v>February</v>
      </c>
      <c r="D589" s="6" t="str">
        <f t="shared" si="29"/>
        <v>09</v>
      </c>
      <c r="E589" t="s">
        <v>1025</v>
      </c>
      <c r="F589" t="s">
        <v>21</v>
      </c>
      <c r="G589" t="s">
        <v>37</v>
      </c>
      <c r="H589" s="4" t="s">
        <v>2257</v>
      </c>
      <c r="I589">
        <v>892130</v>
      </c>
      <c r="J589" s="8" t="s">
        <v>30</v>
      </c>
      <c r="K589" t="s">
        <v>800</v>
      </c>
      <c r="L589" t="s">
        <v>801</v>
      </c>
      <c r="M589" t="s">
        <v>33</v>
      </c>
      <c r="N589">
        <f t="shared" ref="N589:N652" si="30">LEN(M589)</f>
        <v>10</v>
      </c>
      <c r="O589">
        <v>1</v>
      </c>
      <c r="P589" s="6">
        <v>132.81</v>
      </c>
      <c r="Q589">
        <v>6.64</v>
      </c>
      <c r="R589">
        <v>126.17</v>
      </c>
      <c r="S589">
        <v>6.31</v>
      </c>
      <c r="T589">
        <v>10</v>
      </c>
      <c r="U589">
        <v>5</v>
      </c>
      <c r="V589">
        <v>147.47999999999999</v>
      </c>
      <c r="W589" t="s">
        <v>27</v>
      </c>
      <c r="X589">
        <v>33</v>
      </c>
    </row>
    <row r="590" spans="1:24" ht="14.25" customHeight="1">
      <c r="A590" t="s">
        <v>1338</v>
      </c>
      <c r="B590" t="s">
        <v>2314</v>
      </c>
      <c r="C590" s="6" t="str">
        <f t="shared" si="28"/>
        <v>February</v>
      </c>
      <c r="D590" s="6" t="str">
        <f t="shared" si="29"/>
        <v>14</v>
      </c>
      <c r="E590" t="s">
        <v>1027</v>
      </c>
      <c r="F590" t="s">
        <v>21</v>
      </c>
      <c r="G590" t="s">
        <v>22</v>
      </c>
      <c r="H590" s="4" t="s">
        <v>2257</v>
      </c>
      <c r="I590">
        <v>961465</v>
      </c>
      <c r="J590" s="8" t="s">
        <v>30</v>
      </c>
      <c r="K590" t="s">
        <v>804</v>
      </c>
      <c r="L590" t="s">
        <v>805</v>
      </c>
      <c r="M590" t="s">
        <v>130</v>
      </c>
      <c r="N590">
        <f t="shared" si="30"/>
        <v>7</v>
      </c>
      <c r="O590">
        <v>1</v>
      </c>
      <c r="P590" s="6">
        <v>175.94</v>
      </c>
      <c r="Q590">
        <v>17.59</v>
      </c>
      <c r="R590">
        <v>158.35</v>
      </c>
      <c r="S590">
        <v>7.92</v>
      </c>
      <c r="T590">
        <v>0</v>
      </c>
      <c r="U590">
        <v>5</v>
      </c>
      <c r="V590">
        <v>171.27</v>
      </c>
      <c r="W590" t="s">
        <v>27</v>
      </c>
      <c r="X590">
        <v>37</v>
      </c>
    </row>
    <row r="591" spans="1:24" ht="14.25" customHeight="1">
      <c r="A591" t="s">
        <v>1339</v>
      </c>
      <c r="B591" t="s">
        <v>2274</v>
      </c>
      <c r="C591" s="6" t="str">
        <f t="shared" si="28"/>
        <v>February</v>
      </c>
      <c r="D591" s="6" t="str">
        <f t="shared" si="29"/>
        <v>22</v>
      </c>
      <c r="E591" t="s">
        <v>1029</v>
      </c>
      <c r="F591" t="s">
        <v>21</v>
      </c>
      <c r="G591" t="s">
        <v>68</v>
      </c>
      <c r="H591" s="4" t="s">
        <v>2257</v>
      </c>
      <c r="I591">
        <v>368449</v>
      </c>
      <c r="J591" s="8" t="s">
        <v>62</v>
      </c>
      <c r="K591" t="s">
        <v>808</v>
      </c>
      <c r="L591" t="s">
        <v>809</v>
      </c>
      <c r="M591" t="s">
        <v>55</v>
      </c>
      <c r="N591">
        <f t="shared" si="30"/>
        <v>5</v>
      </c>
      <c r="O591">
        <v>1</v>
      </c>
      <c r="P591" s="6">
        <v>101.71</v>
      </c>
      <c r="Q591">
        <v>5.09</v>
      </c>
      <c r="R591">
        <v>96.61999999999999</v>
      </c>
      <c r="S591">
        <v>4.83</v>
      </c>
      <c r="T591">
        <v>10</v>
      </c>
      <c r="U591">
        <v>20</v>
      </c>
      <c r="V591">
        <v>131.44999999999999</v>
      </c>
      <c r="W591" t="s">
        <v>27</v>
      </c>
      <c r="X591">
        <v>32</v>
      </c>
    </row>
    <row r="592" spans="1:24" ht="14.25" customHeight="1">
      <c r="A592" t="s">
        <v>1340</v>
      </c>
      <c r="B592" t="s">
        <v>2316</v>
      </c>
      <c r="C592" s="6" t="str">
        <f t="shared" si="28"/>
        <v>January</v>
      </c>
      <c r="D592" s="6" t="str">
        <f t="shared" si="29"/>
        <v>01</v>
      </c>
      <c r="E592" t="s">
        <v>1031</v>
      </c>
      <c r="F592" t="s">
        <v>21</v>
      </c>
      <c r="G592" t="s">
        <v>22</v>
      </c>
      <c r="H592" s="4" t="s">
        <v>2257</v>
      </c>
      <c r="I592">
        <v>746275</v>
      </c>
      <c r="J592" s="8" t="s">
        <v>2346</v>
      </c>
      <c r="K592" t="s">
        <v>812</v>
      </c>
      <c r="L592" t="s">
        <v>813</v>
      </c>
      <c r="M592" t="s">
        <v>40</v>
      </c>
      <c r="N592">
        <f t="shared" si="30"/>
        <v>6</v>
      </c>
      <c r="O592">
        <v>1</v>
      </c>
      <c r="P592" s="6">
        <v>170.13</v>
      </c>
      <c r="Q592">
        <v>17.010000000000002</v>
      </c>
      <c r="R592">
        <v>153.12</v>
      </c>
      <c r="S592">
        <v>7.66</v>
      </c>
      <c r="T592">
        <v>30</v>
      </c>
      <c r="U592">
        <v>20</v>
      </c>
      <c r="V592">
        <v>210.78</v>
      </c>
      <c r="W592" t="s">
        <v>27</v>
      </c>
      <c r="X592">
        <v>13</v>
      </c>
    </row>
    <row r="593" spans="1:24" ht="14.25" customHeight="1">
      <c r="A593" t="s">
        <v>1341</v>
      </c>
      <c r="B593" t="s">
        <v>2292</v>
      </c>
      <c r="C593" s="6" t="str">
        <f t="shared" si="28"/>
        <v>January</v>
      </c>
      <c r="D593" s="6" t="str">
        <f t="shared" si="29"/>
        <v>16</v>
      </c>
      <c r="E593" t="s">
        <v>1033</v>
      </c>
      <c r="F593" t="s">
        <v>21</v>
      </c>
      <c r="G593" t="s">
        <v>74</v>
      </c>
      <c r="H593" s="4" t="s">
        <v>2257</v>
      </c>
      <c r="I593">
        <v>251426</v>
      </c>
      <c r="J593" s="8" t="s">
        <v>30</v>
      </c>
      <c r="K593" t="s">
        <v>816</v>
      </c>
      <c r="L593" t="s">
        <v>817</v>
      </c>
      <c r="M593" t="s">
        <v>135</v>
      </c>
      <c r="N593">
        <f t="shared" si="30"/>
        <v>9</v>
      </c>
      <c r="O593">
        <v>4</v>
      </c>
      <c r="P593" s="6">
        <v>268.76</v>
      </c>
      <c r="Q593">
        <v>26.88</v>
      </c>
      <c r="R593">
        <v>1048.1600000000001</v>
      </c>
      <c r="S593">
        <v>52.41</v>
      </c>
      <c r="T593">
        <v>20</v>
      </c>
      <c r="U593">
        <v>15</v>
      </c>
      <c r="V593">
        <v>1135.57</v>
      </c>
      <c r="W593" t="s">
        <v>27</v>
      </c>
      <c r="X593">
        <v>47</v>
      </c>
    </row>
    <row r="594" spans="1:24" ht="14.25" customHeight="1">
      <c r="A594" t="s">
        <v>1342</v>
      </c>
      <c r="B594" t="s">
        <v>2262</v>
      </c>
      <c r="C594" s="6" t="str">
        <f t="shared" si="28"/>
        <v>February</v>
      </c>
      <c r="D594" s="6" t="str">
        <f t="shared" si="29"/>
        <v>08</v>
      </c>
      <c r="E594" t="s">
        <v>1035</v>
      </c>
      <c r="F594" t="s">
        <v>21</v>
      </c>
      <c r="G594" t="s">
        <v>22</v>
      </c>
      <c r="H594" s="4" t="s">
        <v>2257</v>
      </c>
      <c r="I594">
        <v>177525</v>
      </c>
      <c r="J594" s="8" t="s">
        <v>62</v>
      </c>
      <c r="K594" t="s">
        <v>820</v>
      </c>
      <c r="L594" t="s">
        <v>821</v>
      </c>
      <c r="M594" t="s">
        <v>22</v>
      </c>
      <c r="N594">
        <f t="shared" si="30"/>
        <v>6</v>
      </c>
      <c r="O594">
        <v>4</v>
      </c>
      <c r="P594" s="6">
        <v>201.95</v>
      </c>
      <c r="Q594">
        <v>20.2</v>
      </c>
      <c r="R594">
        <v>787.59999999999991</v>
      </c>
      <c r="S594">
        <v>39.380000000000003</v>
      </c>
      <c r="T594">
        <v>0</v>
      </c>
      <c r="U594">
        <v>20</v>
      </c>
      <c r="V594">
        <v>846.9799999999999</v>
      </c>
      <c r="W594" t="s">
        <v>27</v>
      </c>
      <c r="X594">
        <v>23</v>
      </c>
    </row>
    <row r="595" spans="1:24" ht="14.25" customHeight="1">
      <c r="A595" t="s">
        <v>1343</v>
      </c>
      <c r="B595" t="s">
        <v>2317</v>
      </c>
      <c r="C595" s="6" t="str">
        <f t="shared" si="28"/>
        <v>January</v>
      </c>
      <c r="D595" s="6" t="str">
        <f t="shared" si="29"/>
        <v>05</v>
      </c>
      <c r="E595" t="s">
        <v>1037</v>
      </c>
      <c r="F595" t="s">
        <v>21</v>
      </c>
      <c r="G595" t="s">
        <v>74</v>
      </c>
      <c r="H595" s="4" t="s">
        <v>2257</v>
      </c>
      <c r="I595">
        <v>544709</v>
      </c>
      <c r="J595" s="8" t="s">
        <v>62</v>
      </c>
      <c r="K595" t="s">
        <v>824</v>
      </c>
      <c r="L595" t="s">
        <v>825</v>
      </c>
      <c r="M595" t="s">
        <v>40</v>
      </c>
      <c r="N595">
        <f t="shared" si="30"/>
        <v>6</v>
      </c>
      <c r="O595">
        <v>1</v>
      </c>
      <c r="P595" s="6">
        <v>111.49</v>
      </c>
      <c r="Q595">
        <v>0</v>
      </c>
      <c r="R595">
        <v>111.49</v>
      </c>
      <c r="S595">
        <v>5.57</v>
      </c>
      <c r="T595">
        <v>10</v>
      </c>
      <c r="U595">
        <v>20</v>
      </c>
      <c r="V595">
        <v>147.06</v>
      </c>
      <c r="W595" t="s">
        <v>27</v>
      </c>
      <c r="X595">
        <v>13</v>
      </c>
    </row>
    <row r="596" spans="1:24" ht="14.25" customHeight="1">
      <c r="A596" t="s">
        <v>1344</v>
      </c>
      <c r="B596" t="s">
        <v>2278</v>
      </c>
      <c r="C596" s="6" t="str">
        <f t="shared" si="28"/>
        <v>January</v>
      </c>
      <c r="D596" s="6" t="str">
        <f t="shared" si="29"/>
        <v>22</v>
      </c>
      <c r="E596" t="s">
        <v>1039</v>
      </c>
      <c r="F596" t="s">
        <v>101</v>
      </c>
      <c r="G596" t="s">
        <v>81</v>
      </c>
      <c r="H596" s="4" t="s">
        <v>2257</v>
      </c>
      <c r="I596">
        <v>524724</v>
      </c>
      <c r="J596" s="8" t="s">
        <v>62</v>
      </c>
      <c r="K596" t="s">
        <v>828</v>
      </c>
      <c r="L596" t="s">
        <v>829</v>
      </c>
      <c r="M596" t="s">
        <v>55</v>
      </c>
      <c r="N596">
        <f t="shared" si="30"/>
        <v>5</v>
      </c>
      <c r="O596">
        <v>4</v>
      </c>
      <c r="P596" s="6">
        <v>118.36</v>
      </c>
      <c r="Q596">
        <v>0</v>
      </c>
      <c r="R596">
        <v>473.44</v>
      </c>
      <c r="S596">
        <v>23.67</v>
      </c>
      <c r="T596">
        <v>0</v>
      </c>
      <c r="U596">
        <v>20</v>
      </c>
      <c r="V596">
        <v>517.11</v>
      </c>
      <c r="W596" t="s">
        <v>27</v>
      </c>
      <c r="X596">
        <v>26</v>
      </c>
    </row>
    <row r="597" spans="1:24" ht="14.25" customHeight="1">
      <c r="A597" t="s">
        <v>1345</v>
      </c>
      <c r="B597" t="s">
        <v>2264</v>
      </c>
      <c r="C597" s="6" t="str">
        <f t="shared" si="28"/>
        <v>January</v>
      </c>
      <c r="D597" s="6" t="str">
        <f t="shared" si="29"/>
        <v>29</v>
      </c>
      <c r="E597" t="s">
        <v>1041</v>
      </c>
      <c r="F597" t="s">
        <v>21</v>
      </c>
      <c r="G597" t="s">
        <v>37</v>
      </c>
      <c r="H597" s="4" t="s">
        <v>2257</v>
      </c>
      <c r="I597">
        <v>397584</v>
      </c>
      <c r="J597" s="8" t="s">
        <v>2347</v>
      </c>
      <c r="K597" t="s">
        <v>832</v>
      </c>
      <c r="L597" t="s">
        <v>833</v>
      </c>
      <c r="M597" t="s">
        <v>135</v>
      </c>
      <c r="N597">
        <f t="shared" si="30"/>
        <v>9</v>
      </c>
      <c r="O597">
        <v>4</v>
      </c>
      <c r="P597" s="6">
        <v>137.53</v>
      </c>
      <c r="Q597">
        <v>6.88</v>
      </c>
      <c r="R597">
        <v>543.24</v>
      </c>
      <c r="S597">
        <v>27.16</v>
      </c>
      <c r="T597">
        <v>10</v>
      </c>
      <c r="U597">
        <v>5</v>
      </c>
      <c r="V597">
        <v>585.4</v>
      </c>
      <c r="W597" t="s">
        <v>27</v>
      </c>
      <c r="X597">
        <v>23</v>
      </c>
    </row>
    <row r="598" spans="1:24" ht="14.25" customHeight="1">
      <c r="A598" t="s">
        <v>1346</v>
      </c>
      <c r="B598" t="s">
        <v>2295</v>
      </c>
      <c r="C598" s="6" t="str">
        <f t="shared" si="28"/>
        <v>February</v>
      </c>
      <c r="D598" s="6" t="str">
        <f t="shared" si="29"/>
        <v>24</v>
      </c>
      <c r="E598" t="s">
        <v>1043</v>
      </c>
      <c r="F598" t="s">
        <v>21</v>
      </c>
      <c r="G598" t="s">
        <v>106</v>
      </c>
      <c r="H598" s="4" t="s">
        <v>2257</v>
      </c>
      <c r="I598">
        <v>306486</v>
      </c>
      <c r="J598" s="8" t="s">
        <v>30</v>
      </c>
      <c r="K598" t="s">
        <v>836</v>
      </c>
      <c r="L598" t="s">
        <v>837</v>
      </c>
      <c r="M598" t="s">
        <v>98</v>
      </c>
      <c r="N598">
        <f t="shared" si="30"/>
        <v>4</v>
      </c>
      <c r="O598">
        <v>1</v>
      </c>
      <c r="P598" s="6">
        <v>147.46</v>
      </c>
      <c r="Q598">
        <v>7.37</v>
      </c>
      <c r="R598">
        <v>140.09</v>
      </c>
      <c r="S598">
        <v>7</v>
      </c>
      <c r="T598">
        <v>10</v>
      </c>
      <c r="U598">
        <v>5</v>
      </c>
      <c r="V598">
        <v>162.09</v>
      </c>
      <c r="W598" t="s">
        <v>27</v>
      </c>
      <c r="X598">
        <v>25</v>
      </c>
    </row>
    <row r="599" spans="1:24" ht="14.25" customHeight="1">
      <c r="A599" t="s">
        <v>1347</v>
      </c>
      <c r="B599" t="s">
        <v>2277</v>
      </c>
      <c r="C599" s="6" t="str">
        <f t="shared" si="28"/>
        <v>January</v>
      </c>
      <c r="D599" s="6" t="str">
        <f t="shared" si="29"/>
        <v>03</v>
      </c>
      <c r="E599" t="s">
        <v>1045</v>
      </c>
      <c r="F599" t="s">
        <v>21</v>
      </c>
      <c r="G599" t="s">
        <v>106</v>
      </c>
      <c r="H599" s="4" t="s">
        <v>2257</v>
      </c>
      <c r="I599">
        <v>677880</v>
      </c>
      <c r="J599" s="8" t="s">
        <v>2348</v>
      </c>
      <c r="K599" t="s">
        <v>840</v>
      </c>
      <c r="L599" t="s">
        <v>841</v>
      </c>
      <c r="M599" t="s">
        <v>40</v>
      </c>
      <c r="N599">
        <f t="shared" si="30"/>
        <v>6</v>
      </c>
      <c r="O599">
        <v>6</v>
      </c>
      <c r="P599" s="6">
        <v>109.6</v>
      </c>
      <c r="Q599">
        <v>5.48</v>
      </c>
      <c r="R599">
        <v>652.11999999999989</v>
      </c>
      <c r="S599">
        <v>32.61</v>
      </c>
      <c r="T599">
        <v>0</v>
      </c>
      <c r="U599">
        <v>20</v>
      </c>
      <c r="V599">
        <v>704.7299999999999</v>
      </c>
      <c r="W599" t="s">
        <v>27</v>
      </c>
      <c r="X599">
        <v>31</v>
      </c>
    </row>
    <row r="600" spans="1:24" ht="14.25" customHeight="1">
      <c r="A600" t="s">
        <v>1348</v>
      </c>
      <c r="B600" t="s">
        <v>2285</v>
      </c>
      <c r="C600" s="6" t="str">
        <f t="shared" si="28"/>
        <v>January</v>
      </c>
      <c r="D600" s="6" t="str">
        <f t="shared" si="29"/>
        <v>12</v>
      </c>
      <c r="E600" t="s">
        <v>1047</v>
      </c>
      <c r="F600" t="s">
        <v>21</v>
      </c>
      <c r="G600" t="s">
        <v>68</v>
      </c>
      <c r="H600" s="4" t="s">
        <v>2257</v>
      </c>
      <c r="I600">
        <v>343767</v>
      </c>
      <c r="J600" s="8" t="s">
        <v>2346</v>
      </c>
      <c r="K600" t="s">
        <v>844</v>
      </c>
      <c r="L600" t="s">
        <v>845</v>
      </c>
      <c r="M600" t="s">
        <v>135</v>
      </c>
      <c r="N600">
        <f t="shared" si="30"/>
        <v>9</v>
      </c>
      <c r="O600">
        <v>7</v>
      </c>
      <c r="P600" s="6">
        <v>103.07</v>
      </c>
      <c r="Q600">
        <v>15.46</v>
      </c>
      <c r="R600">
        <v>706.03</v>
      </c>
      <c r="S600">
        <v>35.299999999999997</v>
      </c>
      <c r="T600">
        <v>30</v>
      </c>
      <c r="U600">
        <v>15</v>
      </c>
      <c r="V600">
        <v>786.32999999999993</v>
      </c>
      <c r="W600" t="s">
        <v>27</v>
      </c>
      <c r="X600">
        <v>19</v>
      </c>
    </row>
    <row r="601" spans="1:24" ht="14.25" customHeight="1">
      <c r="A601" t="s">
        <v>1349</v>
      </c>
      <c r="B601" t="s">
        <v>2304</v>
      </c>
      <c r="C601" s="6" t="str">
        <f t="shared" si="28"/>
        <v>January</v>
      </c>
      <c r="D601" s="6" t="str">
        <f t="shared" si="29"/>
        <v>26</v>
      </c>
      <c r="E601" t="s">
        <v>1049</v>
      </c>
      <c r="F601" t="s">
        <v>21</v>
      </c>
      <c r="G601" t="s">
        <v>74</v>
      </c>
      <c r="H601" s="4" t="s">
        <v>2257</v>
      </c>
      <c r="I601">
        <v>510184</v>
      </c>
      <c r="J601" s="8" t="s">
        <v>30</v>
      </c>
      <c r="K601" t="s">
        <v>848</v>
      </c>
      <c r="L601" t="s">
        <v>849</v>
      </c>
      <c r="M601" t="s">
        <v>45</v>
      </c>
      <c r="N601">
        <f t="shared" si="30"/>
        <v>6</v>
      </c>
      <c r="O601">
        <v>1</v>
      </c>
      <c r="P601" s="6">
        <v>162.08000000000001</v>
      </c>
      <c r="Q601">
        <v>0</v>
      </c>
      <c r="R601">
        <v>162.08000000000001</v>
      </c>
      <c r="S601">
        <v>8.1</v>
      </c>
      <c r="T601">
        <v>10</v>
      </c>
      <c r="U601">
        <v>0</v>
      </c>
      <c r="V601">
        <v>180.18</v>
      </c>
      <c r="W601" t="s">
        <v>27</v>
      </c>
      <c r="X601">
        <v>13</v>
      </c>
    </row>
    <row r="602" spans="1:24" ht="14.25" customHeight="1">
      <c r="A602" t="s">
        <v>1350</v>
      </c>
      <c r="B602" t="s">
        <v>2292</v>
      </c>
      <c r="C602" s="6" t="str">
        <f t="shared" si="28"/>
        <v>January</v>
      </c>
      <c r="D602" s="6" t="str">
        <f t="shared" si="29"/>
        <v>16</v>
      </c>
      <c r="E602" t="s">
        <v>20</v>
      </c>
      <c r="F602" t="s">
        <v>21</v>
      </c>
      <c r="G602" t="s">
        <v>37</v>
      </c>
      <c r="H602" s="4" t="s">
        <v>2257</v>
      </c>
      <c r="I602">
        <v>380539</v>
      </c>
      <c r="J602" s="8" t="s">
        <v>2348</v>
      </c>
      <c r="K602" t="s">
        <v>24</v>
      </c>
      <c r="L602" t="s">
        <v>25</v>
      </c>
      <c r="M602" t="s">
        <v>55</v>
      </c>
      <c r="N602">
        <f t="shared" si="30"/>
        <v>5</v>
      </c>
      <c r="O602">
        <v>2</v>
      </c>
      <c r="P602" s="6">
        <v>138.87</v>
      </c>
      <c r="Q602">
        <v>13.89</v>
      </c>
      <c r="R602">
        <v>263.85000000000002</v>
      </c>
      <c r="S602">
        <v>13.19</v>
      </c>
      <c r="T602">
        <v>20</v>
      </c>
      <c r="U602">
        <v>5</v>
      </c>
      <c r="V602">
        <v>302.04000000000002</v>
      </c>
      <c r="W602" t="s">
        <v>27</v>
      </c>
      <c r="X602">
        <v>25</v>
      </c>
    </row>
    <row r="603" spans="1:24" ht="14.25" customHeight="1">
      <c r="A603" t="s">
        <v>1351</v>
      </c>
      <c r="B603" t="s">
        <v>2294</v>
      </c>
      <c r="C603" s="6" t="str">
        <f t="shared" si="28"/>
        <v>February</v>
      </c>
      <c r="D603" s="6" t="str">
        <f t="shared" si="29"/>
        <v>20</v>
      </c>
      <c r="E603" t="s">
        <v>29</v>
      </c>
      <c r="F603" t="s">
        <v>21</v>
      </c>
      <c r="G603" t="s">
        <v>37</v>
      </c>
      <c r="H603" s="4" t="s">
        <v>2257</v>
      </c>
      <c r="I603">
        <v>543258</v>
      </c>
      <c r="J603" s="8" t="s">
        <v>2349</v>
      </c>
      <c r="K603" t="s">
        <v>31</v>
      </c>
      <c r="L603" t="s">
        <v>32</v>
      </c>
      <c r="M603" t="s">
        <v>135</v>
      </c>
      <c r="N603">
        <f t="shared" si="30"/>
        <v>9</v>
      </c>
      <c r="O603">
        <v>1</v>
      </c>
      <c r="P603" s="6">
        <v>158.94999999999999</v>
      </c>
      <c r="Q603">
        <v>0</v>
      </c>
      <c r="R603">
        <v>158.94999999999999</v>
      </c>
      <c r="S603">
        <v>7.95</v>
      </c>
      <c r="T603">
        <v>30</v>
      </c>
      <c r="U603">
        <v>10</v>
      </c>
      <c r="V603">
        <v>206.9</v>
      </c>
      <c r="W603" t="s">
        <v>34</v>
      </c>
      <c r="X603">
        <v>25</v>
      </c>
    </row>
    <row r="604" spans="1:24" ht="14.25" customHeight="1">
      <c r="A604" t="s">
        <v>1352</v>
      </c>
      <c r="B604" t="s">
        <v>2297</v>
      </c>
      <c r="C604" s="6" t="str">
        <f t="shared" si="28"/>
        <v>February</v>
      </c>
      <c r="D604" s="6" t="str">
        <f t="shared" si="29"/>
        <v>06</v>
      </c>
      <c r="E604" t="s">
        <v>36</v>
      </c>
      <c r="F604" t="s">
        <v>80</v>
      </c>
      <c r="G604" t="s">
        <v>81</v>
      </c>
      <c r="H604" s="4" t="s">
        <v>2257</v>
      </c>
      <c r="I604">
        <v>342934</v>
      </c>
      <c r="J604" s="8" t="s">
        <v>2345</v>
      </c>
      <c r="K604" t="s">
        <v>38</v>
      </c>
      <c r="L604" t="s">
        <v>39</v>
      </c>
      <c r="M604" t="s">
        <v>40</v>
      </c>
      <c r="N604">
        <f t="shared" si="30"/>
        <v>6</v>
      </c>
      <c r="O604">
        <v>4</v>
      </c>
      <c r="P604" s="6">
        <v>94.3</v>
      </c>
      <c r="Q604">
        <v>0</v>
      </c>
      <c r="R604">
        <v>377.2</v>
      </c>
      <c r="S604">
        <v>18.86</v>
      </c>
      <c r="T604">
        <v>30</v>
      </c>
      <c r="U604">
        <v>20</v>
      </c>
      <c r="V604">
        <v>446.06</v>
      </c>
      <c r="W604" t="s">
        <v>27</v>
      </c>
      <c r="X604">
        <v>4</v>
      </c>
    </row>
    <row r="605" spans="1:24" ht="14.25" customHeight="1">
      <c r="A605" t="s">
        <v>1353</v>
      </c>
      <c r="B605" t="s">
        <v>2278</v>
      </c>
      <c r="C605" s="6" t="str">
        <f t="shared" si="28"/>
        <v>January</v>
      </c>
      <c r="D605" s="6" t="str">
        <f t="shared" si="29"/>
        <v>22</v>
      </c>
      <c r="E605" t="s">
        <v>42</v>
      </c>
      <c r="F605" t="s">
        <v>21</v>
      </c>
      <c r="G605" t="s">
        <v>37</v>
      </c>
      <c r="H605" s="4" t="s">
        <v>2257</v>
      </c>
      <c r="I605">
        <v>962318</v>
      </c>
      <c r="J605" s="8" t="s">
        <v>2345</v>
      </c>
      <c r="K605" t="s">
        <v>43</v>
      </c>
      <c r="L605" t="s">
        <v>44</v>
      </c>
      <c r="M605" t="s">
        <v>55</v>
      </c>
      <c r="N605">
        <f t="shared" si="30"/>
        <v>5</v>
      </c>
      <c r="O605">
        <v>3</v>
      </c>
      <c r="P605" s="6">
        <v>149.13</v>
      </c>
      <c r="Q605">
        <v>14.91</v>
      </c>
      <c r="R605">
        <v>432.48</v>
      </c>
      <c r="S605">
        <v>21.62</v>
      </c>
      <c r="T605">
        <v>20</v>
      </c>
      <c r="U605">
        <v>5</v>
      </c>
      <c r="V605">
        <v>479.1</v>
      </c>
      <c r="W605" t="s">
        <v>27</v>
      </c>
      <c r="X605">
        <v>20</v>
      </c>
    </row>
    <row r="606" spans="1:24" ht="14.25" customHeight="1">
      <c r="A606" t="s">
        <v>1354</v>
      </c>
      <c r="B606" t="s">
        <v>2296</v>
      </c>
      <c r="C606" s="6" t="str">
        <f t="shared" si="28"/>
        <v>February</v>
      </c>
      <c r="D606" s="6" t="str">
        <f t="shared" si="29"/>
        <v>26</v>
      </c>
      <c r="E606" t="s">
        <v>47</v>
      </c>
      <c r="F606" t="s">
        <v>21</v>
      </c>
      <c r="G606" t="s">
        <v>22</v>
      </c>
      <c r="H606" s="4" t="s">
        <v>2257</v>
      </c>
      <c r="I606">
        <v>434517</v>
      </c>
      <c r="J606" s="8" t="s">
        <v>2349</v>
      </c>
      <c r="K606" t="s">
        <v>48</v>
      </c>
      <c r="L606" t="s">
        <v>49</v>
      </c>
      <c r="M606" t="s">
        <v>50</v>
      </c>
      <c r="N606">
        <f t="shared" si="30"/>
        <v>5</v>
      </c>
      <c r="O606">
        <v>5</v>
      </c>
      <c r="P606" s="6">
        <v>234.74</v>
      </c>
      <c r="Q606">
        <v>23.47</v>
      </c>
      <c r="R606">
        <v>1150.23</v>
      </c>
      <c r="S606">
        <v>57.51</v>
      </c>
      <c r="T606">
        <v>20</v>
      </c>
      <c r="U606">
        <v>20</v>
      </c>
      <c r="V606">
        <v>1247.74</v>
      </c>
      <c r="W606" t="s">
        <v>27</v>
      </c>
      <c r="X606">
        <v>33</v>
      </c>
    </row>
    <row r="607" spans="1:24" ht="14.25" customHeight="1">
      <c r="A607" t="s">
        <v>1355</v>
      </c>
      <c r="B607" t="s">
        <v>2264</v>
      </c>
      <c r="C607" s="6" t="str">
        <f t="shared" si="28"/>
        <v>January</v>
      </c>
      <c r="D607" s="6" t="str">
        <f t="shared" si="29"/>
        <v>29</v>
      </c>
      <c r="E607" t="s">
        <v>52</v>
      </c>
      <c r="F607" t="s">
        <v>21</v>
      </c>
      <c r="G607" t="s">
        <v>37</v>
      </c>
      <c r="H607" s="4" t="s">
        <v>2257</v>
      </c>
      <c r="I607">
        <v>147111</v>
      </c>
      <c r="J607" s="8" t="s">
        <v>2345</v>
      </c>
      <c r="K607" t="s">
        <v>53</v>
      </c>
      <c r="L607" t="s">
        <v>54</v>
      </c>
      <c r="M607" t="s">
        <v>177</v>
      </c>
      <c r="N607">
        <f t="shared" si="30"/>
        <v>5</v>
      </c>
      <c r="O607">
        <v>4</v>
      </c>
      <c r="P607" s="6">
        <v>52.9</v>
      </c>
      <c r="Q607">
        <v>5.29</v>
      </c>
      <c r="R607">
        <v>206.31</v>
      </c>
      <c r="S607">
        <v>10.32</v>
      </c>
      <c r="T607">
        <v>30</v>
      </c>
      <c r="U607">
        <v>20</v>
      </c>
      <c r="V607">
        <v>266.63</v>
      </c>
      <c r="W607" t="s">
        <v>27</v>
      </c>
      <c r="X607">
        <v>10</v>
      </c>
    </row>
    <row r="608" spans="1:24" ht="14.25" customHeight="1">
      <c r="A608" t="s">
        <v>1356</v>
      </c>
      <c r="B608" t="s">
        <v>2302</v>
      </c>
      <c r="C608" s="6" t="str">
        <f t="shared" si="28"/>
        <v>January</v>
      </c>
      <c r="D608" s="6" t="str">
        <f t="shared" si="29"/>
        <v>14</v>
      </c>
      <c r="E608" t="s">
        <v>57</v>
      </c>
      <c r="F608" t="s">
        <v>80</v>
      </c>
      <c r="G608" t="s">
        <v>81</v>
      </c>
      <c r="H608" s="4" t="s">
        <v>2257</v>
      </c>
      <c r="I608">
        <v>702960</v>
      </c>
      <c r="J608" s="8" t="s">
        <v>2346</v>
      </c>
      <c r="K608" t="s">
        <v>58</v>
      </c>
      <c r="L608" t="s">
        <v>59</v>
      </c>
      <c r="M608" t="s">
        <v>26</v>
      </c>
      <c r="N608">
        <f t="shared" si="30"/>
        <v>3</v>
      </c>
      <c r="O608">
        <v>1</v>
      </c>
      <c r="P608" s="6">
        <v>125.88</v>
      </c>
      <c r="Q608">
        <v>0</v>
      </c>
      <c r="R608">
        <v>125.88</v>
      </c>
      <c r="S608">
        <v>6.29</v>
      </c>
      <c r="T608">
        <v>10</v>
      </c>
      <c r="U608">
        <v>0</v>
      </c>
      <c r="V608">
        <v>142.16999999999999</v>
      </c>
      <c r="W608" t="s">
        <v>84</v>
      </c>
      <c r="X608">
        <v>25</v>
      </c>
    </row>
    <row r="609" spans="1:24" ht="14.25" customHeight="1">
      <c r="A609" t="s">
        <v>1357</v>
      </c>
      <c r="B609" t="s">
        <v>2291</v>
      </c>
      <c r="C609" s="6" t="str">
        <f t="shared" si="28"/>
        <v>January</v>
      </c>
      <c r="D609" s="6" t="str">
        <f t="shared" si="29"/>
        <v>28</v>
      </c>
      <c r="E609" t="s">
        <v>61</v>
      </c>
      <c r="F609" t="s">
        <v>21</v>
      </c>
      <c r="G609" t="s">
        <v>37</v>
      </c>
      <c r="H609" s="4" t="s">
        <v>2257</v>
      </c>
      <c r="I609">
        <v>341084</v>
      </c>
      <c r="J609" s="8" t="s">
        <v>2349</v>
      </c>
      <c r="K609" t="s">
        <v>63</v>
      </c>
      <c r="L609" t="s">
        <v>64</v>
      </c>
      <c r="M609" t="s">
        <v>33</v>
      </c>
      <c r="N609">
        <f t="shared" si="30"/>
        <v>10</v>
      </c>
      <c r="O609">
        <v>5</v>
      </c>
      <c r="P609" s="6">
        <v>77.84</v>
      </c>
      <c r="Q609">
        <v>11.68</v>
      </c>
      <c r="R609">
        <v>377.52</v>
      </c>
      <c r="S609">
        <v>18.88</v>
      </c>
      <c r="T609">
        <v>20</v>
      </c>
      <c r="U609">
        <v>10</v>
      </c>
      <c r="V609">
        <v>426.4</v>
      </c>
      <c r="W609" t="s">
        <v>27</v>
      </c>
      <c r="X609">
        <v>12</v>
      </c>
    </row>
    <row r="610" spans="1:24" ht="14.25" customHeight="1">
      <c r="A610" t="s">
        <v>1358</v>
      </c>
      <c r="B610" t="s">
        <v>2317</v>
      </c>
      <c r="C610" s="6" t="str">
        <f t="shared" si="28"/>
        <v>January</v>
      </c>
      <c r="D610" s="6" t="str">
        <f t="shared" si="29"/>
        <v>05</v>
      </c>
      <c r="E610" t="s">
        <v>67</v>
      </c>
      <c r="F610" t="s">
        <v>21</v>
      </c>
      <c r="G610" t="s">
        <v>37</v>
      </c>
      <c r="H610" s="4" t="s">
        <v>2257</v>
      </c>
      <c r="I610">
        <v>699792</v>
      </c>
      <c r="J610" s="8" t="s">
        <v>2348</v>
      </c>
      <c r="K610" t="s">
        <v>69</v>
      </c>
      <c r="L610" t="s">
        <v>70</v>
      </c>
      <c r="M610" t="s">
        <v>45</v>
      </c>
      <c r="N610">
        <f t="shared" si="30"/>
        <v>6</v>
      </c>
      <c r="O610">
        <v>3</v>
      </c>
      <c r="P610" s="6">
        <v>135.13</v>
      </c>
      <c r="Q610">
        <v>6.76</v>
      </c>
      <c r="R610">
        <v>398.63</v>
      </c>
      <c r="S610">
        <v>19.93</v>
      </c>
      <c r="T610">
        <v>20</v>
      </c>
      <c r="U610">
        <v>5</v>
      </c>
      <c r="V610">
        <v>443.56</v>
      </c>
      <c r="W610" t="s">
        <v>27</v>
      </c>
      <c r="X610">
        <v>37</v>
      </c>
    </row>
    <row r="611" spans="1:24" ht="14.25" customHeight="1">
      <c r="A611" t="s">
        <v>1359</v>
      </c>
      <c r="B611" t="s">
        <v>2293</v>
      </c>
      <c r="C611" s="6" t="str">
        <f t="shared" si="28"/>
        <v>February</v>
      </c>
      <c r="D611" s="6" t="str">
        <f t="shared" si="29"/>
        <v>16</v>
      </c>
      <c r="E611" t="s">
        <v>73</v>
      </c>
      <c r="F611" t="s">
        <v>21</v>
      </c>
      <c r="G611" t="s">
        <v>22</v>
      </c>
      <c r="H611" s="4" t="s">
        <v>2257</v>
      </c>
      <c r="I611">
        <v>768629</v>
      </c>
      <c r="J611" s="8" t="s">
        <v>30</v>
      </c>
      <c r="K611" t="s">
        <v>75</v>
      </c>
      <c r="L611" t="s">
        <v>76</v>
      </c>
      <c r="M611" t="s">
        <v>26</v>
      </c>
      <c r="N611">
        <f t="shared" si="30"/>
        <v>3</v>
      </c>
      <c r="O611">
        <v>6</v>
      </c>
      <c r="P611" s="6">
        <v>49.66</v>
      </c>
      <c r="Q611">
        <v>7.45</v>
      </c>
      <c r="R611">
        <v>290.51</v>
      </c>
      <c r="S611">
        <v>14.53</v>
      </c>
      <c r="T611">
        <v>10</v>
      </c>
      <c r="U611">
        <v>5</v>
      </c>
      <c r="V611">
        <v>320.04000000000002</v>
      </c>
      <c r="W611" t="s">
        <v>27</v>
      </c>
      <c r="X611">
        <v>36</v>
      </c>
    </row>
    <row r="612" spans="1:24" ht="14.25" customHeight="1">
      <c r="A612" t="s">
        <v>1360</v>
      </c>
      <c r="B612" t="s">
        <v>2287</v>
      </c>
      <c r="C612" s="6" t="str">
        <f t="shared" si="28"/>
        <v>February</v>
      </c>
      <c r="D612" s="6" t="str">
        <f t="shared" si="29"/>
        <v>18</v>
      </c>
      <c r="E612" t="s">
        <v>79</v>
      </c>
      <c r="F612" t="s">
        <v>21</v>
      </c>
      <c r="G612" t="s">
        <v>74</v>
      </c>
      <c r="H612" s="4" t="s">
        <v>2257</v>
      </c>
      <c r="I612">
        <v>170021</v>
      </c>
      <c r="J612" s="8" t="s">
        <v>30</v>
      </c>
      <c r="K612" t="s">
        <v>82</v>
      </c>
      <c r="L612" t="s">
        <v>83</v>
      </c>
      <c r="M612" t="s">
        <v>45</v>
      </c>
      <c r="N612">
        <f t="shared" si="30"/>
        <v>6</v>
      </c>
      <c r="O612">
        <v>3</v>
      </c>
      <c r="P612" s="6">
        <v>272.01</v>
      </c>
      <c r="Q612">
        <v>13.6</v>
      </c>
      <c r="R612">
        <v>802.43</v>
      </c>
      <c r="S612">
        <v>40.119999999999997</v>
      </c>
      <c r="T612">
        <v>0</v>
      </c>
      <c r="U612">
        <v>15</v>
      </c>
      <c r="V612">
        <v>857.55</v>
      </c>
      <c r="W612" t="s">
        <v>27</v>
      </c>
      <c r="X612">
        <v>15</v>
      </c>
    </row>
    <row r="613" spans="1:24" ht="14.25" customHeight="1">
      <c r="A613" t="s">
        <v>1361</v>
      </c>
      <c r="B613" t="s">
        <v>2281</v>
      </c>
      <c r="C613" s="6" t="str">
        <f t="shared" si="28"/>
        <v>January</v>
      </c>
      <c r="D613" s="6" t="str">
        <f t="shared" si="29"/>
        <v>30</v>
      </c>
      <c r="E613" t="s">
        <v>86</v>
      </c>
      <c r="F613" t="s">
        <v>21</v>
      </c>
      <c r="G613" t="s">
        <v>37</v>
      </c>
      <c r="H613" s="4" t="s">
        <v>2257</v>
      </c>
      <c r="I613">
        <v>437283</v>
      </c>
      <c r="J613" s="8" t="s">
        <v>2347</v>
      </c>
      <c r="K613" t="s">
        <v>87</v>
      </c>
      <c r="L613" t="s">
        <v>88</v>
      </c>
      <c r="M613" t="s">
        <v>140</v>
      </c>
      <c r="N613">
        <f t="shared" si="30"/>
        <v>3</v>
      </c>
      <c r="O613">
        <v>1</v>
      </c>
      <c r="P613" s="6">
        <v>172.56</v>
      </c>
      <c r="Q613">
        <v>25.88</v>
      </c>
      <c r="R613">
        <v>146.68</v>
      </c>
      <c r="S613">
        <v>7.33</v>
      </c>
      <c r="T613">
        <v>0</v>
      </c>
      <c r="U613">
        <v>20</v>
      </c>
      <c r="V613">
        <v>174.01</v>
      </c>
      <c r="W613" t="s">
        <v>117</v>
      </c>
      <c r="X613">
        <v>25</v>
      </c>
    </row>
    <row r="614" spans="1:24" ht="14.25" customHeight="1">
      <c r="A614" t="s">
        <v>1362</v>
      </c>
      <c r="B614" t="s">
        <v>2321</v>
      </c>
      <c r="C614" s="6" t="str">
        <f t="shared" si="28"/>
        <v>February</v>
      </c>
      <c r="D614" s="6" t="str">
        <f t="shared" si="29"/>
        <v>15</v>
      </c>
      <c r="E614" t="s">
        <v>91</v>
      </c>
      <c r="F614" t="s">
        <v>21</v>
      </c>
      <c r="G614" t="s">
        <v>37</v>
      </c>
      <c r="H614" s="4" t="s">
        <v>2257</v>
      </c>
      <c r="I614">
        <v>500782</v>
      </c>
      <c r="J614" s="8" t="s">
        <v>62</v>
      </c>
      <c r="K614" t="s">
        <v>92</v>
      </c>
      <c r="L614" t="s">
        <v>93</v>
      </c>
      <c r="M614" t="s">
        <v>50</v>
      </c>
      <c r="N614">
        <f t="shared" si="30"/>
        <v>5</v>
      </c>
      <c r="O614">
        <v>5</v>
      </c>
      <c r="P614" s="6">
        <v>80.150000000000006</v>
      </c>
      <c r="Q614">
        <v>0</v>
      </c>
      <c r="R614">
        <v>400.75</v>
      </c>
      <c r="S614">
        <v>20.04</v>
      </c>
      <c r="T614">
        <v>20</v>
      </c>
      <c r="U614">
        <v>0</v>
      </c>
      <c r="V614">
        <v>440.79</v>
      </c>
      <c r="W614" t="s">
        <v>27</v>
      </c>
      <c r="X614">
        <v>33</v>
      </c>
    </row>
    <row r="615" spans="1:24" ht="14.25" customHeight="1">
      <c r="A615" t="s">
        <v>1363</v>
      </c>
      <c r="B615" t="s">
        <v>2263</v>
      </c>
      <c r="C615" s="6" t="str">
        <f t="shared" si="28"/>
        <v>February</v>
      </c>
      <c r="D615" s="6" t="str">
        <f t="shared" si="29"/>
        <v>21</v>
      </c>
      <c r="E615" t="s">
        <v>95</v>
      </c>
      <c r="F615" t="s">
        <v>21</v>
      </c>
      <c r="G615" t="s">
        <v>37</v>
      </c>
      <c r="H615" s="4" t="s">
        <v>2257</v>
      </c>
      <c r="I615">
        <v>713712</v>
      </c>
      <c r="J615" s="8" t="s">
        <v>2349</v>
      </c>
      <c r="K615" t="s">
        <v>96</v>
      </c>
      <c r="L615" t="s">
        <v>97</v>
      </c>
      <c r="M615" t="s">
        <v>33</v>
      </c>
      <c r="N615">
        <f t="shared" si="30"/>
        <v>10</v>
      </c>
      <c r="O615">
        <v>4</v>
      </c>
      <c r="P615" s="6">
        <v>92.73</v>
      </c>
      <c r="Q615">
        <v>9.27</v>
      </c>
      <c r="R615">
        <v>361.65</v>
      </c>
      <c r="S615">
        <v>18.079999999999998</v>
      </c>
      <c r="T615">
        <v>10</v>
      </c>
      <c r="U615">
        <v>10</v>
      </c>
      <c r="V615">
        <v>399.73</v>
      </c>
      <c r="W615" t="s">
        <v>27</v>
      </c>
      <c r="X615">
        <v>25</v>
      </c>
    </row>
    <row r="616" spans="1:24" ht="14.25" customHeight="1">
      <c r="A616" t="s">
        <v>1364</v>
      </c>
      <c r="B616" t="s">
        <v>2317</v>
      </c>
      <c r="C616" s="6" t="str">
        <f t="shared" si="28"/>
        <v>January</v>
      </c>
      <c r="D616" s="6" t="str">
        <f t="shared" si="29"/>
        <v>05</v>
      </c>
      <c r="E616" t="s">
        <v>100</v>
      </c>
      <c r="F616" t="s">
        <v>21</v>
      </c>
      <c r="G616" t="s">
        <v>106</v>
      </c>
      <c r="H616" s="4" t="s">
        <v>2257</v>
      </c>
      <c r="I616">
        <v>409143</v>
      </c>
      <c r="J616" s="8" t="s">
        <v>2348</v>
      </c>
      <c r="K616" t="s">
        <v>102</v>
      </c>
      <c r="L616" t="s">
        <v>103</v>
      </c>
      <c r="M616" t="s">
        <v>71</v>
      </c>
      <c r="N616">
        <f t="shared" si="30"/>
        <v>6</v>
      </c>
      <c r="O616">
        <v>3</v>
      </c>
      <c r="P616" s="6">
        <v>115.48</v>
      </c>
      <c r="Q616">
        <v>11.55</v>
      </c>
      <c r="R616">
        <v>334.89</v>
      </c>
      <c r="S616">
        <v>16.739999999999998</v>
      </c>
      <c r="T616">
        <v>0</v>
      </c>
      <c r="U616">
        <v>20</v>
      </c>
      <c r="V616">
        <v>371.63</v>
      </c>
      <c r="W616" t="s">
        <v>27</v>
      </c>
      <c r="X616">
        <v>32</v>
      </c>
    </row>
    <row r="617" spans="1:24" ht="14.25" customHeight="1">
      <c r="A617" t="s">
        <v>1365</v>
      </c>
      <c r="B617" t="s">
        <v>2285</v>
      </c>
      <c r="C617" s="6" t="str">
        <f t="shared" si="28"/>
        <v>January</v>
      </c>
      <c r="D617" s="6" t="str">
        <f t="shared" si="29"/>
        <v>12</v>
      </c>
      <c r="E617" t="s">
        <v>105</v>
      </c>
      <c r="F617" t="s">
        <v>21</v>
      </c>
      <c r="G617" t="s">
        <v>74</v>
      </c>
      <c r="H617" s="4" t="s">
        <v>2257</v>
      </c>
      <c r="I617">
        <v>543441</v>
      </c>
      <c r="J617" s="8" t="s">
        <v>30</v>
      </c>
      <c r="K617" t="s">
        <v>107</v>
      </c>
      <c r="L617" t="s">
        <v>108</v>
      </c>
      <c r="M617" t="s">
        <v>177</v>
      </c>
      <c r="N617">
        <f t="shared" si="30"/>
        <v>5</v>
      </c>
      <c r="O617">
        <v>1</v>
      </c>
      <c r="P617" s="6">
        <v>137.9</v>
      </c>
      <c r="Q617">
        <v>20.68</v>
      </c>
      <c r="R617">
        <v>117.22</v>
      </c>
      <c r="S617">
        <v>5.86</v>
      </c>
      <c r="T617">
        <v>0</v>
      </c>
      <c r="U617">
        <v>10</v>
      </c>
      <c r="V617">
        <v>133.08000000000001</v>
      </c>
      <c r="W617" t="s">
        <v>27</v>
      </c>
      <c r="X617">
        <v>33</v>
      </c>
    </row>
    <row r="618" spans="1:24" ht="14.25" customHeight="1">
      <c r="A618" t="s">
        <v>1366</v>
      </c>
      <c r="B618" t="s">
        <v>2292</v>
      </c>
      <c r="C618" s="6" t="str">
        <f t="shared" si="28"/>
        <v>January</v>
      </c>
      <c r="D618" s="6" t="str">
        <f t="shared" si="29"/>
        <v>16</v>
      </c>
      <c r="E618" t="s">
        <v>110</v>
      </c>
      <c r="F618" t="s">
        <v>21</v>
      </c>
      <c r="G618" t="s">
        <v>68</v>
      </c>
      <c r="H618" s="4" t="s">
        <v>2257</v>
      </c>
      <c r="I618">
        <v>816741</v>
      </c>
      <c r="J618" s="8" t="s">
        <v>2346</v>
      </c>
      <c r="K618" t="s">
        <v>111</v>
      </c>
      <c r="L618" t="s">
        <v>112</v>
      </c>
      <c r="M618" t="s">
        <v>45</v>
      </c>
      <c r="N618">
        <f t="shared" si="30"/>
        <v>6</v>
      </c>
      <c r="O618">
        <v>2</v>
      </c>
      <c r="P618" s="6">
        <v>108.79</v>
      </c>
      <c r="Q618">
        <v>0</v>
      </c>
      <c r="R618">
        <v>217.58</v>
      </c>
      <c r="S618">
        <v>10.88</v>
      </c>
      <c r="T618">
        <v>10</v>
      </c>
      <c r="U618">
        <v>5</v>
      </c>
      <c r="V618">
        <v>243.46</v>
      </c>
      <c r="W618" t="s">
        <v>27</v>
      </c>
      <c r="X618">
        <v>8</v>
      </c>
    </row>
    <row r="619" spans="1:24" ht="14.25" customHeight="1">
      <c r="A619" t="s">
        <v>1367</v>
      </c>
      <c r="B619" t="s">
        <v>2304</v>
      </c>
      <c r="C619" s="6" t="str">
        <f t="shared" si="28"/>
        <v>January</v>
      </c>
      <c r="D619" s="6" t="str">
        <f t="shared" si="29"/>
        <v>26</v>
      </c>
      <c r="E619" t="s">
        <v>114</v>
      </c>
      <c r="F619" t="s">
        <v>80</v>
      </c>
      <c r="G619" t="s">
        <v>81</v>
      </c>
      <c r="H619" s="4" t="s">
        <v>2257</v>
      </c>
      <c r="I619">
        <v>854471</v>
      </c>
      <c r="J619" s="8" t="s">
        <v>30</v>
      </c>
      <c r="K619" t="s">
        <v>115</v>
      </c>
      <c r="L619" t="s">
        <v>116</v>
      </c>
      <c r="M619" t="s">
        <v>71</v>
      </c>
      <c r="N619">
        <f t="shared" si="30"/>
        <v>6</v>
      </c>
      <c r="O619">
        <v>1</v>
      </c>
      <c r="P619" s="6">
        <v>171.23</v>
      </c>
      <c r="Q619">
        <v>8.56</v>
      </c>
      <c r="R619">
        <v>162.66999999999999</v>
      </c>
      <c r="S619">
        <v>8.1300000000000008</v>
      </c>
      <c r="T619">
        <v>30</v>
      </c>
      <c r="U619">
        <v>10</v>
      </c>
      <c r="V619">
        <v>210.8</v>
      </c>
      <c r="W619" t="s">
        <v>27</v>
      </c>
      <c r="X619">
        <v>15</v>
      </c>
    </row>
    <row r="620" spans="1:24" ht="14.25" customHeight="1">
      <c r="A620" t="s">
        <v>1368</v>
      </c>
      <c r="B620" t="s">
        <v>2304</v>
      </c>
      <c r="C620" s="6" t="str">
        <f t="shared" si="28"/>
        <v>January</v>
      </c>
      <c r="D620" s="6" t="str">
        <f t="shared" si="29"/>
        <v>26</v>
      </c>
      <c r="E620" t="s">
        <v>119</v>
      </c>
      <c r="F620" t="s">
        <v>21</v>
      </c>
      <c r="G620" t="s">
        <v>22</v>
      </c>
      <c r="H620" s="4" t="s">
        <v>2257</v>
      </c>
      <c r="I620">
        <v>244771</v>
      </c>
      <c r="J620" s="8" t="s">
        <v>30</v>
      </c>
      <c r="K620" t="s">
        <v>120</v>
      </c>
      <c r="L620" t="s">
        <v>121</v>
      </c>
      <c r="M620" t="s">
        <v>140</v>
      </c>
      <c r="N620">
        <f t="shared" si="30"/>
        <v>3</v>
      </c>
      <c r="O620">
        <v>6</v>
      </c>
      <c r="P620" s="6">
        <v>96.98</v>
      </c>
      <c r="Q620">
        <v>4.8499999999999996</v>
      </c>
      <c r="R620">
        <v>577.03</v>
      </c>
      <c r="S620">
        <v>28.85</v>
      </c>
      <c r="T620">
        <v>0</v>
      </c>
      <c r="U620">
        <v>15</v>
      </c>
      <c r="V620">
        <v>620.88</v>
      </c>
      <c r="W620" t="s">
        <v>27</v>
      </c>
      <c r="X620">
        <v>34</v>
      </c>
    </row>
    <row r="621" spans="1:24" ht="14.25" customHeight="1">
      <c r="A621" t="s">
        <v>1369</v>
      </c>
      <c r="B621" t="s">
        <v>2313</v>
      </c>
      <c r="C621" s="6" t="str">
        <f t="shared" si="28"/>
        <v>February</v>
      </c>
      <c r="D621" s="6" t="str">
        <f t="shared" si="29"/>
        <v>17</v>
      </c>
      <c r="E621" t="s">
        <v>123</v>
      </c>
      <c r="F621" t="s">
        <v>21</v>
      </c>
      <c r="G621" t="s">
        <v>37</v>
      </c>
      <c r="H621" s="4" t="s">
        <v>2257</v>
      </c>
      <c r="I621">
        <v>390951</v>
      </c>
      <c r="J621" s="8" t="s">
        <v>2345</v>
      </c>
      <c r="K621" t="s">
        <v>124</v>
      </c>
      <c r="L621" t="s">
        <v>125</v>
      </c>
      <c r="M621" t="s">
        <v>98</v>
      </c>
      <c r="N621">
        <f t="shared" si="30"/>
        <v>4</v>
      </c>
      <c r="O621">
        <v>5</v>
      </c>
      <c r="P621" s="6">
        <v>53.62</v>
      </c>
      <c r="Q621">
        <v>0</v>
      </c>
      <c r="R621">
        <v>268.10000000000002</v>
      </c>
      <c r="S621">
        <v>13.4</v>
      </c>
      <c r="T621">
        <v>30</v>
      </c>
      <c r="U621">
        <v>15</v>
      </c>
      <c r="V621">
        <v>326.49999999999989</v>
      </c>
      <c r="W621" t="s">
        <v>27</v>
      </c>
      <c r="X621">
        <v>41</v>
      </c>
    </row>
    <row r="622" spans="1:24" ht="14.25" customHeight="1">
      <c r="A622" t="s">
        <v>1370</v>
      </c>
      <c r="B622" t="s">
        <v>2268</v>
      </c>
      <c r="C622" s="6" t="str">
        <f t="shared" si="28"/>
        <v>January</v>
      </c>
      <c r="D622" s="6" t="str">
        <f t="shared" si="29"/>
        <v>21</v>
      </c>
      <c r="E622" t="s">
        <v>127</v>
      </c>
      <c r="F622" t="s">
        <v>21</v>
      </c>
      <c r="G622" t="s">
        <v>22</v>
      </c>
      <c r="H622" s="4" t="s">
        <v>2257</v>
      </c>
      <c r="I622">
        <v>365702</v>
      </c>
      <c r="J622" s="8" t="s">
        <v>2349</v>
      </c>
      <c r="K622" t="s">
        <v>128</v>
      </c>
      <c r="L622" t="s">
        <v>129</v>
      </c>
      <c r="M622" t="s">
        <v>130</v>
      </c>
      <c r="N622">
        <f t="shared" si="30"/>
        <v>7</v>
      </c>
      <c r="O622">
        <v>2</v>
      </c>
      <c r="P622" s="6">
        <v>69.83</v>
      </c>
      <c r="Q622">
        <v>0</v>
      </c>
      <c r="R622">
        <v>139.66</v>
      </c>
      <c r="S622">
        <v>6.98</v>
      </c>
      <c r="T622">
        <v>30</v>
      </c>
      <c r="U622">
        <v>5</v>
      </c>
      <c r="V622">
        <v>181.64</v>
      </c>
      <c r="W622" t="s">
        <v>27</v>
      </c>
      <c r="X622">
        <v>6</v>
      </c>
    </row>
    <row r="623" spans="1:24" ht="14.25" customHeight="1">
      <c r="A623" t="s">
        <v>1371</v>
      </c>
      <c r="B623" t="s">
        <v>2262</v>
      </c>
      <c r="C623" s="6" t="str">
        <f t="shared" si="28"/>
        <v>February</v>
      </c>
      <c r="D623" s="6" t="str">
        <f t="shared" si="29"/>
        <v>08</v>
      </c>
      <c r="E623" t="s">
        <v>132</v>
      </c>
      <c r="F623" t="s">
        <v>21</v>
      </c>
      <c r="G623" t="s">
        <v>37</v>
      </c>
      <c r="H623" s="4" t="s">
        <v>2257</v>
      </c>
      <c r="I623">
        <v>158219</v>
      </c>
      <c r="J623" s="8" t="s">
        <v>2345</v>
      </c>
      <c r="K623" t="s">
        <v>133</v>
      </c>
      <c r="L623" t="s">
        <v>134</v>
      </c>
      <c r="M623" t="s">
        <v>33</v>
      </c>
      <c r="N623">
        <f t="shared" si="30"/>
        <v>10</v>
      </c>
      <c r="O623">
        <v>2</v>
      </c>
      <c r="P623" s="6">
        <v>41.87</v>
      </c>
      <c r="Q623">
        <v>2.09</v>
      </c>
      <c r="R623">
        <v>81.649999999999991</v>
      </c>
      <c r="S623">
        <v>4.08</v>
      </c>
      <c r="T623">
        <v>0</v>
      </c>
      <c r="U623">
        <v>0</v>
      </c>
      <c r="V623">
        <v>85.72999999999999</v>
      </c>
      <c r="W623" t="s">
        <v>84</v>
      </c>
      <c r="X623">
        <v>25</v>
      </c>
    </row>
    <row r="624" spans="1:24" ht="14.25" customHeight="1">
      <c r="A624" t="s">
        <v>1372</v>
      </c>
      <c r="B624" t="s">
        <v>2275</v>
      </c>
      <c r="C624" s="6" t="str">
        <f t="shared" si="28"/>
        <v>February</v>
      </c>
      <c r="D624" s="6" t="str">
        <f t="shared" si="29"/>
        <v>05</v>
      </c>
      <c r="E624" t="s">
        <v>137</v>
      </c>
      <c r="F624" t="s">
        <v>21</v>
      </c>
      <c r="G624" t="s">
        <v>106</v>
      </c>
      <c r="H624" s="4" t="s">
        <v>2257</v>
      </c>
      <c r="I624">
        <v>652165</v>
      </c>
      <c r="J624" s="8" t="s">
        <v>2347</v>
      </c>
      <c r="K624" t="s">
        <v>138</v>
      </c>
      <c r="L624" t="s">
        <v>139</v>
      </c>
      <c r="M624" t="s">
        <v>98</v>
      </c>
      <c r="N624">
        <f t="shared" si="30"/>
        <v>4</v>
      </c>
      <c r="O624">
        <v>3</v>
      </c>
      <c r="P624" s="6">
        <v>127.76</v>
      </c>
      <c r="Q624">
        <v>19.16</v>
      </c>
      <c r="R624">
        <v>364.12</v>
      </c>
      <c r="S624">
        <v>18.21</v>
      </c>
      <c r="T624">
        <v>30</v>
      </c>
      <c r="U624">
        <v>5</v>
      </c>
      <c r="V624">
        <v>417.33</v>
      </c>
      <c r="W624" t="s">
        <v>27</v>
      </c>
      <c r="X624">
        <v>11</v>
      </c>
    </row>
    <row r="625" spans="1:24" ht="14.25" customHeight="1">
      <c r="A625" t="s">
        <v>1373</v>
      </c>
      <c r="B625" t="s">
        <v>2284</v>
      </c>
      <c r="C625" s="6" t="str">
        <f t="shared" si="28"/>
        <v>February</v>
      </c>
      <c r="D625" s="6" t="str">
        <f t="shared" si="29"/>
        <v>02</v>
      </c>
      <c r="E625" t="s">
        <v>142</v>
      </c>
      <c r="F625" t="s">
        <v>80</v>
      </c>
      <c r="G625" t="s">
        <v>81</v>
      </c>
      <c r="H625" s="4" t="s">
        <v>2257</v>
      </c>
      <c r="I625">
        <v>247878</v>
      </c>
      <c r="J625" s="8" t="s">
        <v>30</v>
      </c>
      <c r="K625" t="s">
        <v>143</v>
      </c>
      <c r="L625" t="s">
        <v>144</v>
      </c>
      <c r="M625" t="s">
        <v>71</v>
      </c>
      <c r="N625">
        <f t="shared" si="30"/>
        <v>6</v>
      </c>
      <c r="O625">
        <v>6</v>
      </c>
      <c r="P625" s="6">
        <v>11.67</v>
      </c>
      <c r="Q625">
        <v>0</v>
      </c>
      <c r="R625">
        <v>70.02</v>
      </c>
      <c r="S625">
        <v>3.5</v>
      </c>
      <c r="T625">
        <v>10</v>
      </c>
      <c r="U625">
        <v>0</v>
      </c>
      <c r="V625">
        <v>83.52</v>
      </c>
      <c r="W625" t="s">
        <v>27</v>
      </c>
      <c r="X625">
        <v>38</v>
      </c>
    </row>
    <row r="626" spans="1:24" ht="14.25" customHeight="1">
      <c r="A626" t="s">
        <v>1374</v>
      </c>
      <c r="B626" t="s">
        <v>2281</v>
      </c>
      <c r="C626" s="6" t="str">
        <f t="shared" si="28"/>
        <v>January</v>
      </c>
      <c r="D626" s="6" t="str">
        <f t="shared" si="29"/>
        <v>30</v>
      </c>
      <c r="E626" t="s">
        <v>146</v>
      </c>
      <c r="F626" t="s">
        <v>80</v>
      </c>
      <c r="G626" t="s">
        <v>81</v>
      </c>
      <c r="H626" s="4" t="s">
        <v>2257</v>
      </c>
      <c r="I626">
        <v>927679</v>
      </c>
      <c r="J626" s="8" t="s">
        <v>2349</v>
      </c>
      <c r="K626" t="s">
        <v>147</v>
      </c>
      <c r="L626" t="s">
        <v>148</v>
      </c>
      <c r="M626" t="s">
        <v>40</v>
      </c>
      <c r="N626">
        <f t="shared" si="30"/>
        <v>6</v>
      </c>
      <c r="O626">
        <v>3</v>
      </c>
      <c r="P626" s="6">
        <v>104.61</v>
      </c>
      <c r="Q626">
        <v>10.46</v>
      </c>
      <c r="R626">
        <v>303.37</v>
      </c>
      <c r="S626">
        <v>15.17</v>
      </c>
      <c r="T626">
        <v>0</v>
      </c>
      <c r="U626">
        <v>5</v>
      </c>
      <c r="V626">
        <v>323.54000000000002</v>
      </c>
      <c r="W626" t="s">
        <v>27</v>
      </c>
      <c r="X626">
        <v>27</v>
      </c>
    </row>
    <row r="627" spans="1:24" ht="14.25" customHeight="1">
      <c r="A627" t="s">
        <v>1375</v>
      </c>
      <c r="B627" t="s">
        <v>2297</v>
      </c>
      <c r="C627" s="6" t="str">
        <f t="shared" si="28"/>
        <v>February</v>
      </c>
      <c r="D627" s="6" t="str">
        <f t="shared" si="29"/>
        <v>06</v>
      </c>
      <c r="E627" t="s">
        <v>150</v>
      </c>
      <c r="F627" t="s">
        <v>21</v>
      </c>
      <c r="G627" t="s">
        <v>68</v>
      </c>
      <c r="H627" s="4" t="s">
        <v>2257</v>
      </c>
      <c r="I627">
        <v>870655</v>
      </c>
      <c r="J627" s="8" t="s">
        <v>2349</v>
      </c>
      <c r="K627" t="s">
        <v>151</v>
      </c>
      <c r="L627" t="s">
        <v>152</v>
      </c>
      <c r="M627" t="s">
        <v>33</v>
      </c>
      <c r="N627">
        <f t="shared" si="30"/>
        <v>10</v>
      </c>
      <c r="O627">
        <v>5</v>
      </c>
      <c r="P627" s="6">
        <v>75.52</v>
      </c>
      <c r="Q627">
        <v>0</v>
      </c>
      <c r="R627">
        <v>377.6</v>
      </c>
      <c r="S627">
        <v>18.88</v>
      </c>
      <c r="T627">
        <v>10</v>
      </c>
      <c r="U627">
        <v>0</v>
      </c>
      <c r="V627">
        <v>406.48</v>
      </c>
      <c r="W627" t="s">
        <v>27</v>
      </c>
      <c r="X627">
        <v>41</v>
      </c>
    </row>
    <row r="628" spans="1:24" ht="14.25" customHeight="1">
      <c r="A628" t="s">
        <v>1376</v>
      </c>
      <c r="B628" t="s">
        <v>2271</v>
      </c>
      <c r="C628" s="6" t="str">
        <f t="shared" si="28"/>
        <v>January</v>
      </c>
      <c r="D628" s="6" t="str">
        <f t="shared" si="29"/>
        <v>23</v>
      </c>
      <c r="E628" t="s">
        <v>154</v>
      </c>
      <c r="F628" t="s">
        <v>101</v>
      </c>
      <c r="G628" t="s">
        <v>81</v>
      </c>
      <c r="H628" s="4" t="s">
        <v>2257</v>
      </c>
      <c r="I628">
        <v>211426</v>
      </c>
      <c r="J628" s="8" t="s">
        <v>2349</v>
      </c>
      <c r="K628" t="s">
        <v>155</v>
      </c>
      <c r="L628" t="s">
        <v>156</v>
      </c>
      <c r="M628" t="s">
        <v>135</v>
      </c>
      <c r="N628">
        <f t="shared" si="30"/>
        <v>9</v>
      </c>
      <c r="O628">
        <v>4</v>
      </c>
      <c r="P628" s="6">
        <v>77.069999999999993</v>
      </c>
      <c r="Q628">
        <v>0</v>
      </c>
      <c r="R628">
        <v>308.27999999999997</v>
      </c>
      <c r="S628">
        <v>15.41</v>
      </c>
      <c r="T628">
        <v>30</v>
      </c>
      <c r="U628">
        <v>20</v>
      </c>
      <c r="V628">
        <v>373.69</v>
      </c>
      <c r="W628" t="s">
        <v>27</v>
      </c>
      <c r="X628">
        <v>13</v>
      </c>
    </row>
    <row r="629" spans="1:24" ht="14.25" customHeight="1">
      <c r="A629" t="s">
        <v>1377</v>
      </c>
      <c r="B629" t="s">
        <v>2269</v>
      </c>
      <c r="C629" s="6" t="str">
        <f t="shared" si="28"/>
        <v>February</v>
      </c>
      <c r="D629" s="6" t="str">
        <f t="shared" si="29"/>
        <v>27</v>
      </c>
      <c r="E629" t="s">
        <v>158</v>
      </c>
      <c r="F629" t="s">
        <v>21</v>
      </c>
      <c r="G629" t="s">
        <v>37</v>
      </c>
      <c r="H629" s="4" t="s">
        <v>2257</v>
      </c>
      <c r="I629">
        <v>834595</v>
      </c>
      <c r="J629" s="8" t="s">
        <v>2347</v>
      </c>
      <c r="K629" t="s">
        <v>159</v>
      </c>
      <c r="L629" t="s">
        <v>160</v>
      </c>
      <c r="M629" t="s">
        <v>40</v>
      </c>
      <c r="N629">
        <f t="shared" si="30"/>
        <v>6</v>
      </c>
      <c r="O629">
        <v>7</v>
      </c>
      <c r="P629" s="6">
        <v>130.47</v>
      </c>
      <c r="Q629">
        <v>13.05</v>
      </c>
      <c r="R629">
        <v>900.24</v>
      </c>
      <c r="S629">
        <v>45.01</v>
      </c>
      <c r="T629">
        <v>10</v>
      </c>
      <c r="U629">
        <v>15</v>
      </c>
      <c r="V629">
        <v>970.25</v>
      </c>
      <c r="W629" t="s">
        <v>27</v>
      </c>
      <c r="X629">
        <v>16</v>
      </c>
    </row>
    <row r="630" spans="1:24" ht="14.25" customHeight="1">
      <c r="A630" t="s">
        <v>1378</v>
      </c>
      <c r="B630" t="s">
        <v>2311</v>
      </c>
      <c r="C630" s="6" t="str">
        <f t="shared" si="28"/>
        <v>January</v>
      </c>
      <c r="D630" s="6" t="str">
        <f t="shared" si="29"/>
        <v>10</v>
      </c>
      <c r="E630" t="s">
        <v>162</v>
      </c>
      <c r="F630" t="s">
        <v>21</v>
      </c>
      <c r="G630" t="s">
        <v>106</v>
      </c>
      <c r="H630" s="4" t="s">
        <v>2257</v>
      </c>
      <c r="I630">
        <v>936309</v>
      </c>
      <c r="J630" s="8" t="s">
        <v>2348</v>
      </c>
      <c r="K630" t="s">
        <v>163</v>
      </c>
      <c r="L630" t="s">
        <v>164</v>
      </c>
      <c r="M630" t="s">
        <v>89</v>
      </c>
      <c r="N630">
        <f t="shared" si="30"/>
        <v>7</v>
      </c>
      <c r="O630">
        <v>3</v>
      </c>
      <c r="P630" s="6">
        <v>135.97</v>
      </c>
      <c r="Q630">
        <v>20.399999999999999</v>
      </c>
      <c r="R630">
        <v>387.51</v>
      </c>
      <c r="S630">
        <v>19.38</v>
      </c>
      <c r="T630">
        <v>0</v>
      </c>
      <c r="U630">
        <v>5</v>
      </c>
      <c r="V630">
        <v>411.89</v>
      </c>
      <c r="W630" t="s">
        <v>27</v>
      </c>
      <c r="X630">
        <v>25</v>
      </c>
    </row>
    <row r="631" spans="1:24" ht="14.25" customHeight="1">
      <c r="A631" t="s">
        <v>1379</v>
      </c>
      <c r="B631" t="s">
        <v>2309</v>
      </c>
      <c r="C631" s="6" t="str">
        <f t="shared" si="28"/>
        <v>February</v>
      </c>
      <c r="D631" s="6" t="str">
        <f t="shared" si="29"/>
        <v>23</v>
      </c>
      <c r="E631" t="s">
        <v>166</v>
      </c>
      <c r="F631" t="s">
        <v>21</v>
      </c>
      <c r="G631" t="s">
        <v>22</v>
      </c>
      <c r="H631" s="4" t="s">
        <v>2257</v>
      </c>
      <c r="I631">
        <v>382579</v>
      </c>
      <c r="J631" s="8" t="s">
        <v>62</v>
      </c>
      <c r="K631" t="s">
        <v>167</v>
      </c>
      <c r="L631" t="s">
        <v>168</v>
      </c>
      <c r="M631" t="s">
        <v>33</v>
      </c>
      <c r="N631">
        <f t="shared" si="30"/>
        <v>10</v>
      </c>
      <c r="O631">
        <v>2</v>
      </c>
      <c r="P631" s="6">
        <v>146.09</v>
      </c>
      <c r="Q631">
        <v>21.91</v>
      </c>
      <c r="R631">
        <v>270.27</v>
      </c>
      <c r="S631">
        <v>13.51</v>
      </c>
      <c r="T631">
        <v>20</v>
      </c>
      <c r="U631">
        <v>20</v>
      </c>
      <c r="V631">
        <v>323.77999999999997</v>
      </c>
      <c r="W631" t="s">
        <v>27</v>
      </c>
      <c r="X631">
        <v>21</v>
      </c>
    </row>
    <row r="632" spans="1:24" ht="14.25" customHeight="1">
      <c r="A632" t="s">
        <v>1380</v>
      </c>
      <c r="B632" t="s">
        <v>2317</v>
      </c>
      <c r="C632" s="6" t="str">
        <f t="shared" si="28"/>
        <v>January</v>
      </c>
      <c r="D632" s="6" t="str">
        <f t="shared" si="29"/>
        <v>05</v>
      </c>
      <c r="E632" t="s">
        <v>170</v>
      </c>
      <c r="F632" t="s">
        <v>101</v>
      </c>
      <c r="G632" t="s">
        <v>81</v>
      </c>
      <c r="H632" s="4" t="s">
        <v>2257</v>
      </c>
      <c r="I632">
        <v>425137</v>
      </c>
      <c r="J632" s="8" t="s">
        <v>2348</v>
      </c>
      <c r="K632" t="s">
        <v>171</v>
      </c>
      <c r="L632" t="s">
        <v>172</v>
      </c>
      <c r="M632" t="s">
        <v>45</v>
      </c>
      <c r="N632">
        <f t="shared" si="30"/>
        <v>6</v>
      </c>
      <c r="O632">
        <v>3</v>
      </c>
      <c r="P632" s="6">
        <v>215.43</v>
      </c>
      <c r="Q632">
        <v>10.77</v>
      </c>
      <c r="R632">
        <v>635.52</v>
      </c>
      <c r="S632">
        <v>31.78</v>
      </c>
      <c r="T632">
        <v>0</v>
      </c>
      <c r="U632">
        <v>0</v>
      </c>
      <c r="V632">
        <v>667.3</v>
      </c>
      <c r="W632" t="s">
        <v>27</v>
      </c>
      <c r="X632">
        <v>5</v>
      </c>
    </row>
    <row r="633" spans="1:24" ht="14.25" customHeight="1">
      <c r="A633" t="s">
        <v>1381</v>
      </c>
      <c r="B633" t="s">
        <v>2275</v>
      </c>
      <c r="C633" s="6" t="str">
        <f t="shared" si="28"/>
        <v>February</v>
      </c>
      <c r="D633" s="6" t="str">
        <f t="shared" si="29"/>
        <v>05</v>
      </c>
      <c r="E633" t="s">
        <v>174</v>
      </c>
      <c r="F633" t="s">
        <v>101</v>
      </c>
      <c r="G633" t="s">
        <v>81</v>
      </c>
      <c r="H633" s="4" t="s">
        <v>2257</v>
      </c>
      <c r="I633">
        <v>834276</v>
      </c>
      <c r="J633" s="8" t="s">
        <v>2345</v>
      </c>
      <c r="K633" t="s">
        <v>175</v>
      </c>
      <c r="L633" t="s">
        <v>176</v>
      </c>
      <c r="M633" t="s">
        <v>40</v>
      </c>
      <c r="N633">
        <f t="shared" si="30"/>
        <v>6</v>
      </c>
      <c r="O633">
        <v>1</v>
      </c>
      <c r="P633" s="6">
        <v>29.71</v>
      </c>
      <c r="Q633">
        <v>1.49</v>
      </c>
      <c r="R633">
        <v>28.22</v>
      </c>
      <c r="S633">
        <v>1.41</v>
      </c>
      <c r="T633">
        <v>30</v>
      </c>
      <c r="U633">
        <v>0</v>
      </c>
      <c r="V633">
        <v>59.63</v>
      </c>
      <c r="W633" t="s">
        <v>27</v>
      </c>
      <c r="X633">
        <v>26</v>
      </c>
    </row>
    <row r="634" spans="1:24" ht="14.25" customHeight="1">
      <c r="A634" t="s">
        <v>1382</v>
      </c>
      <c r="B634" t="s">
        <v>2310</v>
      </c>
      <c r="C634" s="6" t="str">
        <f t="shared" si="28"/>
        <v>February</v>
      </c>
      <c r="D634" s="6" t="str">
        <f t="shared" si="29"/>
        <v>03</v>
      </c>
      <c r="E634" t="s">
        <v>179</v>
      </c>
      <c r="F634" t="s">
        <v>80</v>
      </c>
      <c r="G634" t="s">
        <v>81</v>
      </c>
      <c r="H634" s="4" t="s">
        <v>2257</v>
      </c>
      <c r="I634">
        <v>856079</v>
      </c>
      <c r="J634" s="8" t="s">
        <v>2345</v>
      </c>
      <c r="K634" t="s">
        <v>180</v>
      </c>
      <c r="L634" t="s">
        <v>181</v>
      </c>
      <c r="M634" t="s">
        <v>89</v>
      </c>
      <c r="N634">
        <f t="shared" si="30"/>
        <v>7</v>
      </c>
      <c r="O634">
        <v>1</v>
      </c>
      <c r="P634" s="6">
        <v>133.28</v>
      </c>
      <c r="Q634">
        <v>19.989999999999998</v>
      </c>
      <c r="R634">
        <v>113.29</v>
      </c>
      <c r="S634">
        <v>5.66</v>
      </c>
      <c r="T634">
        <v>30</v>
      </c>
      <c r="U634">
        <v>10</v>
      </c>
      <c r="V634">
        <v>158.94999999999999</v>
      </c>
      <c r="W634" t="s">
        <v>84</v>
      </c>
      <c r="X634">
        <v>25</v>
      </c>
    </row>
    <row r="635" spans="1:24" ht="14.25" customHeight="1">
      <c r="A635" t="s">
        <v>1383</v>
      </c>
      <c r="B635" t="s">
        <v>2263</v>
      </c>
      <c r="C635" s="6" t="str">
        <f t="shared" si="28"/>
        <v>February</v>
      </c>
      <c r="D635" s="6" t="str">
        <f t="shared" si="29"/>
        <v>21</v>
      </c>
      <c r="E635" t="s">
        <v>183</v>
      </c>
      <c r="F635" t="s">
        <v>21</v>
      </c>
      <c r="G635" t="s">
        <v>37</v>
      </c>
      <c r="H635" s="4" t="s">
        <v>2257</v>
      </c>
      <c r="I635">
        <v>715416</v>
      </c>
      <c r="J635" s="8" t="s">
        <v>62</v>
      </c>
      <c r="K635" t="s">
        <v>184</v>
      </c>
      <c r="L635" t="s">
        <v>185</v>
      </c>
      <c r="M635" t="s">
        <v>50</v>
      </c>
      <c r="N635">
        <f t="shared" si="30"/>
        <v>5</v>
      </c>
      <c r="O635">
        <v>3</v>
      </c>
      <c r="P635" s="6">
        <v>146.59</v>
      </c>
      <c r="Q635">
        <v>21.99</v>
      </c>
      <c r="R635">
        <v>417.78</v>
      </c>
      <c r="S635">
        <v>20.89</v>
      </c>
      <c r="T635">
        <v>10</v>
      </c>
      <c r="U635">
        <v>20</v>
      </c>
      <c r="V635">
        <v>468.67</v>
      </c>
      <c r="W635" t="s">
        <v>27</v>
      </c>
      <c r="X635">
        <v>3</v>
      </c>
    </row>
    <row r="636" spans="1:24" ht="14.25" customHeight="1">
      <c r="A636" t="s">
        <v>1384</v>
      </c>
      <c r="B636" t="s">
        <v>2312</v>
      </c>
      <c r="C636" s="6" t="str">
        <f t="shared" si="28"/>
        <v>January</v>
      </c>
      <c r="D636" s="6" t="str">
        <f t="shared" si="29"/>
        <v>31</v>
      </c>
      <c r="E636" t="s">
        <v>187</v>
      </c>
      <c r="F636" t="s">
        <v>21</v>
      </c>
      <c r="G636" t="s">
        <v>74</v>
      </c>
      <c r="H636" s="4" t="s">
        <v>2257</v>
      </c>
      <c r="I636">
        <v>831234</v>
      </c>
      <c r="J636" s="8" t="s">
        <v>30</v>
      </c>
      <c r="K636" t="s">
        <v>188</v>
      </c>
      <c r="L636" t="s">
        <v>189</v>
      </c>
      <c r="M636" t="s">
        <v>135</v>
      </c>
      <c r="N636">
        <f t="shared" si="30"/>
        <v>9</v>
      </c>
      <c r="O636">
        <v>2</v>
      </c>
      <c r="P636" s="6">
        <v>48.94</v>
      </c>
      <c r="Q636">
        <v>0</v>
      </c>
      <c r="R636">
        <v>97.88</v>
      </c>
      <c r="S636">
        <v>4.8899999999999997</v>
      </c>
      <c r="T636">
        <v>30</v>
      </c>
      <c r="U636">
        <v>15</v>
      </c>
      <c r="V636">
        <v>147.77000000000001</v>
      </c>
      <c r="W636" t="s">
        <v>27</v>
      </c>
      <c r="X636">
        <v>26</v>
      </c>
    </row>
    <row r="637" spans="1:24" ht="14.25" customHeight="1">
      <c r="A637" t="s">
        <v>1385</v>
      </c>
      <c r="B637" t="s">
        <v>2311</v>
      </c>
      <c r="C637" s="6" t="str">
        <f t="shared" si="28"/>
        <v>January</v>
      </c>
      <c r="D637" s="6" t="str">
        <f t="shared" si="29"/>
        <v>10</v>
      </c>
      <c r="E637" t="s">
        <v>191</v>
      </c>
      <c r="F637" t="s">
        <v>101</v>
      </c>
      <c r="G637" t="s">
        <v>81</v>
      </c>
      <c r="H637" s="4" t="s">
        <v>2257</v>
      </c>
      <c r="I637">
        <v>448844</v>
      </c>
      <c r="J637" s="8" t="s">
        <v>2349</v>
      </c>
      <c r="K637" t="s">
        <v>192</v>
      </c>
      <c r="L637" t="s">
        <v>193</v>
      </c>
      <c r="M637" t="s">
        <v>98</v>
      </c>
      <c r="N637">
        <f t="shared" si="30"/>
        <v>4</v>
      </c>
      <c r="O637">
        <v>4</v>
      </c>
      <c r="P637" s="6">
        <v>105.65</v>
      </c>
      <c r="Q637">
        <v>10.57</v>
      </c>
      <c r="R637">
        <v>412.03</v>
      </c>
      <c r="S637">
        <v>20.6</v>
      </c>
      <c r="T637">
        <v>10</v>
      </c>
      <c r="U637">
        <v>15</v>
      </c>
      <c r="V637">
        <v>457.63000000000011</v>
      </c>
      <c r="W637" t="s">
        <v>27</v>
      </c>
      <c r="X637">
        <v>19</v>
      </c>
    </row>
    <row r="638" spans="1:24" ht="14.25" customHeight="1">
      <c r="A638" t="s">
        <v>1386</v>
      </c>
      <c r="B638" t="s">
        <v>2269</v>
      </c>
      <c r="C638" s="6" t="str">
        <f t="shared" si="28"/>
        <v>February</v>
      </c>
      <c r="D638" s="6" t="str">
        <f t="shared" si="29"/>
        <v>27</v>
      </c>
      <c r="E638" t="s">
        <v>195</v>
      </c>
      <c r="F638" t="s">
        <v>21</v>
      </c>
      <c r="G638" t="s">
        <v>68</v>
      </c>
      <c r="H638" s="4" t="s">
        <v>2257</v>
      </c>
      <c r="I638">
        <v>465898</v>
      </c>
      <c r="J638" s="8" t="s">
        <v>2348</v>
      </c>
      <c r="K638" t="s">
        <v>196</v>
      </c>
      <c r="L638" t="s">
        <v>197</v>
      </c>
      <c r="M638" t="s">
        <v>98</v>
      </c>
      <c r="N638">
        <f t="shared" si="30"/>
        <v>4</v>
      </c>
      <c r="O638">
        <v>1</v>
      </c>
      <c r="P638" s="6">
        <v>209.66</v>
      </c>
      <c r="Q638">
        <v>0</v>
      </c>
      <c r="R638">
        <v>209.66</v>
      </c>
      <c r="S638">
        <v>10.48</v>
      </c>
      <c r="T638">
        <v>30</v>
      </c>
      <c r="U638">
        <v>5</v>
      </c>
      <c r="V638">
        <v>255.14</v>
      </c>
      <c r="W638" t="s">
        <v>117</v>
      </c>
      <c r="X638">
        <v>25</v>
      </c>
    </row>
    <row r="639" spans="1:24" ht="14.25" customHeight="1">
      <c r="A639" t="s">
        <v>1387</v>
      </c>
      <c r="B639" t="s">
        <v>2270</v>
      </c>
      <c r="C639" s="6" t="str">
        <f t="shared" si="28"/>
        <v>January</v>
      </c>
      <c r="D639" s="6" t="str">
        <f t="shared" si="29"/>
        <v>19</v>
      </c>
      <c r="E639" t="s">
        <v>199</v>
      </c>
      <c r="F639" t="s">
        <v>21</v>
      </c>
      <c r="G639" t="s">
        <v>68</v>
      </c>
      <c r="H639" s="4" t="s">
        <v>2257</v>
      </c>
      <c r="I639">
        <v>477844</v>
      </c>
      <c r="J639" s="8" t="s">
        <v>30</v>
      </c>
      <c r="K639" t="s">
        <v>200</v>
      </c>
      <c r="L639" t="s">
        <v>201</v>
      </c>
      <c r="M639" t="s">
        <v>140</v>
      </c>
      <c r="N639">
        <f t="shared" si="30"/>
        <v>3</v>
      </c>
      <c r="O639">
        <v>3</v>
      </c>
      <c r="P639" s="6">
        <v>67.8</v>
      </c>
      <c r="Q639">
        <v>6.78</v>
      </c>
      <c r="R639">
        <v>196.62</v>
      </c>
      <c r="S639">
        <v>9.83</v>
      </c>
      <c r="T639">
        <v>10</v>
      </c>
      <c r="U639">
        <v>0</v>
      </c>
      <c r="V639">
        <v>216.45</v>
      </c>
      <c r="W639" t="s">
        <v>27</v>
      </c>
      <c r="X639">
        <v>18</v>
      </c>
    </row>
    <row r="640" spans="1:24" ht="14.25" customHeight="1">
      <c r="A640" t="s">
        <v>1388</v>
      </c>
      <c r="B640" t="s">
        <v>2269</v>
      </c>
      <c r="C640" s="6" t="str">
        <f t="shared" si="28"/>
        <v>February</v>
      </c>
      <c r="D640" s="6" t="str">
        <f t="shared" si="29"/>
        <v>27</v>
      </c>
      <c r="E640" t="s">
        <v>203</v>
      </c>
      <c r="F640" t="s">
        <v>21</v>
      </c>
      <c r="G640" t="s">
        <v>106</v>
      </c>
      <c r="H640" s="4" t="s">
        <v>2257</v>
      </c>
      <c r="I640">
        <v>327203</v>
      </c>
      <c r="J640" s="8" t="s">
        <v>62</v>
      </c>
      <c r="K640" t="s">
        <v>204</v>
      </c>
      <c r="L640" t="s">
        <v>205</v>
      </c>
      <c r="M640" t="s">
        <v>77</v>
      </c>
      <c r="N640">
        <f t="shared" si="30"/>
        <v>5</v>
      </c>
      <c r="O640">
        <v>2</v>
      </c>
      <c r="P640" s="6">
        <v>74.47</v>
      </c>
      <c r="Q640">
        <v>0</v>
      </c>
      <c r="R640">
        <v>148.94</v>
      </c>
      <c r="S640">
        <v>7.45</v>
      </c>
      <c r="T640">
        <v>20</v>
      </c>
      <c r="U640">
        <v>5</v>
      </c>
      <c r="V640">
        <v>181.39</v>
      </c>
      <c r="W640" t="s">
        <v>27</v>
      </c>
      <c r="X640">
        <v>23</v>
      </c>
    </row>
    <row r="641" spans="1:24" ht="14.25" customHeight="1">
      <c r="A641" t="s">
        <v>1389</v>
      </c>
      <c r="B641" t="s">
        <v>2319</v>
      </c>
      <c r="C641" s="6" t="str">
        <f t="shared" si="28"/>
        <v>February</v>
      </c>
      <c r="D641" s="6" t="str">
        <f t="shared" si="29"/>
        <v>01</v>
      </c>
      <c r="E641" t="s">
        <v>207</v>
      </c>
      <c r="F641" t="s">
        <v>21</v>
      </c>
      <c r="G641" t="s">
        <v>68</v>
      </c>
      <c r="H641" s="4" t="s">
        <v>2257</v>
      </c>
      <c r="I641">
        <v>760046</v>
      </c>
      <c r="J641" s="8" t="s">
        <v>30</v>
      </c>
      <c r="K641" t="s">
        <v>208</v>
      </c>
      <c r="L641" t="s">
        <v>209</v>
      </c>
      <c r="M641" t="s">
        <v>65</v>
      </c>
      <c r="N641">
        <f t="shared" si="30"/>
        <v>6</v>
      </c>
      <c r="O641">
        <v>3</v>
      </c>
      <c r="P641" s="6">
        <v>147.21</v>
      </c>
      <c r="Q641">
        <v>0</v>
      </c>
      <c r="R641">
        <v>441.63</v>
      </c>
      <c r="S641">
        <v>22.08</v>
      </c>
      <c r="T641">
        <v>0</v>
      </c>
      <c r="U641">
        <v>10</v>
      </c>
      <c r="V641">
        <v>473.71</v>
      </c>
      <c r="W641" t="s">
        <v>27</v>
      </c>
      <c r="X641">
        <v>15</v>
      </c>
    </row>
    <row r="642" spans="1:24" ht="14.25" customHeight="1">
      <c r="A642" t="s">
        <v>1390</v>
      </c>
      <c r="B642" t="s">
        <v>2316</v>
      </c>
      <c r="C642" s="6" t="str">
        <f t="shared" si="28"/>
        <v>January</v>
      </c>
      <c r="D642" s="6" t="str">
        <f t="shared" si="29"/>
        <v>01</v>
      </c>
      <c r="E642" t="s">
        <v>211</v>
      </c>
      <c r="F642" t="s">
        <v>21</v>
      </c>
      <c r="G642" t="s">
        <v>37</v>
      </c>
      <c r="H642" s="4" t="s">
        <v>2257</v>
      </c>
      <c r="I642">
        <v>866843</v>
      </c>
      <c r="J642" s="8" t="s">
        <v>30</v>
      </c>
      <c r="K642" t="s">
        <v>212</v>
      </c>
      <c r="L642" t="s">
        <v>213</v>
      </c>
      <c r="M642" t="s">
        <v>135</v>
      </c>
      <c r="N642">
        <f t="shared" si="30"/>
        <v>9</v>
      </c>
      <c r="O642">
        <v>6</v>
      </c>
      <c r="P642" s="6">
        <v>149.94999999999999</v>
      </c>
      <c r="Q642">
        <v>0</v>
      </c>
      <c r="R642">
        <v>899.69999999999993</v>
      </c>
      <c r="S642">
        <v>44.98</v>
      </c>
      <c r="T642">
        <v>30</v>
      </c>
      <c r="U642">
        <v>20</v>
      </c>
      <c r="V642">
        <v>994.68</v>
      </c>
      <c r="W642" t="s">
        <v>27</v>
      </c>
      <c r="X642">
        <v>17</v>
      </c>
    </row>
    <row r="643" spans="1:24" ht="14.25" customHeight="1">
      <c r="A643" t="s">
        <v>1391</v>
      </c>
      <c r="B643" t="s">
        <v>2320</v>
      </c>
      <c r="C643" s="6" t="str">
        <f t="shared" ref="C643:C706" si="31">TEXT(B643,"mmmm")</f>
        <v>February</v>
      </c>
      <c r="D643" s="6" t="str">
        <f t="shared" ref="D643:D706" si="32">TEXT(B643,"dd")</f>
        <v>25</v>
      </c>
      <c r="E643" t="s">
        <v>215</v>
      </c>
      <c r="F643" t="s">
        <v>21</v>
      </c>
      <c r="G643" t="s">
        <v>22</v>
      </c>
      <c r="H643" s="4" t="s">
        <v>2257</v>
      </c>
      <c r="I643">
        <v>539358</v>
      </c>
      <c r="J643" s="8" t="s">
        <v>62</v>
      </c>
      <c r="K643" t="s">
        <v>216</v>
      </c>
      <c r="L643" t="s">
        <v>217</v>
      </c>
      <c r="M643" t="s">
        <v>26</v>
      </c>
      <c r="N643">
        <f t="shared" si="30"/>
        <v>3</v>
      </c>
      <c r="O643">
        <v>1</v>
      </c>
      <c r="P643" s="6">
        <v>156.61000000000001</v>
      </c>
      <c r="Q643">
        <v>0</v>
      </c>
      <c r="R643">
        <v>156.61000000000001</v>
      </c>
      <c r="S643">
        <v>7.83</v>
      </c>
      <c r="T643">
        <v>30</v>
      </c>
      <c r="U643">
        <v>10</v>
      </c>
      <c r="V643">
        <v>204.44</v>
      </c>
      <c r="W643" t="s">
        <v>27</v>
      </c>
      <c r="X643">
        <v>26</v>
      </c>
    </row>
    <row r="644" spans="1:24" ht="14.25" customHeight="1">
      <c r="A644" t="s">
        <v>1392</v>
      </c>
      <c r="B644" t="s">
        <v>2317</v>
      </c>
      <c r="C644" s="6" t="str">
        <f t="shared" si="31"/>
        <v>January</v>
      </c>
      <c r="D644" s="6" t="str">
        <f t="shared" si="32"/>
        <v>05</v>
      </c>
      <c r="E644" t="s">
        <v>219</v>
      </c>
      <c r="F644" t="s">
        <v>21</v>
      </c>
      <c r="G644" t="s">
        <v>74</v>
      </c>
      <c r="H644" s="4" t="s">
        <v>2257</v>
      </c>
      <c r="I644">
        <v>456427</v>
      </c>
      <c r="J644" s="8" t="s">
        <v>2346</v>
      </c>
      <c r="K644" t="s">
        <v>220</v>
      </c>
      <c r="L644" t="s">
        <v>221</v>
      </c>
      <c r="M644" t="s">
        <v>89</v>
      </c>
      <c r="N644">
        <f t="shared" si="30"/>
        <v>7</v>
      </c>
      <c r="O644">
        <v>1</v>
      </c>
      <c r="P644" s="6">
        <v>160.54</v>
      </c>
      <c r="Q644">
        <v>24.08</v>
      </c>
      <c r="R644">
        <v>136.46</v>
      </c>
      <c r="S644">
        <v>6.82</v>
      </c>
      <c r="T644">
        <v>20</v>
      </c>
      <c r="U644">
        <v>0</v>
      </c>
      <c r="V644">
        <v>163.28</v>
      </c>
      <c r="W644" t="s">
        <v>27</v>
      </c>
      <c r="X644">
        <v>36</v>
      </c>
    </row>
    <row r="645" spans="1:24" ht="14.25" customHeight="1">
      <c r="A645" t="s">
        <v>1393</v>
      </c>
      <c r="B645" t="s">
        <v>2314</v>
      </c>
      <c r="C645" s="6" t="str">
        <f t="shared" si="31"/>
        <v>February</v>
      </c>
      <c r="D645" s="6" t="str">
        <f t="shared" si="32"/>
        <v>14</v>
      </c>
      <c r="E645" t="s">
        <v>223</v>
      </c>
      <c r="F645" t="s">
        <v>21</v>
      </c>
      <c r="G645" t="s">
        <v>106</v>
      </c>
      <c r="H645" s="4" t="s">
        <v>2257</v>
      </c>
      <c r="I645">
        <v>215657</v>
      </c>
      <c r="J645" s="8" t="s">
        <v>2345</v>
      </c>
      <c r="K645" t="s">
        <v>224</v>
      </c>
      <c r="L645" t="s">
        <v>225</v>
      </c>
      <c r="M645" t="s">
        <v>40</v>
      </c>
      <c r="N645">
        <f t="shared" si="30"/>
        <v>6</v>
      </c>
      <c r="O645">
        <v>2</v>
      </c>
      <c r="P645" s="6">
        <v>26.32</v>
      </c>
      <c r="Q645">
        <v>1.32</v>
      </c>
      <c r="R645">
        <v>51.32</v>
      </c>
      <c r="S645">
        <v>2.57</v>
      </c>
      <c r="T645">
        <v>30</v>
      </c>
      <c r="U645">
        <v>20</v>
      </c>
      <c r="V645">
        <v>103.89</v>
      </c>
      <c r="W645" t="s">
        <v>84</v>
      </c>
      <c r="X645">
        <v>25</v>
      </c>
    </row>
    <row r="646" spans="1:24" ht="14.25" customHeight="1">
      <c r="A646" t="s">
        <v>1394</v>
      </c>
      <c r="B646" t="s">
        <v>2301</v>
      </c>
      <c r="C646" s="6" t="str">
        <f t="shared" si="31"/>
        <v>January</v>
      </c>
      <c r="D646" s="6" t="str">
        <f t="shared" si="32"/>
        <v>04</v>
      </c>
      <c r="E646" t="s">
        <v>227</v>
      </c>
      <c r="F646" t="s">
        <v>21</v>
      </c>
      <c r="G646" t="s">
        <v>37</v>
      </c>
      <c r="H646" s="4" t="s">
        <v>2257</v>
      </c>
      <c r="I646">
        <v>841570</v>
      </c>
      <c r="J646" s="8" t="s">
        <v>30</v>
      </c>
      <c r="K646" t="s">
        <v>228</v>
      </c>
      <c r="L646" t="s">
        <v>229</v>
      </c>
      <c r="M646" t="s">
        <v>55</v>
      </c>
      <c r="N646">
        <f t="shared" si="30"/>
        <v>5</v>
      </c>
      <c r="O646">
        <v>5</v>
      </c>
      <c r="P646" s="6">
        <v>102.69</v>
      </c>
      <c r="Q646">
        <v>15.4</v>
      </c>
      <c r="R646">
        <v>498.05000000000013</v>
      </c>
      <c r="S646">
        <v>24.9</v>
      </c>
      <c r="T646">
        <v>20</v>
      </c>
      <c r="U646">
        <v>5</v>
      </c>
      <c r="V646">
        <v>547.95000000000005</v>
      </c>
      <c r="W646" t="s">
        <v>27</v>
      </c>
      <c r="X646">
        <v>17</v>
      </c>
    </row>
    <row r="647" spans="1:24" ht="14.25" customHeight="1">
      <c r="A647" t="s">
        <v>1395</v>
      </c>
      <c r="B647" t="s">
        <v>2292</v>
      </c>
      <c r="C647" s="6" t="str">
        <f t="shared" si="31"/>
        <v>January</v>
      </c>
      <c r="D647" s="6" t="str">
        <f t="shared" si="32"/>
        <v>16</v>
      </c>
      <c r="E647" t="s">
        <v>231</v>
      </c>
      <c r="F647" t="s">
        <v>21</v>
      </c>
      <c r="G647" t="s">
        <v>106</v>
      </c>
      <c r="H647" s="4" t="s">
        <v>2257</v>
      </c>
      <c r="I647">
        <v>899180</v>
      </c>
      <c r="J647" s="8" t="s">
        <v>30</v>
      </c>
      <c r="K647" t="s">
        <v>232</v>
      </c>
      <c r="L647" t="s">
        <v>233</v>
      </c>
      <c r="M647" t="s">
        <v>140</v>
      </c>
      <c r="N647">
        <f t="shared" si="30"/>
        <v>3</v>
      </c>
      <c r="O647">
        <v>5</v>
      </c>
      <c r="P647" s="6">
        <v>197.2</v>
      </c>
      <c r="Q647">
        <v>0</v>
      </c>
      <c r="R647">
        <v>986</v>
      </c>
      <c r="S647">
        <v>49.3</v>
      </c>
      <c r="T647">
        <v>10</v>
      </c>
      <c r="U647">
        <v>0</v>
      </c>
      <c r="V647">
        <v>1045.3</v>
      </c>
      <c r="W647" t="s">
        <v>27</v>
      </c>
      <c r="X647">
        <v>17</v>
      </c>
    </row>
    <row r="648" spans="1:24" ht="14.25" customHeight="1">
      <c r="A648" t="s">
        <v>1396</v>
      </c>
      <c r="B648" t="s">
        <v>2273</v>
      </c>
      <c r="C648" s="6" t="str">
        <f t="shared" si="31"/>
        <v>January</v>
      </c>
      <c r="D648" s="6" t="str">
        <f t="shared" si="32"/>
        <v>24</v>
      </c>
      <c r="E648" t="s">
        <v>235</v>
      </c>
      <c r="F648" t="s">
        <v>21</v>
      </c>
      <c r="G648" t="s">
        <v>22</v>
      </c>
      <c r="H648" s="4" t="s">
        <v>2257</v>
      </c>
      <c r="I648">
        <v>180152</v>
      </c>
      <c r="J648" s="8" t="s">
        <v>2348</v>
      </c>
      <c r="K648" t="s">
        <v>236</v>
      </c>
      <c r="L648" t="s">
        <v>237</v>
      </c>
      <c r="M648" t="s">
        <v>55</v>
      </c>
      <c r="N648">
        <f t="shared" si="30"/>
        <v>5</v>
      </c>
      <c r="O648">
        <v>1</v>
      </c>
      <c r="P648" s="6">
        <v>139.05000000000001</v>
      </c>
      <c r="Q648">
        <v>6.95</v>
      </c>
      <c r="R648">
        <v>132.1</v>
      </c>
      <c r="S648">
        <v>6.61</v>
      </c>
      <c r="T648">
        <v>10</v>
      </c>
      <c r="U648">
        <v>15</v>
      </c>
      <c r="V648">
        <v>163.71</v>
      </c>
      <c r="W648" t="s">
        <v>27</v>
      </c>
      <c r="X648">
        <v>21</v>
      </c>
    </row>
    <row r="649" spans="1:24" ht="14.25" customHeight="1">
      <c r="A649" t="s">
        <v>1397</v>
      </c>
      <c r="B649" t="s">
        <v>2292</v>
      </c>
      <c r="C649" s="6" t="str">
        <f t="shared" si="31"/>
        <v>January</v>
      </c>
      <c r="D649" s="6" t="str">
        <f t="shared" si="32"/>
        <v>16</v>
      </c>
      <c r="E649" t="s">
        <v>239</v>
      </c>
      <c r="F649" t="s">
        <v>80</v>
      </c>
      <c r="G649" t="s">
        <v>81</v>
      </c>
      <c r="H649" s="4" t="s">
        <v>2257</v>
      </c>
      <c r="I649">
        <v>141743</v>
      </c>
      <c r="J649" s="8" t="s">
        <v>2349</v>
      </c>
      <c r="K649" t="s">
        <v>240</v>
      </c>
      <c r="L649" t="s">
        <v>241</v>
      </c>
      <c r="M649" t="s">
        <v>130</v>
      </c>
      <c r="N649">
        <f t="shared" si="30"/>
        <v>7</v>
      </c>
      <c r="O649">
        <v>1</v>
      </c>
      <c r="P649" s="6">
        <v>102.46</v>
      </c>
      <c r="Q649">
        <v>10.25</v>
      </c>
      <c r="R649">
        <v>92.21</v>
      </c>
      <c r="S649">
        <v>4.6100000000000003</v>
      </c>
      <c r="T649">
        <v>20</v>
      </c>
      <c r="U649">
        <v>10</v>
      </c>
      <c r="V649">
        <v>126.82</v>
      </c>
      <c r="W649" t="s">
        <v>27</v>
      </c>
      <c r="X649">
        <v>19</v>
      </c>
    </row>
    <row r="650" spans="1:24" ht="14.25" customHeight="1">
      <c r="A650" t="s">
        <v>1398</v>
      </c>
      <c r="B650" t="s">
        <v>2295</v>
      </c>
      <c r="C650" s="6" t="str">
        <f t="shared" si="31"/>
        <v>February</v>
      </c>
      <c r="D650" s="6" t="str">
        <f t="shared" si="32"/>
        <v>24</v>
      </c>
      <c r="E650" t="s">
        <v>243</v>
      </c>
      <c r="F650" t="s">
        <v>21</v>
      </c>
      <c r="G650" t="s">
        <v>68</v>
      </c>
      <c r="H650" s="4" t="s">
        <v>2257</v>
      </c>
      <c r="I650">
        <v>426284</v>
      </c>
      <c r="J650" s="8" t="s">
        <v>2346</v>
      </c>
      <c r="K650" t="s">
        <v>244</v>
      </c>
      <c r="L650" t="s">
        <v>245</v>
      </c>
      <c r="M650" t="s">
        <v>50</v>
      </c>
      <c r="N650">
        <f t="shared" si="30"/>
        <v>5</v>
      </c>
      <c r="O650">
        <v>3</v>
      </c>
      <c r="P650" s="6">
        <v>225.3</v>
      </c>
      <c r="Q650">
        <v>22.53</v>
      </c>
      <c r="R650">
        <v>653.37000000000012</v>
      </c>
      <c r="S650">
        <v>32.67</v>
      </c>
      <c r="T650">
        <v>10</v>
      </c>
      <c r="U650">
        <v>10</v>
      </c>
      <c r="V650">
        <v>706.04000000000008</v>
      </c>
      <c r="W650" t="s">
        <v>27</v>
      </c>
      <c r="X650">
        <v>25</v>
      </c>
    </row>
    <row r="651" spans="1:24" ht="14.25" customHeight="1">
      <c r="A651" t="s">
        <v>1399</v>
      </c>
      <c r="B651" t="s">
        <v>2279</v>
      </c>
      <c r="C651" s="6" t="str">
        <f t="shared" si="31"/>
        <v>January</v>
      </c>
      <c r="D651" s="6" t="str">
        <f t="shared" si="32"/>
        <v>02</v>
      </c>
      <c r="E651" t="s">
        <v>247</v>
      </c>
      <c r="F651" t="s">
        <v>80</v>
      </c>
      <c r="G651" t="s">
        <v>81</v>
      </c>
      <c r="H651" s="4" t="s">
        <v>2257</v>
      </c>
      <c r="I651">
        <v>821827</v>
      </c>
      <c r="J651" s="8" t="s">
        <v>2347</v>
      </c>
      <c r="K651" t="s">
        <v>248</v>
      </c>
      <c r="L651" t="s">
        <v>249</v>
      </c>
      <c r="M651" t="s">
        <v>71</v>
      </c>
      <c r="N651">
        <f t="shared" si="30"/>
        <v>6</v>
      </c>
      <c r="O651">
        <v>3</v>
      </c>
      <c r="P651" s="6">
        <v>104.64</v>
      </c>
      <c r="Q651">
        <v>5.23</v>
      </c>
      <c r="R651">
        <v>308.69</v>
      </c>
      <c r="S651">
        <v>15.43</v>
      </c>
      <c r="T651">
        <v>0</v>
      </c>
      <c r="U651">
        <v>10</v>
      </c>
      <c r="V651">
        <v>334.12</v>
      </c>
      <c r="W651" t="s">
        <v>117</v>
      </c>
      <c r="X651">
        <v>25</v>
      </c>
    </row>
    <row r="652" spans="1:24" ht="14.25" customHeight="1">
      <c r="A652" t="s">
        <v>1400</v>
      </c>
      <c r="B652" t="s">
        <v>2287</v>
      </c>
      <c r="C652" s="6" t="str">
        <f t="shared" si="31"/>
        <v>February</v>
      </c>
      <c r="D652" s="6" t="str">
        <f t="shared" si="32"/>
        <v>18</v>
      </c>
      <c r="E652" t="s">
        <v>251</v>
      </c>
      <c r="F652" t="s">
        <v>21</v>
      </c>
      <c r="G652" t="s">
        <v>37</v>
      </c>
      <c r="H652" s="4" t="s">
        <v>2257</v>
      </c>
      <c r="I652">
        <v>688216</v>
      </c>
      <c r="J652" s="8" t="s">
        <v>62</v>
      </c>
      <c r="K652" t="s">
        <v>252</v>
      </c>
      <c r="L652" t="s">
        <v>253</v>
      </c>
      <c r="M652" t="s">
        <v>77</v>
      </c>
      <c r="N652">
        <f t="shared" si="30"/>
        <v>5</v>
      </c>
      <c r="O652">
        <v>3</v>
      </c>
      <c r="P652" s="6">
        <v>161.56</v>
      </c>
      <c r="Q652">
        <v>8.08</v>
      </c>
      <c r="R652">
        <v>476.6</v>
      </c>
      <c r="S652">
        <v>23.83</v>
      </c>
      <c r="T652">
        <v>30</v>
      </c>
      <c r="U652">
        <v>15</v>
      </c>
      <c r="V652">
        <v>545.43000000000006</v>
      </c>
      <c r="W652" t="s">
        <v>27</v>
      </c>
      <c r="X652">
        <v>19</v>
      </c>
    </row>
    <row r="653" spans="1:24" ht="14.25" customHeight="1">
      <c r="A653" t="s">
        <v>1401</v>
      </c>
      <c r="B653" t="s">
        <v>2291</v>
      </c>
      <c r="C653" s="6" t="str">
        <f t="shared" si="31"/>
        <v>January</v>
      </c>
      <c r="D653" s="6" t="str">
        <f t="shared" si="32"/>
        <v>28</v>
      </c>
      <c r="E653" t="s">
        <v>255</v>
      </c>
      <c r="F653" t="s">
        <v>80</v>
      </c>
      <c r="G653" t="s">
        <v>81</v>
      </c>
      <c r="H653" s="4" t="s">
        <v>2257</v>
      </c>
      <c r="I653">
        <v>778525</v>
      </c>
      <c r="J653" s="8" t="s">
        <v>2348</v>
      </c>
      <c r="K653" t="s">
        <v>256</v>
      </c>
      <c r="L653" t="s">
        <v>257</v>
      </c>
      <c r="M653" t="s">
        <v>77</v>
      </c>
      <c r="N653">
        <f t="shared" ref="N653:N716" si="33">LEN(M653)</f>
        <v>5</v>
      </c>
      <c r="O653">
        <v>2</v>
      </c>
      <c r="P653" s="6">
        <v>239.39</v>
      </c>
      <c r="Q653">
        <v>0</v>
      </c>
      <c r="R653">
        <v>478.78</v>
      </c>
      <c r="S653">
        <v>23.94</v>
      </c>
      <c r="T653">
        <v>0</v>
      </c>
      <c r="U653">
        <v>20</v>
      </c>
      <c r="V653">
        <v>522.72</v>
      </c>
      <c r="W653" t="s">
        <v>27</v>
      </c>
      <c r="X653">
        <v>28</v>
      </c>
    </row>
    <row r="654" spans="1:24" ht="14.25" customHeight="1">
      <c r="A654" t="s">
        <v>1402</v>
      </c>
      <c r="B654" t="s">
        <v>2319</v>
      </c>
      <c r="C654" s="6" t="str">
        <f t="shared" si="31"/>
        <v>February</v>
      </c>
      <c r="D654" s="6" t="str">
        <f t="shared" si="32"/>
        <v>01</v>
      </c>
      <c r="E654" t="s">
        <v>259</v>
      </c>
      <c r="F654" t="s">
        <v>21</v>
      </c>
      <c r="G654" t="s">
        <v>22</v>
      </c>
      <c r="H654" s="4" t="s">
        <v>2257</v>
      </c>
      <c r="I654">
        <v>684668</v>
      </c>
      <c r="J654" s="8" t="s">
        <v>2348</v>
      </c>
      <c r="K654" t="s">
        <v>260</v>
      </c>
      <c r="L654" t="s">
        <v>261</v>
      </c>
      <c r="M654" t="s">
        <v>140</v>
      </c>
      <c r="N654">
        <f t="shared" si="33"/>
        <v>3</v>
      </c>
      <c r="O654">
        <v>4</v>
      </c>
      <c r="P654" s="6">
        <v>153.18</v>
      </c>
      <c r="Q654">
        <v>22.98</v>
      </c>
      <c r="R654">
        <v>589.74</v>
      </c>
      <c r="S654">
        <v>29.49</v>
      </c>
      <c r="T654">
        <v>0</v>
      </c>
      <c r="U654">
        <v>5</v>
      </c>
      <c r="V654">
        <v>624.23</v>
      </c>
      <c r="W654" t="s">
        <v>27</v>
      </c>
      <c r="X654">
        <v>27</v>
      </c>
    </row>
    <row r="655" spans="1:24" ht="14.25" customHeight="1">
      <c r="A655" t="s">
        <v>1403</v>
      </c>
      <c r="B655" t="s">
        <v>2288</v>
      </c>
      <c r="C655" s="6" t="str">
        <f t="shared" si="31"/>
        <v>January</v>
      </c>
      <c r="D655" s="6" t="str">
        <f t="shared" si="32"/>
        <v>27</v>
      </c>
      <c r="E655" t="s">
        <v>263</v>
      </c>
      <c r="F655" t="s">
        <v>21</v>
      </c>
      <c r="G655" t="s">
        <v>106</v>
      </c>
      <c r="H655" s="4" t="s">
        <v>2257</v>
      </c>
      <c r="I655">
        <v>600201</v>
      </c>
      <c r="J655" s="8" t="s">
        <v>2347</v>
      </c>
      <c r="K655" t="s">
        <v>264</v>
      </c>
      <c r="L655" t="s">
        <v>265</v>
      </c>
      <c r="M655" t="s">
        <v>65</v>
      </c>
      <c r="N655">
        <f t="shared" si="33"/>
        <v>6</v>
      </c>
      <c r="O655">
        <v>2</v>
      </c>
      <c r="P655" s="6">
        <v>25.94</v>
      </c>
      <c r="Q655">
        <v>0</v>
      </c>
      <c r="R655">
        <v>51.88</v>
      </c>
      <c r="S655">
        <v>2.59</v>
      </c>
      <c r="T655">
        <v>20</v>
      </c>
      <c r="U655">
        <v>15</v>
      </c>
      <c r="V655">
        <v>89.47</v>
      </c>
      <c r="W655" t="s">
        <v>27</v>
      </c>
      <c r="X655">
        <v>20</v>
      </c>
    </row>
    <row r="656" spans="1:24" ht="14.25" customHeight="1">
      <c r="A656" t="s">
        <v>1404</v>
      </c>
      <c r="B656" t="s">
        <v>2305</v>
      </c>
      <c r="C656" s="6" t="str">
        <f t="shared" si="31"/>
        <v>January</v>
      </c>
      <c r="D656" s="6" t="str">
        <f t="shared" si="32"/>
        <v>20</v>
      </c>
      <c r="E656" t="s">
        <v>267</v>
      </c>
      <c r="F656" t="s">
        <v>21</v>
      </c>
      <c r="G656" t="s">
        <v>106</v>
      </c>
      <c r="H656" s="4" t="s">
        <v>2257</v>
      </c>
      <c r="I656">
        <v>110068</v>
      </c>
      <c r="J656" s="8" t="s">
        <v>2346</v>
      </c>
      <c r="K656" t="s">
        <v>268</v>
      </c>
      <c r="L656" t="s">
        <v>269</v>
      </c>
      <c r="M656" t="s">
        <v>77</v>
      </c>
      <c r="N656">
        <f t="shared" si="33"/>
        <v>5</v>
      </c>
      <c r="O656">
        <v>3</v>
      </c>
      <c r="P656" s="6">
        <v>103.17</v>
      </c>
      <c r="Q656">
        <v>0</v>
      </c>
      <c r="R656">
        <v>309.51</v>
      </c>
      <c r="S656">
        <v>15.48</v>
      </c>
      <c r="T656">
        <v>10</v>
      </c>
      <c r="U656">
        <v>15</v>
      </c>
      <c r="V656">
        <v>349.99</v>
      </c>
      <c r="W656" t="s">
        <v>27</v>
      </c>
      <c r="X656">
        <v>22</v>
      </c>
    </row>
    <row r="657" spans="1:24" ht="14.25" customHeight="1">
      <c r="A657" t="s">
        <v>1405</v>
      </c>
      <c r="B657" t="s">
        <v>2273</v>
      </c>
      <c r="C657" s="6" t="str">
        <f t="shared" si="31"/>
        <v>January</v>
      </c>
      <c r="D657" s="6" t="str">
        <f t="shared" si="32"/>
        <v>24</v>
      </c>
      <c r="E657" t="s">
        <v>271</v>
      </c>
      <c r="F657" t="s">
        <v>21</v>
      </c>
      <c r="G657" t="s">
        <v>74</v>
      </c>
      <c r="H657" s="4" t="s">
        <v>2257</v>
      </c>
      <c r="I657">
        <v>886719</v>
      </c>
      <c r="J657" s="8" t="s">
        <v>2348</v>
      </c>
      <c r="K657" t="s">
        <v>272</v>
      </c>
      <c r="L657" t="s">
        <v>273</v>
      </c>
      <c r="M657" t="s">
        <v>65</v>
      </c>
      <c r="N657">
        <f t="shared" si="33"/>
        <v>6</v>
      </c>
      <c r="O657">
        <v>2</v>
      </c>
      <c r="P657" s="6">
        <v>152.29</v>
      </c>
      <c r="Q657">
        <v>22.84</v>
      </c>
      <c r="R657">
        <v>281.74</v>
      </c>
      <c r="S657">
        <v>14.09</v>
      </c>
      <c r="T657">
        <v>10</v>
      </c>
      <c r="U657">
        <v>10</v>
      </c>
      <c r="V657">
        <v>315.83</v>
      </c>
      <c r="W657" t="s">
        <v>27</v>
      </c>
      <c r="X657">
        <v>33</v>
      </c>
    </row>
    <row r="658" spans="1:24" ht="14.25" customHeight="1">
      <c r="A658" t="s">
        <v>1406</v>
      </c>
      <c r="B658" t="s">
        <v>2285</v>
      </c>
      <c r="C658" s="6" t="str">
        <f t="shared" si="31"/>
        <v>January</v>
      </c>
      <c r="D658" s="6" t="str">
        <f t="shared" si="32"/>
        <v>12</v>
      </c>
      <c r="E658" t="s">
        <v>275</v>
      </c>
      <c r="F658" t="s">
        <v>21</v>
      </c>
      <c r="G658" t="s">
        <v>37</v>
      </c>
      <c r="H658" s="4" t="s">
        <v>2257</v>
      </c>
      <c r="I658">
        <v>468655</v>
      </c>
      <c r="J658" s="8" t="s">
        <v>62</v>
      </c>
      <c r="K658" t="s">
        <v>276</v>
      </c>
      <c r="L658" t="s">
        <v>277</v>
      </c>
      <c r="M658" t="s">
        <v>177</v>
      </c>
      <c r="N658">
        <f t="shared" si="33"/>
        <v>5</v>
      </c>
      <c r="O658">
        <v>1</v>
      </c>
      <c r="P658" s="6">
        <v>75.66</v>
      </c>
      <c r="Q658">
        <v>3.78</v>
      </c>
      <c r="R658">
        <v>71.88</v>
      </c>
      <c r="S658">
        <v>3.59</v>
      </c>
      <c r="T658">
        <v>20</v>
      </c>
      <c r="U658">
        <v>20</v>
      </c>
      <c r="V658">
        <v>115.47</v>
      </c>
      <c r="W658" t="s">
        <v>84</v>
      </c>
      <c r="X658">
        <v>25</v>
      </c>
    </row>
    <row r="659" spans="1:24" ht="14.25" customHeight="1">
      <c r="A659" t="s">
        <v>1407</v>
      </c>
      <c r="B659" t="s">
        <v>2303</v>
      </c>
      <c r="C659" s="6" t="str">
        <f t="shared" si="31"/>
        <v>February</v>
      </c>
      <c r="D659" s="6" t="str">
        <f t="shared" si="32"/>
        <v>19</v>
      </c>
      <c r="E659" t="s">
        <v>279</v>
      </c>
      <c r="F659" t="s">
        <v>21</v>
      </c>
      <c r="G659" t="s">
        <v>68</v>
      </c>
      <c r="H659" s="4" t="s">
        <v>2257</v>
      </c>
      <c r="I659">
        <v>878580</v>
      </c>
      <c r="J659" s="8" t="s">
        <v>2347</v>
      </c>
      <c r="K659" t="s">
        <v>280</v>
      </c>
      <c r="L659" t="s">
        <v>281</v>
      </c>
      <c r="M659" t="s">
        <v>140</v>
      </c>
      <c r="N659">
        <f t="shared" si="33"/>
        <v>3</v>
      </c>
      <c r="O659">
        <v>2</v>
      </c>
      <c r="P659" s="6">
        <v>197.19</v>
      </c>
      <c r="Q659">
        <v>19.72</v>
      </c>
      <c r="R659">
        <v>374.66</v>
      </c>
      <c r="S659">
        <v>18.73</v>
      </c>
      <c r="T659">
        <v>20</v>
      </c>
      <c r="U659">
        <v>10</v>
      </c>
      <c r="V659">
        <v>423.39</v>
      </c>
      <c r="W659" t="s">
        <v>34</v>
      </c>
      <c r="X659">
        <v>25</v>
      </c>
    </row>
    <row r="660" spans="1:24" ht="14.25" customHeight="1">
      <c r="A660" t="s">
        <v>1408</v>
      </c>
      <c r="B660" t="s">
        <v>2306</v>
      </c>
      <c r="C660" s="6" t="str">
        <f t="shared" si="31"/>
        <v>February</v>
      </c>
      <c r="D660" s="6" t="str">
        <f t="shared" si="32"/>
        <v>04</v>
      </c>
      <c r="E660" t="s">
        <v>283</v>
      </c>
      <c r="F660" t="s">
        <v>21</v>
      </c>
      <c r="G660" t="s">
        <v>68</v>
      </c>
      <c r="H660" s="4" t="s">
        <v>2257</v>
      </c>
      <c r="I660">
        <v>840122</v>
      </c>
      <c r="J660" s="8" t="s">
        <v>62</v>
      </c>
      <c r="K660" t="s">
        <v>284</v>
      </c>
      <c r="L660" t="s">
        <v>285</v>
      </c>
      <c r="M660" t="s">
        <v>55</v>
      </c>
      <c r="N660">
        <f t="shared" si="33"/>
        <v>5</v>
      </c>
      <c r="O660">
        <v>5</v>
      </c>
      <c r="P660" s="6">
        <v>31.9</v>
      </c>
      <c r="Q660">
        <v>1.59</v>
      </c>
      <c r="R660">
        <v>157.91</v>
      </c>
      <c r="S660">
        <v>7.9</v>
      </c>
      <c r="T660">
        <v>10</v>
      </c>
      <c r="U660">
        <v>15</v>
      </c>
      <c r="V660">
        <v>190.81</v>
      </c>
      <c r="W660" t="s">
        <v>27</v>
      </c>
      <c r="X660">
        <v>23</v>
      </c>
    </row>
    <row r="661" spans="1:24" ht="14.25" customHeight="1">
      <c r="A661" t="s">
        <v>1409</v>
      </c>
      <c r="B661" t="s">
        <v>2283</v>
      </c>
      <c r="C661" s="6" t="str">
        <f t="shared" si="31"/>
        <v>March</v>
      </c>
      <c r="D661" s="6" t="str">
        <f t="shared" si="32"/>
        <v>01</v>
      </c>
      <c r="E661" t="s">
        <v>287</v>
      </c>
      <c r="F661" t="s">
        <v>21</v>
      </c>
      <c r="G661" t="s">
        <v>22</v>
      </c>
      <c r="H661" s="4" t="s">
        <v>2257</v>
      </c>
      <c r="I661">
        <v>245281</v>
      </c>
      <c r="J661" s="8" t="s">
        <v>2347</v>
      </c>
      <c r="K661" t="s">
        <v>288</v>
      </c>
      <c r="L661" t="s">
        <v>289</v>
      </c>
      <c r="M661" t="s">
        <v>33</v>
      </c>
      <c r="N661">
        <f t="shared" si="33"/>
        <v>10</v>
      </c>
      <c r="O661">
        <v>1</v>
      </c>
      <c r="P661" s="6">
        <v>146.61000000000001</v>
      </c>
      <c r="Q661">
        <v>21.99</v>
      </c>
      <c r="R661">
        <v>124.62</v>
      </c>
      <c r="S661">
        <v>6.23</v>
      </c>
      <c r="T661">
        <v>10</v>
      </c>
      <c r="U661">
        <v>15</v>
      </c>
      <c r="V661">
        <v>155.85</v>
      </c>
      <c r="W661" t="s">
        <v>27</v>
      </c>
      <c r="X661">
        <v>13</v>
      </c>
    </row>
    <row r="662" spans="1:24" ht="14.25" customHeight="1">
      <c r="A662" t="s">
        <v>1410</v>
      </c>
      <c r="B662" t="s">
        <v>2284</v>
      </c>
      <c r="C662" s="6" t="str">
        <f t="shared" si="31"/>
        <v>February</v>
      </c>
      <c r="D662" s="6" t="str">
        <f t="shared" si="32"/>
        <v>02</v>
      </c>
      <c r="E662" t="s">
        <v>291</v>
      </c>
      <c r="F662" t="s">
        <v>21</v>
      </c>
      <c r="G662" t="s">
        <v>68</v>
      </c>
      <c r="H662" s="4" t="s">
        <v>2257</v>
      </c>
      <c r="I662">
        <v>464315</v>
      </c>
      <c r="J662" s="8" t="s">
        <v>30</v>
      </c>
      <c r="K662" t="s">
        <v>292</v>
      </c>
      <c r="L662" t="s">
        <v>293</v>
      </c>
      <c r="M662" t="s">
        <v>89</v>
      </c>
      <c r="N662">
        <f t="shared" si="33"/>
        <v>7</v>
      </c>
      <c r="O662">
        <v>3</v>
      </c>
      <c r="P662" s="6">
        <v>7.81</v>
      </c>
      <c r="Q662">
        <v>0</v>
      </c>
      <c r="R662">
        <v>23.43</v>
      </c>
      <c r="S662">
        <v>1.17</v>
      </c>
      <c r="T662">
        <v>0</v>
      </c>
      <c r="U662">
        <v>10</v>
      </c>
      <c r="V662">
        <v>34.6</v>
      </c>
      <c r="W662" t="s">
        <v>27</v>
      </c>
      <c r="X662">
        <v>20</v>
      </c>
    </row>
    <row r="663" spans="1:24" ht="14.25" customHeight="1">
      <c r="A663" t="s">
        <v>1411</v>
      </c>
      <c r="B663" t="s">
        <v>2284</v>
      </c>
      <c r="C663" s="6" t="str">
        <f t="shared" si="31"/>
        <v>February</v>
      </c>
      <c r="D663" s="6" t="str">
        <f t="shared" si="32"/>
        <v>02</v>
      </c>
      <c r="E663" t="s">
        <v>295</v>
      </c>
      <c r="F663" t="s">
        <v>21</v>
      </c>
      <c r="G663" t="s">
        <v>106</v>
      </c>
      <c r="H663" s="4" t="s">
        <v>2257</v>
      </c>
      <c r="I663">
        <v>133783</v>
      </c>
      <c r="J663" s="8" t="s">
        <v>2349</v>
      </c>
      <c r="K663" t="s">
        <v>296</v>
      </c>
      <c r="L663" t="s">
        <v>297</v>
      </c>
      <c r="M663" t="s">
        <v>130</v>
      </c>
      <c r="N663">
        <f t="shared" si="33"/>
        <v>7</v>
      </c>
      <c r="O663">
        <v>3</v>
      </c>
      <c r="P663" s="6">
        <v>203.43</v>
      </c>
      <c r="Q663">
        <v>30.51</v>
      </c>
      <c r="R663">
        <v>579.78</v>
      </c>
      <c r="S663">
        <v>28.99</v>
      </c>
      <c r="T663">
        <v>20</v>
      </c>
      <c r="U663">
        <v>10</v>
      </c>
      <c r="V663">
        <v>638.77</v>
      </c>
      <c r="W663" t="s">
        <v>27</v>
      </c>
      <c r="X663">
        <v>22</v>
      </c>
    </row>
    <row r="664" spans="1:24" ht="14.25" customHeight="1">
      <c r="A664" t="s">
        <v>1412</v>
      </c>
      <c r="B664" t="s">
        <v>2294</v>
      </c>
      <c r="C664" s="6" t="str">
        <f t="shared" si="31"/>
        <v>February</v>
      </c>
      <c r="D664" s="6" t="str">
        <f t="shared" si="32"/>
        <v>20</v>
      </c>
      <c r="E664" t="s">
        <v>299</v>
      </c>
      <c r="F664" t="s">
        <v>21</v>
      </c>
      <c r="G664" t="s">
        <v>22</v>
      </c>
      <c r="H664" s="4" t="s">
        <v>2257</v>
      </c>
      <c r="I664">
        <v>154745</v>
      </c>
      <c r="J664" s="8" t="s">
        <v>2346</v>
      </c>
      <c r="K664" t="s">
        <v>300</v>
      </c>
      <c r="L664" t="s">
        <v>301</v>
      </c>
      <c r="M664" t="s">
        <v>130</v>
      </c>
      <c r="N664">
        <f t="shared" si="33"/>
        <v>7</v>
      </c>
      <c r="O664">
        <v>1</v>
      </c>
      <c r="P664" s="6">
        <v>196.96</v>
      </c>
      <c r="Q664">
        <v>0</v>
      </c>
      <c r="R664">
        <v>196.96</v>
      </c>
      <c r="S664">
        <v>9.85</v>
      </c>
      <c r="T664">
        <v>0</v>
      </c>
      <c r="U664">
        <v>10</v>
      </c>
      <c r="V664">
        <v>216.81</v>
      </c>
      <c r="W664" t="s">
        <v>27</v>
      </c>
      <c r="X664">
        <v>13</v>
      </c>
    </row>
    <row r="665" spans="1:24" ht="14.25" customHeight="1">
      <c r="A665" t="s">
        <v>1413</v>
      </c>
      <c r="B665" t="s">
        <v>2266</v>
      </c>
      <c r="C665" s="6" t="str">
        <f t="shared" si="31"/>
        <v>February</v>
      </c>
      <c r="D665" s="6" t="str">
        <f t="shared" si="32"/>
        <v>12</v>
      </c>
      <c r="E665" t="s">
        <v>303</v>
      </c>
      <c r="F665" t="s">
        <v>21</v>
      </c>
      <c r="G665" t="s">
        <v>74</v>
      </c>
      <c r="H665" s="4" t="s">
        <v>2257</v>
      </c>
      <c r="I665">
        <v>121067</v>
      </c>
      <c r="J665" s="8" t="s">
        <v>2349</v>
      </c>
      <c r="K665" t="s">
        <v>304</v>
      </c>
      <c r="L665" t="s">
        <v>305</v>
      </c>
      <c r="M665" t="s">
        <v>77</v>
      </c>
      <c r="N665">
        <f t="shared" si="33"/>
        <v>5</v>
      </c>
      <c r="O665">
        <v>3</v>
      </c>
      <c r="P665" s="6">
        <v>158.16999999999999</v>
      </c>
      <c r="Q665">
        <v>7.91</v>
      </c>
      <c r="R665">
        <v>466.6</v>
      </c>
      <c r="S665">
        <v>23.33</v>
      </c>
      <c r="T665">
        <v>0</v>
      </c>
      <c r="U665">
        <v>5</v>
      </c>
      <c r="V665">
        <v>494.92999999999989</v>
      </c>
      <c r="W665" t="s">
        <v>27</v>
      </c>
      <c r="X665">
        <v>19</v>
      </c>
    </row>
    <row r="666" spans="1:24" ht="14.25" customHeight="1">
      <c r="A666" t="s">
        <v>1414</v>
      </c>
      <c r="B666" t="s">
        <v>2297</v>
      </c>
      <c r="C666" s="6" t="str">
        <f t="shared" si="31"/>
        <v>February</v>
      </c>
      <c r="D666" s="6" t="str">
        <f t="shared" si="32"/>
        <v>06</v>
      </c>
      <c r="E666" t="s">
        <v>307</v>
      </c>
      <c r="F666" t="s">
        <v>21</v>
      </c>
      <c r="G666" t="s">
        <v>106</v>
      </c>
      <c r="H666" s="4" t="s">
        <v>2257</v>
      </c>
      <c r="I666">
        <v>312603</v>
      </c>
      <c r="J666" s="8" t="s">
        <v>2345</v>
      </c>
      <c r="K666" t="s">
        <v>308</v>
      </c>
      <c r="L666" t="s">
        <v>309</v>
      </c>
      <c r="M666" t="s">
        <v>98</v>
      </c>
      <c r="N666">
        <f t="shared" si="33"/>
        <v>4</v>
      </c>
      <c r="O666">
        <v>1</v>
      </c>
      <c r="P666" s="6">
        <v>66.3</v>
      </c>
      <c r="Q666">
        <v>3.31</v>
      </c>
      <c r="R666">
        <v>62.989999999999988</v>
      </c>
      <c r="S666">
        <v>3.15</v>
      </c>
      <c r="T666">
        <v>30</v>
      </c>
      <c r="U666">
        <v>5</v>
      </c>
      <c r="V666">
        <v>101.14</v>
      </c>
      <c r="W666" t="s">
        <v>27</v>
      </c>
      <c r="X666">
        <v>19</v>
      </c>
    </row>
    <row r="667" spans="1:24" ht="14.25" customHeight="1">
      <c r="A667" t="s">
        <v>1415</v>
      </c>
      <c r="B667" t="s">
        <v>2285</v>
      </c>
      <c r="C667" s="6" t="str">
        <f t="shared" si="31"/>
        <v>January</v>
      </c>
      <c r="D667" s="6" t="str">
        <f t="shared" si="32"/>
        <v>12</v>
      </c>
      <c r="E667" t="s">
        <v>311</v>
      </c>
      <c r="F667" t="s">
        <v>80</v>
      </c>
      <c r="G667" t="s">
        <v>81</v>
      </c>
      <c r="H667" s="4" t="s">
        <v>2257</v>
      </c>
      <c r="I667">
        <v>656371</v>
      </c>
      <c r="J667" s="8" t="s">
        <v>62</v>
      </c>
      <c r="K667" t="s">
        <v>312</v>
      </c>
      <c r="L667" t="s">
        <v>313</v>
      </c>
      <c r="M667" t="s">
        <v>40</v>
      </c>
      <c r="N667">
        <f t="shared" si="33"/>
        <v>6</v>
      </c>
      <c r="O667">
        <v>2</v>
      </c>
      <c r="P667" s="6">
        <v>110.5</v>
      </c>
      <c r="Q667">
        <v>11.05</v>
      </c>
      <c r="R667">
        <v>209.95</v>
      </c>
      <c r="S667">
        <v>10.5</v>
      </c>
      <c r="T667">
        <v>0</v>
      </c>
      <c r="U667">
        <v>0</v>
      </c>
      <c r="V667">
        <v>220.45</v>
      </c>
      <c r="W667" t="s">
        <v>27</v>
      </c>
      <c r="X667">
        <v>24</v>
      </c>
    </row>
    <row r="668" spans="1:24" ht="14.25" customHeight="1">
      <c r="A668" t="s">
        <v>1416</v>
      </c>
      <c r="B668" t="s">
        <v>2277</v>
      </c>
      <c r="C668" s="6" t="str">
        <f t="shared" si="31"/>
        <v>January</v>
      </c>
      <c r="D668" s="6" t="str">
        <f t="shared" si="32"/>
        <v>03</v>
      </c>
      <c r="E668" t="s">
        <v>315</v>
      </c>
      <c r="F668" t="s">
        <v>21</v>
      </c>
      <c r="G668" t="s">
        <v>37</v>
      </c>
      <c r="H668" s="4" t="s">
        <v>2257</v>
      </c>
      <c r="I668">
        <v>242157</v>
      </c>
      <c r="J668" s="8" t="s">
        <v>30</v>
      </c>
      <c r="K668" t="s">
        <v>316</v>
      </c>
      <c r="L668" t="s">
        <v>317</v>
      </c>
      <c r="M668" t="s">
        <v>89</v>
      </c>
      <c r="N668">
        <f t="shared" si="33"/>
        <v>7</v>
      </c>
      <c r="O668">
        <v>1</v>
      </c>
      <c r="P668" s="6">
        <v>182.71</v>
      </c>
      <c r="Q668">
        <v>9.14</v>
      </c>
      <c r="R668">
        <v>173.57</v>
      </c>
      <c r="S668">
        <v>8.68</v>
      </c>
      <c r="T668">
        <v>30</v>
      </c>
      <c r="U668">
        <v>0</v>
      </c>
      <c r="V668">
        <v>212.25</v>
      </c>
      <c r="W668" t="s">
        <v>27</v>
      </c>
      <c r="X668">
        <v>25</v>
      </c>
    </row>
    <row r="669" spans="1:24" ht="14.25" customHeight="1">
      <c r="A669" t="s">
        <v>1417</v>
      </c>
      <c r="B669" t="s">
        <v>2316</v>
      </c>
      <c r="C669" s="6" t="str">
        <f t="shared" si="31"/>
        <v>January</v>
      </c>
      <c r="D669" s="6" t="str">
        <f t="shared" si="32"/>
        <v>01</v>
      </c>
      <c r="E669" t="s">
        <v>319</v>
      </c>
      <c r="F669" t="s">
        <v>21</v>
      </c>
      <c r="G669" t="s">
        <v>106</v>
      </c>
      <c r="H669" s="4" t="s">
        <v>2257</v>
      </c>
      <c r="I669">
        <v>236645</v>
      </c>
      <c r="J669" s="8" t="s">
        <v>2346</v>
      </c>
      <c r="K669" t="s">
        <v>320</v>
      </c>
      <c r="L669" t="s">
        <v>321</v>
      </c>
      <c r="M669" t="s">
        <v>55</v>
      </c>
      <c r="N669">
        <f t="shared" si="33"/>
        <v>5</v>
      </c>
      <c r="O669">
        <v>1</v>
      </c>
      <c r="P669" s="6">
        <v>122.48</v>
      </c>
      <c r="Q669">
        <v>6.12</v>
      </c>
      <c r="R669">
        <v>116.36</v>
      </c>
      <c r="S669">
        <v>5.82</v>
      </c>
      <c r="T669">
        <v>30</v>
      </c>
      <c r="U669">
        <v>10</v>
      </c>
      <c r="V669">
        <v>162.18</v>
      </c>
      <c r="W669" t="s">
        <v>27</v>
      </c>
      <c r="X669">
        <v>29</v>
      </c>
    </row>
    <row r="670" spans="1:24" ht="14.25" customHeight="1">
      <c r="A670" t="s">
        <v>1418</v>
      </c>
      <c r="B670" t="s">
        <v>2284</v>
      </c>
      <c r="C670" s="6" t="str">
        <f t="shared" si="31"/>
        <v>February</v>
      </c>
      <c r="D670" s="6" t="str">
        <f t="shared" si="32"/>
        <v>02</v>
      </c>
      <c r="E670" t="s">
        <v>323</v>
      </c>
      <c r="F670" t="s">
        <v>21</v>
      </c>
      <c r="G670" t="s">
        <v>74</v>
      </c>
      <c r="H670" s="4" t="s">
        <v>2257</v>
      </c>
      <c r="I670">
        <v>651852</v>
      </c>
      <c r="J670" s="8" t="s">
        <v>2346</v>
      </c>
      <c r="K670" t="s">
        <v>324</v>
      </c>
      <c r="L670" t="s">
        <v>325</v>
      </c>
      <c r="M670" t="s">
        <v>140</v>
      </c>
      <c r="N670">
        <f t="shared" si="33"/>
        <v>3</v>
      </c>
      <c r="O670">
        <v>3</v>
      </c>
      <c r="P670" s="6">
        <v>103.94</v>
      </c>
      <c r="Q670">
        <v>5.2</v>
      </c>
      <c r="R670">
        <v>306.62</v>
      </c>
      <c r="S670">
        <v>15.33</v>
      </c>
      <c r="T670">
        <v>20</v>
      </c>
      <c r="U670">
        <v>0</v>
      </c>
      <c r="V670">
        <v>341.95</v>
      </c>
      <c r="W670" t="s">
        <v>27</v>
      </c>
      <c r="X670">
        <v>10</v>
      </c>
    </row>
    <row r="671" spans="1:24" ht="14.25" customHeight="1">
      <c r="A671" t="s">
        <v>1419</v>
      </c>
      <c r="B671" t="s">
        <v>2276</v>
      </c>
      <c r="C671" s="6" t="str">
        <f t="shared" si="31"/>
        <v>February</v>
      </c>
      <c r="D671" s="6" t="str">
        <f t="shared" si="32"/>
        <v>09</v>
      </c>
      <c r="E671" t="s">
        <v>327</v>
      </c>
      <c r="F671" t="s">
        <v>21</v>
      </c>
      <c r="G671" t="s">
        <v>68</v>
      </c>
      <c r="H671" s="4" t="s">
        <v>2257</v>
      </c>
      <c r="I671">
        <v>682111</v>
      </c>
      <c r="J671" s="8" t="s">
        <v>2347</v>
      </c>
      <c r="K671" t="s">
        <v>328</v>
      </c>
      <c r="L671" t="s">
        <v>329</v>
      </c>
      <c r="M671" t="s">
        <v>177</v>
      </c>
      <c r="N671">
        <f t="shared" si="33"/>
        <v>5</v>
      </c>
      <c r="O671">
        <v>3</v>
      </c>
      <c r="P671" s="6">
        <v>192.61</v>
      </c>
      <c r="Q671">
        <v>28.89</v>
      </c>
      <c r="R671">
        <v>548.94000000000005</v>
      </c>
      <c r="S671">
        <v>27.45</v>
      </c>
      <c r="T671">
        <v>0</v>
      </c>
      <c r="U671">
        <v>10</v>
      </c>
      <c r="V671">
        <v>586.3900000000001</v>
      </c>
      <c r="W671" t="s">
        <v>27</v>
      </c>
      <c r="X671">
        <v>22</v>
      </c>
    </row>
    <row r="672" spans="1:24" ht="14.25" customHeight="1">
      <c r="A672" t="s">
        <v>1420</v>
      </c>
      <c r="B672" t="s">
        <v>2311</v>
      </c>
      <c r="C672" s="6" t="str">
        <f t="shared" si="31"/>
        <v>January</v>
      </c>
      <c r="D672" s="6" t="str">
        <f t="shared" si="32"/>
        <v>10</v>
      </c>
      <c r="E672" t="s">
        <v>331</v>
      </c>
      <c r="F672" t="s">
        <v>80</v>
      </c>
      <c r="G672" t="s">
        <v>81</v>
      </c>
      <c r="H672" s="4" t="s">
        <v>2257</v>
      </c>
      <c r="I672">
        <v>700724</v>
      </c>
      <c r="J672" s="8" t="s">
        <v>62</v>
      </c>
      <c r="K672" t="s">
        <v>332</v>
      </c>
      <c r="L672" t="s">
        <v>333</v>
      </c>
      <c r="M672" t="s">
        <v>26</v>
      </c>
      <c r="N672">
        <f t="shared" si="33"/>
        <v>3</v>
      </c>
      <c r="O672">
        <v>1</v>
      </c>
      <c r="P672" s="6">
        <v>77.27</v>
      </c>
      <c r="Q672">
        <v>3.86</v>
      </c>
      <c r="R672">
        <v>73.41</v>
      </c>
      <c r="S672">
        <v>3.67</v>
      </c>
      <c r="T672">
        <v>0</v>
      </c>
      <c r="U672">
        <v>5</v>
      </c>
      <c r="V672">
        <v>82.08</v>
      </c>
      <c r="W672" t="s">
        <v>27</v>
      </c>
      <c r="X672">
        <v>5</v>
      </c>
    </row>
    <row r="673" spans="1:24" ht="14.25" customHeight="1">
      <c r="A673" t="s">
        <v>1421</v>
      </c>
      <c r="B673" t="s">
        <v>2266</v>
      </c>
      <c r="C673" s="6" t="str">
        <f t="shared" si="31"/>
        <v>February</v>
      </c>
      <c r="D673" s="6" t="str">
        <f t="shared" si="32"/>
        <v>12</v>
      </c>
      <c r="E673" t="s">
        <v>335</v>
      </c>
      <c r="F673" t="s">
        <v>21</v>
      </c>
      <c r="G673" t="s">
        <v>74</v>
      </c>
      <c r="H673" s="4" t="s">
        <v>2257</v>
      </c>
      <c r="I673">
        <v>172684</v>
      </c>
      <c r="J673" s="8" t="s">
        <v>2345</v>
      </c>
      <c r="K673" t="s">
        <v>336</v>
      </c>
      <c r="L673" t="s">
        <v>337</v>
      </c>
      <c r="M673" t="s">
        <v>45</v>
      </c>
      <c r="N673">
        <f t="shared" si="33"/>
        <v>6</v>
      </c>
      <c r="O673">
        <v>1</v>
      </c>
      <c r="P673" s="6">
        <v>59.54</v>
      </c>
      <c r="Q673">
        <v>5.95</v>
      </c>
      <c r="R673">
        <v>53.59</v>
      </c>
      <c r="S673">
        <v>2.68</v>
      </c>
      <c r="T673">
        <v>30</v>
      </c>
      <c r="U673">
        <v>10</v>
      </c>
      <c r="V673">
        <v>96.27</v>
      </c>
      <c r="W673" t="s">
        <v>84</v>
      </c>
      <c r="X673">
        <v>25</v>
      </c>
    </row>
    <row r="674" spans="1:24" ht="14.25" customHeight="1">
      <c r="A674" t="s">
        <v>1422</v>
      </c>
      <c r="B674" t="s">
        <v>2280</v>
      </c>
      <c r="C674" s="6" t="str">
        <f t="shared" si="31"/>
        <v>February</v>
      </c>
      <c r="D674" s="6" t="str">
        <f t="shared" si="32"/>
        <v>13</v>
      </c>
      <c r="E674" t="s">
        <v>339</v>
      </c>
      <c r="F674" t="s">
        <v>21</v>
      </c>
      <c r="G674" t="s">
        <v>68</v>
      </c>
      <c r="H674" s="4" t="s">
        <v>2257</v>
      </c>
      <c r="I674">
        <v>893070</v>
      </c>
      <c r="J674" s="8" t="s">
        <v>2346</v>
      </c>
      <c r="K674" t="s">
        <v>340</v>
      </c>
      <c r="L674" t="s">
        <v>341</v>
      </c>
      <c r="M674" t="s">
        <v>45</v>
      </c>
      <c r="N674">
        <f t="shared" si="33"/>
        <v>6</v>
      </c>
      <c r="O674">
        <v>1</v>
      </c>
      <c r="P674" s="6">
        <v>170.49</v>
      </c>
      <c r="Q674">
        <v>8.52</v>
      </c>
      <c r="R674">
        <v>161.97</v>
      </c>
      <c r="S674">
        <v>8.1</v>
      </c>
      <c r="T674">
        <v>20</v>
      </c>
      <c r="U674">
        <v>10</v>
      </c>
      <c r="V674">
        <v>200.07</v>
      </c>
      <c r="W674" t="s">
        <v>27</v>
      </c>
      <c r="X674">
        <v>28</v>
      </c>
    </row>
    <row r="675" spans="1:24" ht="14.25" customHeight="1">
      <c r="A675" t="s">
        <v>1423</v>
      </c>
      <c r="B675" t="s">
        <v>2264</v>
      </c>
      <c r="C675" s="6" t="str">
        <f t="shared" si="31"/>
        <v>January</v>
      </c>
      <c r="D675" s="6" t="str">
        <f t="shared" si="32"/>
        <v>29</v>
      </c>
      <c r="E675" t="s">
        <v>343</v>
      </c>
      <c r="F675" t="s">
        <v>21</v>
      </c>
      <c r="G675" t="s">
        <v>106</v>
      </c>
      <c r="H675" s="4" t="s">
        <v>2257</v>
      </c>
      <c r="I675">
        <v>837651</v>
      </c>
      <c r="J675" s="8" t="s">
        <v>2348</v>
      </c>
      <c r="K675" t="s">
        <v>344</v>
      </c>
      <c r="L675" t="s">
        <v>345</v>
      </c>
      <c r="M675" t="s">
        <v>71</v>
      </c>
      <c r="N675">
        <f t="shared" si="33"/>
        <v>6</v>
      </c>
      <c r="O675">
        <v>6</v>
      </c>
      <c r="P675" s="6">
        <v>110.64</v>
      </c>
      <c r="Q675">
        <v>5.53</v>
      </c>
      <c r="R675">
        <v>658.31000000000006</v>
      </c>
      <c r="S675">
        <v>32.92</v>
      </c>
      <c r="T675">
        <v>0</v>
      </c>
      <c r="U675">
        <v>5</v>
      </c>
      <c r="V675">
        <v>696.23</v>
      </c>
      <c r="W675" t="s">
        <v>34</v>
      </c>
      <c r="X675">
        <v>25</v>
      </c>
    </row>
    <row r="676" spans="1:24" ht="14.25" customHeight="1">
      <c r="A676" t="s">
        <v>1424</v>
      </c>
      <c r="B676" t="s">
        <v>2318</v>
      </c>
      <c r="C676" s="6" t="str">
        <f t="shared" si="31"/>
        <v>January</v>
      </c>
      <c r="D676" s="6" t="str">
        <f t="shared" si="32"/>
        <v>13</v>
      </c>
      <c r="E676" t="s">
        <v>347</v>
      </c>
      <c r="F676" t="s">
        <v>101</v>
      </c>
      <c r="G676" t="s">
        <v>81</v>
      </c>
      <c r="H676" s="4" t="s">
        <v>2257</v>
      </c>
      <c r="I676">
        <v>472818</v>
      </c>
      <c r="J676" s="8" t="s">
        <v>30</v>
      </c>
      <c r="K676" t="s">
        <v>348</v>
      </c>
      <c r="L676" t="s">
        <v>349</v>
      </c>
      <c r="M676" t="s">
        <v>65</v>
      </c>
      <c r="N676">
        <f t="shared" si="33"/>
        <v>6</v>
      </c>
      <c r="O676">
        <v>5</v>
      </c>
      <c r="P676" s="6">
        <v>138.79</v>
      </c>
      <c r="Q676">
        <v>0</v>
      </c>
      <c r="R676">
        <v>693.94999999999993</v>
      </c>
      <c r="S676">
        <v>34.700000000000003</v>
      </c>
      <c r="T676">
        <v>30</v>
      </c>
      <c r="U676">
        <v>0</v>
      </c>
      <c r="V676">
        <v>758.65</v>
      </c>
      <c r="W676" t="s">
        <v>27</v>
      </c>
      <c r="X676">
        <v>25</v>
      </c>
    </row>
    <row r="677" spans="1:24" ht="14.25" customHeight="1">
      <c r="A677" t="s">
        <v>1425</v>
      </c>
      <c r="B677" t="s">
        <v>2285</v>
      </c>
      <c r="C677" s="6" t="str">
        <f t="shared" si="31"/>
        <v>January</v>
      </c>
      <c r="D677" s="6" t="str">
        <f t="shared" si="32"/>
        <v>12</v>
      </c>
      <c r="E677" t="s">
        <v>351</v>
      </c>
      <c r="F677" t="s">
        <v>21</v>
      </c>
      <c r="G677" t="s">
        <v>106</v>
      </c>
      <c r="H677" s="4" t="s">
        <v>2257</v>
      </c>
      <c r="I677">
        <v>513461</v>
      </c>
      <c r="J677" s="8" t="s">
        <v>30</v>
      </c>
      <c r="K677" t="s">
        <v>352</v>
      </c>
      <c r="L677" t="s">
        <v>353</v>
      </c>
      <c r="M677" t="s">
        <v>140</v>
      </c>
      <c r="N677">
        <f t="shared" si="33"/>
        <v>3</v>
      </c>
      <c r="O677">
        <v>4</v>
      </c>
      <c r="P677" s="6">
        <v>71.62</v>
      </c>
      <c r="Q677">
        <v>10.74</v>
      </c>
      <c r="R677">
        <v>275.74</v>
      </c>
      <c r="S677">
        <v>13.79</v>
      </c>
      <c r="T677">
        <v>20</v>
      </c>
      <c r="U677">
        <v>5</v>
      </c>
      <c r="V677">
        <v>314.52999999999997</v>
      </c>
      <c r="W677" t="s">
        <v>27</v>
      </c>
      <c r="X677">
        <v>11</v>
      </c>
    </row>
    <row r="678" spans="1:24" ht="14.25" customHeight="1">
      <c r="A678" t="s">
        <v>1426</v>
      </c>
      <c r="B678" t="s">
        <v>2312</v>
      </c>
      <c r="C678" s="6" t="str">
        <f t="shared" si="31"/>
        <v>January</v>
      </c>
      <c r="D678" s="6" t="str">
        <f t="shared" si="32"/>
        <v>31</v>
      </c>
      <c r="E678" t="s">
        <v>355</v>
      </c>
      <c r="F678" t="s">
        <v>21</v>
      </c>
      <c r="G678" t="s">
        <v>37</v>
      </c>
      <c r="H678" s="4" t="s">
        <v>2257</v>
      </c>
      <c r="I678">
        <v>697578</v>
      </c>
      <c r="J678" s="8" t="s">
        <v>2349</v>
      </c>
      <c r="K678" t="s">
        <v>356</v>
      </c>
      <c r="L678" t="s">
        <v>357</v>
      </c>
      <c r="M678" t="s">
        <v>135</v>
      </c>
      <c r="N678">
        <f t="shared" si="33"/>
        <v>9</v>
      </c>
      <c r="O678">
        <v>3</v>
      </c>
      <c r="P678" s="6">
        <v>96.73</v>
      </c>
      <c r="Q678">
        <v>0</v>
      </c>
      <c r="R678">
        <v>290.19</v>
      </c>
      <c r="S678">
        <v>14.51</v>
      </c>
      <c r="T678">
        <v>30</v>
      </c>
      <c r="U678">
        <v>5</v>
      </c>
      <c r="V678">
        <v>339.7</v>
      </c>
      <c r="W678" t="s">
        <v>27</v>
      </c>
      <c r="X678">
        <v>40</v>
      </c>
    </row>
    <row r="679" spans="1:24" ht="14.25" customHeight="1">
      <c r="A679" t="s">
        <v>1427</v>
      </c>
      <c r="B679" t="s">
        <v>2321</v>
      </c>
      <c r="C679" s="6" t="str">
        <f t="shared" si="31"/>
        <v>February</v>
      </c>
      <c r="D679" s="6" t="str">
        <f t="shared" si="32"/>
        <v>15</v>
      </c>
      <c r="E679" t="s">
        <v>359</v>
      </c>
      <c r="F679" t="s">
        <v>21</v>
      </c>
      <c r="G679" t="s">
        <v>74</v>
      </c>
      <c r="H679" s="4" t="s">
        <v>2257</v>
      </c>
      <c r="I679">
        <v>991490</v>
      </c>
      <c r="J679" s="8" t="s">
        <v>2347</v>
      </c>
      <c r="K679" t="s">
        <v>360</v>
      </c>
      <c r="L679" t="s">
        <v>361</v>
      </c>
      <c r="M679" t="s">
        <v>65</v>
      </c>
      <c r="N679">
        <f t="shared" si="33"/>
        <v>6</v>
      </c>
      <c r="O679">
        <v>1</v>
      </c>
      <c r="P679" s="6">
        <v>42.37</v>
      </c>
      <c r="Q679">
        <v>0</v>
      </c>
      <c r="R679">
        <v>42.37</v>
      </c>
      <c r="S679">
        <v>2.12</v>
      </c>
      <c r="T679">
        <v>30</v>
      </c>
      <c r="U679">
        <v>20</v>
      </c>
      <c r="V679">
        <v>94.49</v>
      </c>
      <c r="W679" t="s">
        <v>27</v>
      </c>
      <c r="X679">
        <v>12</v>
      </c>
    </row>
    <row r="680" spans="1:24" ht="14.25" customHeight="1">
      <c r="A680" t="s">
        <v>1428</v>
      </c>
      <c r="B680" t="s">
        <v>2279</v>
      </c>
      <c r="C680" s="6" t="str">
        <f t="shared" si="31"/>
        <v>January</v>
      </c>
      <c r="D680" s="6" t="str">
        <f t="shared" si="32"/>
        <v>02</v>
      </c>
      <c r="E680" t="s">
        <v>363</v>
      </c>
      <c r="F680" t="s">
        <v>21</v>
      </c>
      <c r="G680" t="s">
        <v>37</v>
      </c>
      <c r="H680" s="4" t="s">
        <v>2257</v>
      </c>
      <c r="I680">
        <v>597488</v>
      </c>
      <c r="J680" s="8" t="s">
        <v>30</v>
      </c>
      <c r="K680" t="s">
        <v>364</v>
      </c>
      <c r="L680" t="s">
        <v>365</v>
      </c>
      <c r="M680" t="s">
        <v>77</v>
      </c>
      <c r="N680">
        <f t="shared" si="33"/>
        <v>5</v>
      </c>
      <c r="O680">
        <v>4</v>
      </c>
      <c r="P680" s="6">
        <v>140.43</v>
      </c>
      <c r="Q680">
        <v>0</v>
      </c>
      <c r="R680">
        <v>561.72</v>
      </c>
      <c r="S680">
        <v>28.09</v>
      </c>
      <c r="T680">
        <v>10</v>
      </c>
      <c r="U680">
        <v>5</v>
      </c>
      <c r="V680">
        <v>604.81000000000006</v>
      </c>
      <c r="W680" t="s">
        <v>34</v>
      </c>
      <c r="X680">
        <v>25</v>
      </c>
    </row>
    <row r="681" spans="1:24" ht="14.25" customHeight="1">
      <c r="A681" t="s">
        <v>1429</v>
      </c>
      <c r="B681" t="s">
        <v>2294</v>
      </c>
      <c r="C681" s="6" t="str">
        <f t="shared" si="31"/>
        <v>February</v>
      </c>
      <c r="D681" s="6" t="str">
        <f t="shared" si="32"/>
        <v>20</v>
      </c>
      <c r="E681" t="s">
        <v>367</v>
      </c>
      <c r="F681" t="s">
        <v>21</v>
      </c>
      <c r="G681" t="s">
        <v>37</v>
      </c>
      <c r="H681" s="4" t="s">
        <v>2257</v>
      </c>
      <c r="I681">
        <v>331452</v>
      </c>
      <c r="J681" s="8" t="s">
        <v>30</v>
      </c>
      <c r="K681" t="s">
        <v>368</v>
      </c>
      <c r="L681" t="s">
        <v>369</v>
      </c>
      <c r="M681" t="s">
        <v>65</v>
      </c>
      <c r="N681">
        <f t="shared" si="33"/>
        <v>6</v>
      </c>
      <c r="O681">
        <v>3</v>
      </c>
      <c r="P681" s="6">
        <v>52.28</v>
      </c>
      <c r="Q681">
        <v>0</v>
      </c>
      <c r="R681">
        <v>156.84</v>
      </c>
      <c r="S681">
        <v>7.84</v>
      </c>
      <c r="T681">
        <v>30</v>
      </c>
      <c r="U681">
        <v>15</v>
      </c>
      <c r="V681">
        <v>209.68</v>
      </c>
      <c r="W681" t="s">
        <v>27</v>
      </c>
      <c r="X681">
        <v>13</v>
      </c>
    </row>
    <row r="682" spans="1:24" ht="14.25" customHeight="1">
      <c r="A682" t="s">
        <v>1430</v>
      </c>
      <c r="B682" t="s">
        <v>2303</v>
      </c>
      <c r="C682" s="6" t="str">
        <f t="shared" si="31"/>
        <v>February</v>
      </c>
      <c r="D682" s="6" t="str">
        <f t="shared" si="32"/>
        <v>19</v>
      </c>
      <c r="E682" t="s">
        <v>371</v>
      </c>
      <c r="F682" t="s">
        <v>21</v>
      </c>
      <c r="G682" t="s">
        <v>22</v>
      </c>
      <c r="H682" s="4" t="s">
        <v>2257</v>
      </c>
      <c r="I682">
        <v>369515</v>
      </c>
      <c r="J682" s="8" t="s">
        <v>30</v>
      </c>
      <c r="K682" t="s">
        <v>372</v>
      </c>
      <c r="L682" t="s">
        <v>373</v>
      </c>
      <c r="M682" t="s">
        <v>50</v>
      </c>
      <c r="N682">
        <f t="shared" si="33"/>
        <v>5</v>
      </c>
      <c r="O682">
        <v>2</v>
      </c>
      <c r="P682" s="6">
        <v>69.88</v>
      </c>
      <c r="Q682">
        <v>3.49</v>
      </c>
      <c r="R682">
        <v>136.27000000000001</v>
      </c>
      <c r="S682">
        <v>6.81</v>
      </c>
      <c r="T682">
        <v>20</v>
      </c>
      <c r="U682">
        <v>10</v>
      </c>
      <c r="V682">
        <v>173.08</v>
      </c>
      <c r="W682" t="s">
        <v>117</v>
      </c>
      <c r="X682">
        <v>25</v>
      </c>
    </row>
    <row r="683" spans="1:24" ht="14.25" customHeight="1">
      <c r="A683" t="s">
        <v>1431</v>
      </c>
      <c r="B683" t="s">
        <v>2306</v>
      </c>
      <c r="C683" s="6" t="str">
        <f t="shared" si="31"/>
        <v>February</v>
      </c>
      <c r="D683" s="6" t="str">
        <f t="shared" si="32"/>
        <v>04</v>
      </c>
      <c r="E683" t="s">
        <v>375</v>
      </c>
      <c r="F683" t="s">
        <v>21</v>
      </c>
      <c r="G683" t="s">
        <v>37</v>
      </c>
      <c r="H683" s="4" t="s">
        <v>2257</v>
      </c>
      <c r="I683">
        <v>343459</v>
      </c>
      <c r="J683" s="8" t="s">
        <v>30</v>
      </c>
      <c r="K683" t="s">
        <v>376</v>
      </c>
      <c r="L683" t="s">
        <v>377</v>
      </c>
      <c r="M683" t="s">
        <v>65</v>
      </c>
      <c r="N683">
        <f t="shared" si="33"/>
        <v>6</v>
      </c>
      <c r="O683">
        <v>3</v>
      </c>
      <c r="P683" s="6">
        <v>134.75</v>
      </c>
      <c r="Q683">
        <v>6.74</v>
      </c>
      <c r="R683">
        <v>397.51</v>
      </c>
      <c r="S683">
        <v>19.88</v>
      </c>
      <c r="T683">
        <v>30</v>
      </c>
      <c r="U683">
        <v>20</v>
      </c>
      <c r="V683">
        <v>467.39</v>
      </c>
      <c r="W683" t="s">
        <v>84</v>
      </c>
      <c r="X683">
        <v>25</v>
      </c>
    </row>
    <row r="684" spans="1:24" ht="14.25" customHeight="1">
      <c r="A684" t="s">
        <v>1432</v>
      </c>
      <c r="B684" t="s">
        <v>2271</v>
      </c>
      <c r="C684" s="6" t="str">
        <f t="shared" si="31"/>
        <v>January</v>
      </c>
      <c r="D684" s="6" t="str">
        <f t="shared" si="32"/>
        <v>23</v>
      </c>
      <c r="E684" t="s">
        <v>379</v>
      </c>
      <c r="F684" t="s">
        <v>21</v>
      </c>
      <c r="G684" t="s">
        <v>68</v>
      </c>
      <c r="H684" s="4" t="s">
        <v>2257</v>
      </c>
      <c r="I684">
        <v>577294</v>
      </c>
      <c r="J684" s="8" t="s">
        <v>2347</v>
      </c>
      <c r="K684" t="s">
        <v>380</v>
      </c>
      <c r="L684" t="s">
        <v>381</v>
      </c>
      <c r="M684" t="s">
        <v>45</v>
      </c>
      <c r="N684">
        <f t="shared" si="33"/>
        <v>6</v>
      </c>
      <c r="O684">
        <v>1</v>
      </c>
      <c r="P684" s="6">
        <v>156.31</v>
      </c>
      <c r="Q684">
        <v>15.63</v>
      </c>
      <c r="R684">
        <v>140.68</v>
      </c>
      <c r="S684">
        <v>7.03</v>
      </c>
      <c r="T684">
        <v>20</v>
      </c>
      <c r="U684">
        <v>15</v>
      </c>
      <c r="V684">
        <v>182.71</v>
      </c>
      <c r="W684" t="s">
        <v>27</v>
      </c>
      <c r="X684">
        <v>36</v>
      </c>
    </row>
    <row r="685" spans="1:24" ht="14.25" customHeight="1">
      <c r="A685" t="s">
        <v>1433</v>
      </c>
      <c r="B685" t="s">
        <v>2307</v>
      </c>
      <c r="C685" s="6" t="str">
        <f t="shared" si="31"/>
        <v>January</v>
      </c>
      <c r="D685" s="6" t="str">
        <f t="shared" si="32"/>
        <v>17</v>
      </c>
      <c r="E685" t="s">
        <v>383</v>
      </c>
      <c r="F685" t="s">
        <v>21</v>
      </c>
      <c r="G685" t="s">
        <v>74</v>
      </c>
      <c r="H685" s="4" t="s">
        <v>2257</v>
      </c>
      <c r="I685">
        <v>972391</v>
      </c>
      <c r="J685" s="8" t="s">
        <v>2347</v>
      </c>
      <c r="K685" t="s">
        <v>384</v>
      </c>
      <c r="L685" t="s">
        <v>385</v>
      </c>
      <c r="M685" t="s">
        <v>77</v>
      </c>
      <c r="N685">
        <f t="shared" si="33"/>
        <v>5</v>
      </c>
      <c r="O685">
        <v>2</v>
      </c>
      <c r="P685" s="6">
        <v>162.74</v>
      </c>
      <c r="Q685">
        <v>8.14</v>
      </c>
      <c r="R685">
        <v>317.33999999999997</v>
      </c>
      <c r="S685">
        <v>15.87</v>
      </c>
      <c r="T685">
        <v>30</v>
      </c>
      <c r="U685">
        <v>5</v>
      </c>
      <c r="V685">
        <v>368.21</v>
      </c>
      <c r="W685" t="s">
        <v>34</v>
      </c>
      <c r="X685">
        <v>25</v>
      </c>
    </row>
    <row r="686" spans="1:24" ht="14.25" customHeight="1">
      <c r="A686" t="s">
        <v>1434</v>
      </c>
      <c r="B686" t="s">
        <v>2304</v>
      </c>
      <c r="C686" s="6" t="str">
        <f t="shared" si="31"/>
        <v>January</v>
      </c>
      <c r="D686" s="6" t="str">
        <f t="shared" si="32"/>
        <v>26</v>
      </c>
      <c r="E686" t="s">
        <v>387</v>
      </c>
      <c r="F686" t="s">
        <v>80</v>
      </c>
      <c r="G686" t="s">
        <v>81</v>
      </c>
      <c r="H686" s="4" t="s">
        <v>2257</v>
      </c>
      <c r="I686">
        <v>294999</v>
      </c>
      <c r="J686" s="8" t="s">
        <v>2349</v>
      </c>
      <c r="K686" t="s">
        <v>388</v>
      </c>
      <c r="L686" t="s">
        <v>389</v>
      </c>
      <c r="M686" t="s">
        <v>26</v>
      </c>
      <c r="N686">
        <f t="shared" si="33"/>
        <v>3</v>
      </c>
      <c r="O686">
        <v>1</v>
      </c>
      <c r="P686" s="6">
        <v>226</v>
      </c>
      <c r="Q686">
        <v>33.9</v>
      </c>
      <c r="R686">
        <v>192.1</v>
      </c>
      <c r="S686">
        <v>9.61</v>
      </c>
      <c r="T686">
        <v>30</v>
      </c>
      <c r="U686">
        <v>10</v>
      </c>
      <c r="V686">
        <v>241.71</v>
      </c>
      <c r="W686" t="s">
        <v>27</v>
      </c>
      <c r="X686">
        <v>40</v>
      </c>
    </row>
    <row r="687" spans="1:24" ht="14.25" customHeight="1">
      <c r="A687" t="s">
        <v>1435</v>
      </c>
      <c r="B687" t="s">
        <v>2267</v>
      </c>
      <c r="C687" s="6" t="str">
        <f t="shared" si="31"/>
        <v>January</v>
      </c>
      <c r="D687" s="6" t="str">
        <f t="shared" si="32"/>
        <v>08</v>
      </c>
      <c r="E687" t="s">
        <v>391</v>
      </c>
      <c r="F687" t="s">
        <v>21</v>
      </c>
      <c r="G687" t="s">
        <v>37</v>
      </c>
      <c r="H687" s="4" t="s">
        <v>2257</v>
      </c>
      <c r="I687">
        <v>438585</v>
      </c>
      <c r="J687" s="8" t="s">
        <v>2346</v>
      </c>
      <c r="K687" t="s">
        <v>392</v>
      </c>
      <c r="L687" t="s">
        <v>393</v>
      </c>
      <c r="M687" t="s">
        <v>50</v>
      </c>
      <c r="N687">
        <f t="shared" si="33"/>
        <v>5</v>
      </c>
      <c r="O687">
        <v>5</v>
      </c>
      <c r="P687" s="6">
        <v>175.68</v>
      </c>
      <c r="Q687">
        <v>17.57</v>
      </c>
      <c r="R687">
        <v>860.83</v>
      </c>
      <c r="S687">
        <v>43.04</v>
      </c>
      <c r="T687">
        <v>0</v>
      </c>
      <c r="U687">
        <v>0</v>
      </c>
      <c r="V687">
        <v>903.87</v>
      </c>
      <c r="W687" t="s">
        <v>117</v>
      </c>
      <c r="X687">
        <v>25</v>
      </c>
    </row>
    <row r="688" spans="1:24" ht="14.25" customHeight="1">
      <c r="A688" t="s">
        <v>1436</v>
      </c>
      <c r="B688" t="s">
        <v>2264</v>
      </c>
      <c r="C688" s="6" t="str">
        <f t="shared" si="31"/>
        <v>January</v>
      </c>
      <c r="D688" s="6" t="str">
        <f t="shared" si="32"/>
        <v>29</v>
      </c>
      <c r="E688" t="s">
        <v>395</v>
      </c>
      <c r="F688" t="s">
        <v>21</v>
      </c>
      <c r="G688" t="s">
        <v>22</v>
      </c>
      <c r="H688" s="4" t="s">
        <v>2257</v>
      </c>
      <c r="I688">
        <v>592461</v>
      </c>
      <c r="J688" s="8" t="s">
        <v>30</v>
      </c>
      <c r="K688" t="s">
        <v>396</v>
      </c>
      <c r="L688" t="s">
        <v>397</v>
      </c>
      <c r="M688" t="s">
        <v>71</v>
      </c>
      <c r="N688">
        <f t="shared" si="33"/>
        <v>6</v>
      </c>
      <c r="O688">
        <v>4</v>
      </c>
      <c r="P688" s="6">
        <v>62.86</v>
      </c>
      <c r="Q688">
        <v>6.29</v>
      </c>
      <c r="R688">
        <v>245.15</v>
      </c>
      <c r="S688">
        <v>12.26</v>
      </c>
      <c r="T688">
        <v>20</v>
      </c>
      <c r="U688">
        <v>15</v>
      </c>
      <c r="V688">
        <v>292.41000000000003</v>
      </c>
      <c r="W688" t="s">
        <v>27</v>
      </c>
      <c r="X688">
        <v>18</v>
      </c>
    </row>
    <row r="689" spans="1:24" ht="14.25" customHeight="1">
      <c r="A689" t="s">
        <v>1437</v>
      </c>
      <c r="B689" t="s">
        <v>2304</v>
      </c>
      <c r="C689" s="6" t="str">
        <f t="shared" si="31"/>
        <v>January</v>
      </c>
      <c r="D689" s="6" t="str">
        <f t="shared" si="32"/>
        <v>26</v>
      </c>
      <c r="E689" t="s">
        <v>399</v>
      </c>
      <c r="F689" t="s">
        <v>21</v>
      </c>
      <c r="G689" t="s">
        <v>68</v>
      </c>
      <c r="H689" s="4" t="s">
        <v>2257</v>
      </c>
      <c r="I689">
        <v>572295</v>
      </c>
      <c r="J689" s="8" t="s">
        <v>2345</v>
      </c>
      <c r="K689" t="s">
        <v>400</v>
      </c>
      <c r="L689" t="s">
        <v>401</v>
      </c>
      <c r="M689" t="s">
        <v>135</v>
      </c>
      <c r="N689">
        <f t="shared" si="33"/>
        <v>9</v>
      </c>
      <c r="O689">
        <v>3</v>
      </c>
      <c r="P689" s="6">
        <v>198.55</v>
      </c>
      <c r="Q689">
        <v>19.86</v>
      </c>
      <c r="R689">
        <v>575.79000000000008</v>
      </c>
      <c r="S689">
        <v>28.79</v>
      </c>
      <c r="T689">
        <v>20</v>
      </c>
      <c r="U689">
        <v>20</v>
      </c>
      <c r="V689">
        <v>644.58000000000004</v>
      </c>
      <c r="W689" t="s">
        <v>27</v>
      </c>
      <c r="X689">
        <v>20</v>
      </c>
    </row>
    <row r="690" spans="1:24" ht="14.25" customHeight="1">
      <c r="A690" t="s">
        <v>1438</v>
      </c>
      <c r="B690" t="s">
        <v>2311</v>
      </c>
      <c r="C690" s="6" t="str">
        <f t="shared" si="31"/>
        <v>January</v>
      </c>
      <c r="D690" s="6" t="str">
        <f t="shared" si="32"/>
        <v>10</v>
      </c>
      <c r="E690" t="s">
        <v>403</v>
      </c>
      <c r="F690" t="s">
        <v>21</v>
      </c>
      <c r="G690" t="s">
        <v>22</v>
      </c>
      <c r="H690" s="4" t="s">
        <v>2257</v>
      </c>
      <c r="I690">
        <v>832722</v>
      </c>
      <c r="J690" s="8" t="s">
        <v>2346</v>
      </c>
      <c r="K690" t="s">
        <v>404</v>
      </c>
      <c r="L690" t="s">
        <v>405</v>
      </c>
      <c r="M690" t="s">
        <v>140</v>
      </c>
      <c r="N690">
        <f t="shared" si="33"/>
        <v>3</v>
      </c>
      <c r="O690">
        <v>4</v>
      </c>
      <c r="P690" s="6">
        <v>220.03</v>
      </c>
      <c r="Q690">
        <v>33</v>
      </c>
      <c r="R690">
        <v>847.12</v>
      </c>
      <c r="S690">
        <v>42.36</v>
      </c>
      <c r="T690">
        <v>20</v>
      </c>
      <c r="U690">
        <v>5</v>
      </c>
      <c r="V690">
        <v>914.48</v>
      </c>
      <c r="W690" t="s">
        <v>27</v>
      </c>
      <c r="X690">
        <v>40</v>
      </c>
    </row>
    <row r="691" spans="1:24" ht="14.25" customHeight="1">
      <c r="A691" t="s">
        <v>1439</v>
      </c>
      <c r="B691" t="s">
        <v>2304</v>
      </c>
      <c r="C691" s="6" t="str">
        <f t="shared" si="31"/>
        <v>January</v>
      </c>
      <c r="D691" s="6" t="str">
        <f t="shared" si="32"/>
        <v>26</v>
      </c>
      <c r="E691" t="s">
        <v>407</v>
      </c>
      <c r="F691" t="s">
        <v>101</v>
      </c>
      <c r="G691" t="s">
        <v>81</v>
      </c>
      <c r="H691" s="4" t="s">
        <v>2257</v>
      </c>
      <c r="I691">
        <v>944156</v>
      </c>
      <c r="J691" s="8" t="s">
        <v>2348</v>
      </c>
      <c r="K691" t="s">
        <v>408</v>
      </c>
      <c r="L691" t="s">
        <v>409</v>
      </c>
      <c r="M691" t="s">
        <v>177</v>
      </c>
      <c r="N691">
        <f t="shared" si="33"/>
        <v>5</v>
      </c>
      <c r="O691">
        <v>1</v>
      </c>
      <c r="P691" s="6">
        <v>229.66</v>
      </c>
      <c r="Q691">
        <v>11.48</v>
      </c>
      <c r="R691">
        <v>218.18</v>
      </c>
      <c r="S691">
        <v>10.91</v>
      </c>
      <c r="T691">
        <v>20</v>
      </c>
      <c r="U691">
        <v>15</v>
      </c>
      <c r="V691">
        <v>264.08999999999997</v>
      </c>
      <c r="W691" t="s">
        <v>117</v>
      </c>
      <c r="X691">
        <v>25</v>
      </c>
    </row>
    <row r="692" spans="1:24" ht="14.25" customHeight="1">
      <c r="A692" t="s">
        <v>1440</v>
      </c>
      <c r="B692" t="s">
        <v>2310</v>
      </c>
      <c r="C692" s="6" t="str">
        <f t="shared" si="31"/>
        <v>February</v>
      </c>
      <c r="D692" s="6" t="str">
        <f t="shared" si="32"/>
        <v>03</v>
      </c>
      <c r="E692" t="s">
        <v>411</v>
      </c>
      <c r="F692" t="s">
        <v>21</v>
      </c>
      <c r="G692" t="s">
        <v>68</v>
      </c>
      <c r="H692" s="4" t="s">
        <v>2257</v>
      </c>
      <c r="I692">
        <v>442022</v>
      </c>
      <c r="J692" s="8" t="s">
        <v>2349</v>
      </c>
      <c r="K692" t="s">
        <v>412</v>
      </c>
      <c r="L692" t="s">
        <v>413</v>
      </c>
      <c r="M692" t="s">
        <v>45</v>
      </c>
      <c r="N692">
        <f t="shared" si="33"/>
        <v>6</v>
      </c>
      <c r="O692">
        <v>1</v>
      </c>
      <c r="P692" s="6">
        <v>163.29</v>
      </c>
      <c r="Q692">
        <v>24.49</v>
      </c>
      <c r="R692">
        <v>138.80000000000001</v>
      </c>
      <c r="S692">
        <v>6.94</v>
      </c>
      <c r="T692">
        <v>0</v>
      </c>
      <c r="U692">
        <v>15</v>
      </c>
      <c r="V692">
        <v>160.74</v>
      </c>
      <c r="W692" t="s">
        <v>27</v>
      </c>
      <c r="X692">
        <v>23</v>
      </c>
    </row>
    <row r="693" spans="1:24" ht="14.25" customHeight="1">
      <c r="A693" t="s">
        <v>1441</v>
      </c>
      <c r="B693" t="s">
        <v>2294</v>
      </c>
      <c r="C693" s="6" t="str">
        <f t="shared" si="31"/>
        <v>February</v>
      </c>
      <c r="D693" s="6" t="str">
        <f t="shared" si="32"/>
        <v>20</v>
      </c>
      <c r="E693" t="s">
        <v>415</v>
      </c>
      <c r="F693" t="s">
        <v>21</v>
      </c>
      <c r="G693" t="s">
        <v>68</v>
      </c>
      <c r="H693" s="4" t="s">
        <v>2257</v>
      </c>
      <c r="I693">
        <v>867976</v>
      </c>
      <c r="J693" s="8" t="s">
        <v>2347</v>
      </c>
      <c r="K693" t="s">
        <v>416</v>
      </c>
      <c r="L693" t="s">
        <v>417</v>
      </c>
      <c r="M693" t="s">
        <v>55</v>
      </c>
      <c r="N693">
        <f t="shared" si="33"/>
        <v>5</v>
      </c>
      <c r="O693">
        <v>3</v>
      </c>
      <c r="P693" s="6">
        <v>71.510000000000005</v>
      </c>
      <c r="Q693">
        <v>7.15</v>
      </c>
      <c r="R693">
        <v>207.38</v>
      </c>
      <c r="S693">
        <v>10.37</v>
      </c>
      <c r="T693">
        <v>0</v>
      </c>
      <c r="U693">
        <v>15</v>
      </c>
      <c r="V693">
        <v>232.75</v>
      </c>
      <c r="W693" t="s">
        <v>27</v>
      </c>
      <c r="X693">
        <v>32</v>
      </c>
    </row>
    <row r="694" spans="1:24" ht="14.25" customHeight="1">
      <c r="A694" t="s">
        <v>1442</v>
      </c>
      <c r="B694" t="s">
        <v>2315</v>
      </c>
      <c r="C694" s="6" t="str">
        <f t="shared" si="31"/>
        <v>February</v>
      </c>
      <c r="D694" s="6" t="str">
        <f t="shared" si="32"/>
        <v>10</v>
      </c>
      <c r="E694" t="s">
        <v>419</v>
      </c>
      <c r="F694" t="s">
        <v>21</v>
      </c>
      <c r="G694" t="s">
        <v>68</v>
      </c>
      <c r="H694" s="4" t="s">
        <v>2257</v>
      </c>
      <c r="I694">
        <v>510520</v>
      </c>
      <c r="J694" s="8" t="s">
        <v>2346</v>
      </c>
      <c r="K694" t="s">
        <v>420</v>
      </c>
      <c r="L694" t="s">
        <v>421</v>
      </c>
      <c r="M694" t="s">
        <v>177</v>
      </c>
      <c r="N694">
        <f t="shared" si="33"/>
        <v>5</v>
      </c>
      <c r="O694">
        <v>1</v>
      </c>
      <c r="P694" s="6">
        <v>156.55000000000001</v>
      </c>
      <c r="Q694">
        <v>23.48</v>
      </c>
      <c r="R694">
        <v>133.07</v>
      </c>
      <c r="S694">
        <v>6.65</v>
      </c>
      <c r="T694">
        <v>20</v>
      </c>
      <c r="U694">
        <v>15</v>
      </c>
      <c r="V694">
        <v>174.72</v>
      </c>
      <c r="W694" t="s">
        <v>27</v>
      </c>
      <c r="X694">
        <v>16</v>
      </c>
    </row>
    <row r="695" spans="1:24" ht="14.25" customHeight="1">
      <c r="A695" t="s">
        <v>1443</v>
      </c>
      <c r="B695" t="s">
        <v>2298</v>
      </c>
      <c r="C695" s="6" t="str">
        <f t="shared" si="31"/>
        <v>January</v>
      </c>
      <c r="D695" s="6" t="str">
        <f t="shared" si="32"/>
        <v>07</v>
      </c>
      <c r="E695" t="s">
        <v>423</v>
      </c>
      <c r="F695" t="s">
        <v>21</v>
      </c>
      <c r="G695" t="s">
        <v>74</v>
      </c>
      <c r="H695" s="4" t="s">
        <v>2257</v>
      </c>
      <c r="I695">
        <v>258477</v>
      </c>
      <c r="J695" s="8" t="s">
        <v>30</v>
      </c>
      <c r="K695" t="s">
        <v>424</v>
      </c>
      <c r="L695" t="s">
        <v>425</v>
      </c>
      <c r="M695" t="s">
        <v>40</v>
      </c>
      <c r="N695">
        <f t="shared" si="33"/>
        <v>6</v>
      </c>
      <c r="O695">
        <v>5</v>
      </c>
      <c r="P695" s="6">
        <v>24.34</v>
      </c>
      <c r="Q695">
        <v>0</v>
      </c>
      <c r="R695">
        <v>121.7</v>
      </c>
      <c r="S695">
        <v>6.09</v>
      </c>
      <c r="T695">
        <v>20</v>
      </c>
      <c r="U695">
        <v>5</v>
      </c>
      <c r="V695">
        <v>152.79</v>
      </c>
      <c r="W695" t="s">
        <v>27</v>
      </c>
      <c r="X695">
        <v>41</v>
      </c>
    </row>
    <row r="696" spans="1:24" ht="14.25" customHeight="1">
      <c r="A696" t="s">
        <v>1444</v>
      </c>
      <c r="B696" t="s">
        <v>2301</v>
      </c>
      <c r="C696" s="6" t="str">
        <f t="shared" si="31"/>
        <v>January</v>
      </c>
      <c r="D696" s="6" t="str">
        <f t="shared" si="32"/>
        <v>04</v>
      </c>
      <c r="E696" t="s">
        <v>427</v>
      </c>
      <c r="F696" t="s">
        <v>21</v>
      </c>
      <c r="G696" t="s">
        <v>22</v>
      </c>
      <c r="H696" s="4" t="s">
        <v>2257</v>
      </c>
      <c r="I696">
        <v>901125</v>
      </c>
      <c r="J696" s="8" t="s">
        <v>2347</v>
      </c>
      <c r="K696" t="s">
        <v>428</v>
      </c>
      <c r="L696" t="s">
        <v>429</v>
      </c>
      <c r="M696" t="s">
        <v>130</v>
      </c>
      <c r="N696">
        <f t="shared" si="33"/>
        <v>7</v>
      </c>
      <c r="O696">
        <v>3</v>
      </c>
      <c r="P696" s="6">
        <v>101.78</v>
      </c>
      <c r="Q696">
        <v>0</v>
      </c>
      <c r="R696">
        <v>305.33999999999997</v>
      </c>
      <c r="S696">
        <v>15.27</v>
      </c>
      <c r="T696">
        <v>20</v>
      </c>
      <c r="U696">
        <v>20</v>
      </c>
      <c r="V696">
        <v>360.61</v>
      </c>
      <c r="W696" t="s">
        <v>27</v>
      </c>
      <c r="X696">
        <v>14</v>
      </c>
    </row>
    <row r="697" spans="1:24" ht="14.25" customHeight="1">
      <c r="A697" t="s">
        <v>1445</v>
      </c>
      <c r="B697" t="s">
        <v>2269</v>
      </c>
      <c r="C697" s="6" t="str">
        <f t="shared" si="31"/>
        <v>February</v>
      </c>
      <c r="D697" s="6" t="str">
        <f t="shared" si="32"/>
        <v>27</v>
      </c>
      <c r="E697" t="s">
        <v>431</v>
      </c>
      <c r="F697" t="s">
        <v>21</v>
      </c>
      <c r="G697" t="s">
        <v>106</v>
      </c>
      <c r="H697" s="4" t="s">
        <v>2257</v>
      </c>
      <c r="I697">
        <v>379720</v>
      </c>
      <c r="J697" s="8" t="s">
        <v>2347</v>
      </c>
      <c r="K697" t="s">
        <v>432</v>
      </c>
      <c r="L697" t="s">
        <v>433</v>
      </c>
      <c r="M697" t="s">
        <v>130</v>
      </c>
      <c r="N697">
        <f t="shared" si="33"/>
        <v>7</v>
      </c>
      <c r="O697">
        <v>6</v>
      </c>
      <c r="P697" s="6">
        <v>116.46</v>
      </c>
      <c r="Q697">
        <v>5.82</v>
      </c>
      <c r="R697">
        <v>692.93999999999994</v>
      </c>
      <c r="S697">
        <v>34.65</v>
      </c>
      <c r="T697">
        <v>10</v>
      </c>
      <c r="U697">
        <v>5</v>
      </c>
      <c r="V697">
        <v>742.58999999999992</v>
      </c>
      <c r="W697" t="s">
        <v>27</v>
      </c>
      <c r="X697">
        <v>42</v>
      </c>
    </row>
    <row r="698" spans="1:24" ht="14.25" customHeight="1">
      <c r="A698" t="s">
        <v>1446</v>
      </c>
      <c r="B698" t="s">
        <v>2274</v>
      </c>
      <c r="C698" s="6" t="str">
        <f t="shared" si="31"/>
        <v>February</v>
      </c>
      <c r="D698" s="6" t="str">
        <f t="shared" si="32"/>
        <v>22</v>
      </c>
      <c r="E698" t="s">
        <v>435</v>
      </c>
      <c r="F698" t="s">
        <v>21</v>
      </c>
      <c r="G698" t="s">
        <v>68</v>
      </c>
      <c r="H698" s="4" t="s">
        <v>2257</v>
      </c>
      <c r="I698">
        <v>594080</v>
      </c>
      <c r="J698" s="8" t="s">
        <v>2348</v>
      </c>
      <c r="K698" t="s">
        <v>436</v>
      </c>
      <c r="L698" t="s">
        <v>437</v>
      </c>
      <c r="M698" t="s">
        <v>40</v>
      </c>
      <c r="N698">
        <f t="shared" si="33"/>
        <v>6</v>
      </c>
      <c r="O698">
        <v>3</v>
      </c>
      <c r="P698" s="6">
        <v>124.63</v>
      </c>
      <c r="Q698">
        <v>18.690000000000001</v>
      </c>
      <c r="R698">
        <v>355.2</v>
      </c>
      <c r="S698">
        <v>17.760000000000002</v>
      </c>
      <c r="T698">
        <v>30</v>
      </c>
      <c r="U698">
        <v>15</v>
      </c>
      <c r="V698">
        <v>417.96</v>
      </c>
      <c r="W698" t="s">
        <v>27</v>
      </c>
      <c r="X698">
        <v>28</v>
      </c>
    </row>
    <row r="699" spans="1:24" ht="14.25" customHeight="1">
      <c r="A699" t="s">
        <v>1447</v>
      </c>
      <c r="B699" t="s">
        <v>2303</v>
      </c>
      <c r="C699" s="6" t="str">
        <f t="shared" si="31"/>
        <v>February</v>
      </c>
      <c r="D699" s="6" t="str">
        <f t="shared" si="32"/>
        <v>19</v>
      </c>
      <c r="E699" t="s">
        <v>439</v>
      </c>
      <c r="F699" t="s">
        <v>21</v>
      </c>
      <c r="G699" t="s">
        <v>37</v>
      </c>
      <c r="H699" s="4" t="s">
        <v>2257</v>
      </c>
      <c r="I699">
        <v>412579</v>
      </c>
      <c r="J699" s="8" t="s">
        <v>2346</v>
      </c>
      <c r="K699" t="s">
        <v>440</v>
      </c>
      <c r="L699" t="s">
        <v>441</v>
      </c>
      <c r="M699" t="s">
        <v>89</v>
      </c>
      <c r="N699">
        <f t="shared" si="33"/>
        <v>7</v>
      </c>
      <c r="O699">
        <v>5</v>
      </c>
      <c r="P699" s="6">
        <v>120.75</v>
      </c>
      <c r="Q699">
        <v>0</v>
      </c>
      <c r="R699">
        <v>603.75</v>
      </c>
      <c r="S699">
        <v>30.19</v>
      </c>
      <c r="T699">
        <v>0</v>
      </c>
      <c r="U699">
        <v>20</v>
      </c>
      <c r="V699">
        <v>653.94000000000005</v>
      </c>
      <c r="W699" t="s">
        <v>27</v>
      </c>
      <c r="X699">
        <v>53</v>
      </c>
    </row>
    <row r="700" spans="1:24" ht="14.25" customHeight="1">
      <c r="A700" t="s">
        <v>1448</v>
      </c>
      <c r="B700" t="s">
        <v>2314</v>
      </c>
      <c r="C700" s="6" t="str">
        <f t="shared" si="31"/>
        <v>February</v>
      </c>
      <c r="D700" s="6" t="str">
        <f t="shared" si="32"/>
        <v>14</v>
      </c>
      <c r="E700" t="s">
        <v>443</v>
      </c>
      <c r="F700" t="s">
        <v>21</v>
      </c>
      <c r="G700" t="s">
        <v>68</v>
      </c>
      <c r="H700" s="4" t="s">
        <v>2257</v>
      </c>
      <c r="I700">
        <v>982876</v>
      </c>
      <c r="J700" s="8" t="s">
        <v>2348</v>
      </c>
      <c r="K700" t="s">
        <v>444</v>
      </c>
      <c r="L700" t="s">
        <v>445</v>
      </c>
      <c r="M700" t="s">
        <v>45</v>
      </c>
      <c r="N700">
        <f t="shared" si="33"/>
        <v>6</v>
      </c>
      <c r="O700">
        <v>3</v>
      </c>
      <c r="P700" s="6">
        <v>138.66999999999999</v>
      </c>
      <c r="Q700">
        <v>6.93</v>
      </c>
      <c r="R700">
        <v>409.08</v>
      </c>
      <c r="S700">
        <v>20.45</v>
      </c>
      <c r="T700">
        <v>0</v>
      </c>
      <c r="U700">
        <v>15</v>
      </c>
      <c r="V700">
        <v>444.53</v>
      </c>
      <c r="W700" t="s">
        <v>34</v>
      </c>
      <c r="X700">
        <v>25</v>
      </c>
    </row>
    <row r="701" spans="1:24" ht="14.25" customHeight="1">
      <c r="A701" t="s">
        <v>1449</v>
      </c>
      <c r="B701" t="s">
        <v>2272</v>
      </c>
      <c r="C701" s="6" t="str">
        <f t="shared" si="31"/>
        <v>January</v>
      </c>
      <c r="D701" s="6" t="str">
        <f t="shared" si="32"/>
        <v>11</v>
      </c>
      <c r="E701" t="s">
        <v>447</v>
      </c>
      <c r="F701" t="s">
        <v>21</v>
      </c>
      <c r="G701" t="s">
        <v>74</v>
      </c>
      <c r="H701" s="4" t="s">
        <v>2257</v>
      </c>
      <c r="I701">
        <v>859066</v>
      </c>
      <c r="J701" s="8" t="s">
        <v>2349</v>
      </c>
      <c r="K701" t="s">
        <v>448</v>
      </c>
      <c r="L701" t="s">
        <v>449</v>
      </c>
      <c r="M701" t="s">
        <v>33</v>
      </c>
      <c r="N701">
        <f t="shared" si="33"/>
        <v>10</v>
      </c>
      <c r="O701">
        <v>1</v>
      </c>
      <c r="P701" s="6">
        <v>182.2</v>
      </c>
      <c r="Q701">
        <v>9.11</v>
      </c>
      <c r="R701">
        <v>173.09</v>
      </c>
      <c r="S701">
        <v>8.65</v>
      </c>
      <c r="T701">
        <v>10</v>
      </c>
      <c r="U701">
        <v>10</v>
      </c>
      <c r="V701">
        <v>201.74</v>
      </c>
      <c r="W701" t="s">
        <v>27</v>
      </c>
      <c r="X701">
        <v>9</v>
      </c>
    </row>
    <row r="702" spans="1:24" ht="14.25" customHeight="1">
      <c r="A702" t="s">
        <v>1450</v>
      </c>
      <c r="B702" t="s">
        <v>2264</v>
      </c>
      <c r="C702" s="6" t="str">
        <f t="shared" si="31"/>
        <v>January</v>
      </c>
      <c r="D702" s="6" t="str">
        <f t="shared" si="32"/>
        <v>29</v>
      </c>
      <c r="E702" t="s">
        <v>451</v>
      </c>
      <c r="F702" t="s">
        <v>21</v>
      </c>
      <c r="G702" t="s">
        <v>106</v>
      </c>
      <c r="H702" s="4" t="s">
        <v>2257</v>
      </c>
      <c r="I702">
        <v>886939</v>
      </c>
      <c r="J702" s="8" t="s">
        <v>2346</v>
      </c>
      <c r="K702" t="s">
        <v>452</v>
      </c>
      <c r="L702" t="s">
        <v>453</v>
      </c>
      <c r="M702" t="s">
        <v>89</v>
      </c>
      <c r="N702">
        <f t="shared" si="33"/>
        <v>7</v>
      </c>
      <c r="O702">
        <v>4</v>
      </c>
      <c r="P702" s="6">
        <v>142.06</v>
      </c>
      <c r="Q702">
        <v>21.31</v>
      </c>
      <c r="R702">
        <v>546.93000000000006</v>
      </c>
      <c r="S702">
        <v>27.35</v>
      </c>
      <c r="T702">
        <v>30</v>
      </c>
      <c r="U702">
        <v>5</v>
      </c>
      <c r="V702">
        <v>609.28000000000009</v>
      </c>
      <c r="W702" t="s">
        <v>27</v>
      </c>
      <c r="X702">
        <v>26</v>
      </c>
    </row>
    <row r="703" spans="1:24" ht="14.25" customHeight="1">
      <c r="A703" t="s">
        <v>1451</v>
      </c>
      <c r="B703" t="s">
        <v>2320</v>
      </c>
      <c r="C703" s="6" t="str">
        <f t="shared" si="31"/>
        <v>February</v>
      </c>
      <c r="D703" s="6" t="str">
        <f t="shared" si="32"/>
        <v>25</v>
      </c>
      <c r="E703" t="s">
        <v>455</v>
      </c>
      <c r="F703" t="s">
        <v>21</v>
      </c>
      <c r="G703" t="s">
        <v>37</v>
      </c>
      <c r="H703" s="4" t="s">
        <v>2257</v>
      </c>
      <c r="I703">
        <v>762714</v>
      </c>
      <c r="J703" s="8" t="s">
        <v>2349</v>
      </c>
      <c r="K703" t="s">
        <v>456</v>
      </c>
      <c r="L703" t="s">
        <v>457</v>
      </c>
      <c r="M703" t="s">
        <v>45</v>
      </c>
      <c r="N703">
        <f t="shared" si="33"/>
        <v>6</v>
      </c>
      <c r="O703">
        <v>2</v>
      </c>
      <c r="P703" s="6">
        <v>128.63</v>
      </c>
      <c r="Q703">
        <v>12.86</v>
      </c>
      <c r="R703">
        <v>244.4</v>
      </c>
      <c r="S703">
        <v>12.22</v>
      </c>
      <c r="T703">
        <v>20</v>
      </c>
      <c r="U703">
        <v>5</v>
      </c>
      <c r="V703">
        <v>281.62</v>
      </c>
      <c r="W703" t="s">
        <v>34</v>
      </c>
      <c r="X703">
        <v>25</v>
      </c>
    </row>
    <row r="704" spans="1:24" ht="14.25" customHeight="1">
      <c r="A704" t="s">
        <v>1452</v>
      </c>
      <c r="B704" t="s">
        <v>2275</v>
      </c>
      <c r="C704" s="6" t="str">
        <f t="shared" si="31"/>
        <v>February</v>
      </c>
      <c r="D704" s="6" t="str">
        <f t="shared" si="32"/>
        <v>05</v>
      </c>
      <c r="E704" t="s">
        <v>459</v>
      </c>
      <c r="F704" t="s">
        <v>21</v>
      </c>
      <c r="G704" t="s">
        <v>37</v>
      </c>
      <c r="H704" s="4" t="s">
        <v>2257</v>
      </c>
      <c r="I704">
        <v>566589</v>
      </c>
      <c r="J704" s="8" t="s">
        <v>2346</v>
      </c>
      <c r="K704" t="s">
        <v>460</v>
      </c>
      <c r="L704" t="s">
        <v>461</v>
      </c>
      <c r="M704" t="s">
        <v>40</v>
      </c>
      <c r="N704">
        <f t="shared" si="33"/>
        <v>6</v>
      </c>
      <c r="O704">
        <v>5</v>
      </c>
      <c r="P704" s="6">
        <v>224.09</v>
      </c>
      <c r="Q704">
        <v>0</v>
      </c>
      <c r="R704">
        <v>1120.45</v>
      </c>
      <c r="S704">
        <v>56.02</v>
      </c>
      <c r="T704">
        <v>20</v>
      </c>
      <c r="U704">
        <v>0</v>
      </c>
      <c r="V704">
        <v>1196.47</v>
      </c>
      <c r="W704" t="s">
        <v>27</v>
      </c>
      <c r="X704">
        <v>15</v>
      </c>
    </row>
    <row r="705" spans="1:24" ht="14.25" customHeight="1">
      <c r="A705" t="s">
        <v>1453</v>
      </c>
      <c r="B705" t="s">
        <v>2286</v>
      </c>
      <c r="C705" s="6" t="str">
        <f t="shared" si="31"/>
        <v>January</v>
      </c>
      <c r="D705" s="6" t="str">
        <f t="shared" si="32"/>
        <v>25</v>
      </c>
      <c r="E705" t="s">
        <v>463</v>
      </c>
      <c r="F705" t="s">
        <v>21</v>
      </c>
      <c r="G705" t="s">
        <v>68</v>
      </c>
      <c r="H705" s="4" t="s">
        <v>2257</v>
      </c>
      <c r="I705">
        <v>270205</v>
      </c>
      <c r="J705" s="8" t="s">
        <v>30</v>
      </c>
      <c r="K705" t="s">
        <v>464</v>
      </c>
      <c r="L705" t="s">
        <v>465</v>
      </c>
      <c r="M705" t="s">
        <v>26</v>
      </c>
      <c r="N705">
        <f t="shared" si="33"/>
        <v>3</v>
      </c>
      <c r="O705">
        <v>5</v>
      </c>
      <c r="P705" s="6">
        <v>132.13999999999999</v>
      </c>
      <c r="Q705">
        <v>13.21</v>
      </c>
      <c r="R705">
        <v>647.4899999999999</v>
      </c>
      <c r="S705">
        <v>32.369999999999997</v>
      </c>
      <c r="T705">
        <v>0</v>
      </c>
      <c r="U705">
        <v>10</v>
      </c>
      <c r="V705">
        <v>689.8599999999999</v>
      </c>
      <c r="W705" t="s">
        <v>34</v>
      </c>
      <c r="X705">
        <v>25</v>
      </c>
    </row>
    <row r="706" spans="1:24" ht="14.25" customHeight="1">
      <c r="A706" t="s">
        <v>1454</v>
      </c>
      <c r="B706" t="s">
        <v>2268</v>
      </c>
      <c r="C706" s="6" t="str">
        <f t="shared" si="31"/>
        <v>January</v>
      </c>
      <c r="D706" s="6" t="str">
        <f t="shared" si="32"/>
        <v>21</v>
      </c>
      <c r="E706" t="s">
        <v>467</v>
      </c>
      <c r="F706" t="s">
        <v>21</v>
      </c>
      <c r="G706" t="s">
        <v>106</v>
      </c>
      <c r="H706" s="4" t="s">
        <v>2257</v>
      </c>
      <c r="I706">
        <v>109927</v>
      </c>
      <c r="J706" s="8" t="s">
        <v>2347</v>
      </c>
      <c r="K706" t="s">
        <v>468</v>
      </c>
      <c r="L706" t="s">
        <v>469</v>
      </c>
      <c r="M706" t="s">
        <v>77</v>
      </c>
      <c r="N706">
        <f t="shared" si="33"/>
        <v>5</v>
      </c>
      <c r="O706">
        <v>2</v>
      </c>
      <c r="P706" s="6">
        <v>0.72</v>
      </c>
      <c r="Q706">
        <v>7.0000000000000007E-2</v>
      </c>
      <c r="R706">
        <v>1.37</v>
      </c>
      <c r="S706">
        <v>7.0000000000000007E-2</v>
      </c>
      <c r="T706">
        <v>0</v>
      </c>
      <c r="U706">
        <v>0</v>
      </c>
      <c r="V706">
        <v>1.44</v>
      </c>
      <c r="W706" t="s">
        <v>27</v>
      </c>
      <c r="X706">
        <v>24</v>
      </c>
    </row>
    <row r="707" spans="1:24" ht="14.25" customHeight="1">
      <c r="A707" t="s">
        <v>1455</v>
      </c>
      <c r="B707" t="s">
        <v>2296</v>
      </c>
      <c r="C707" s="6" t="str">
        <f t="shared" ref="C707:C770" si="34">TEXT(B707,"mmmm")</f>
        <v>February</v>
      </c>
      <c r="D707" s="6" t="str">
        <f t="shared" ref="D707:D770" si="35">TEXT(B707,"dd")</f>
        <v>26</v>
      </c>
      <c r="E707" t="s">
        <v>471</v>
      </c>
      <c r="F707" t="s">
        <v>21</v>
      </c>
      <c r="G707" t="s">
        <v>22</v>
      </c>
      <c r="H707" s="4" t="s">
        <v>2257</v>
      </c>
      <c r="I707">
        <v>239005</v>
      </c>
      <c r="J707" s="8" t="s">
        <v>30</v>
      </c>
      <c r="K707" t="s">
        <v>472</v>
      </c>
      <c r="L707" t="s">
        <v>473</v>
      </c>
      <c r="M707" t="s">
        <v>33</v>
      </c>
      <c r="N707">
        <f t="shared" si="33"/>
        <v>10</v>
      </c>
      <c r="O707">
        <v>1</v>
      </c>
      <c r="P707" s="6">
        <v>175.35</v>
      </c>
      <c r="Q707">
        <v>26.3</v>
      </c>
      <c r="R707">
        <v>149.05000000000001</v>
      </c>
      <c r="S707">
        <v>7.45</v>
      </c>
      <c r="T707">
        <v>30</v>
      </c>
      <c r="U707">
        <v>20</v>
      </c>
      <c r="V707">
        <v>206.5</v>
      </c>
      <c r="W707" t="s">
        <v>27</v>
      </c>
      <c r="X707">
        <v>15</v>
      </c>
    </row>
    <row r="708" spans="1:24" ht="14.25" customHeight="1">
      <c r="A708" t="s">
        <v>1456</v>
      </c>
      <c r="B708" t="s">
        <v>2275</v>
      </c>
      <c r="C708" s="6" t="str">
        <f t="shared" si="34"/>
        <v>February</v>
      </c>
      <c r="D708" s="6" t="str">
        <f t="shared" si="35"/>
        <v>05</v>
      </c>
      <c r="E708" t="s">
        <v>475</v>
      </c>
      <c r="F708" t="s">
        <v>21</v>
      </c>
      <c r="G708" t="s">
        <v>74</v>
      </c>
      <c r="H708" s="4" t="s">
        <v>2257</v>
      </c>
      <c r="I708">
        <v>150013</v>
      </c>
      <c r="J708" s="8" t="s">
        <v>2346</v>
      </c>
      <c r="K708" t="s">
        <v>476</v>
      </c>
      <c r="L708" t="s">
        <v>477</v>
      </c>
      <c r="M708" t="s">
        <v>130</v>
      </c>
      <c r="N708">
        <f t="shared" si="33"/>
        <v>7</v>
      </c>
      <c r="O708">
        <v>5</v>
      </c>
      <c r="P708" s="6">
        <v>199.93</v>
      </c>
      <c r="Q708">
        <v>29.99</v>
      </c>
      <c r="R708">
        <v>969.66000000000008</v>
      </c>
      <c r="S708">
        <v>48.48</v>
      </c>
      <c r="T708">
        <v>20</v>
      </c>
      <c r="U708">
        <v>0</v>
      </c>
      <c r="V708">
        <v>1038.1400000000001</v>
      </c>
      <c r="W708" t="s">
        <v>27</v>
      </c>
      <c r="X708">
        <v>27</v>
      </c>
    </row>
    <row r="709" spans="1:24" ht="14.25" customHeight="1">
      <c r="A709" t="s">
        <v>1457</v>
      </c>
      <c r="B709" t="s">
        <v>2311</v>
      </c>
      <c r="C709" s="6" t="str">
        <f t="shared" si="34"/>
        <v>January</v>
      </c>
      <c r="D709" s="6" t="str">
        <f t="shared" si="35"/>
        <v>10</v>
      </c>
      <c r="E709" t="s">
        <v>479</v>
      </c>
      <c r="F709" t="s">
        <v>21</v>
      </c>
      <c r="G709" t="s">
        <v>74</v>
      </c>
      <c r="H709" s="4" t="s">
        <v>2257</v>
      </c>
      <c r="I709">
        <v>211361</v>
      </c>
      <c r="J709" s="8" t="s">
        <v>2348</v>
      </c>
      <c r="K709" t="s">
        <v>480</v>
      </c>
      <c r="L709" t="s">
        <v>481</v>
      </c>
      <c r="M709" t="s">
        <v>55</v>
      </c>
      <c r="N709">
        <f t="shared" si="33"/>
        <v>5</v>
      </c>
      <c r="O709">
        <v>1</v>
      </c>
      <c r="P709" s="6">
        <v>39.25</v>
      </c>
      <c r="Q709">
        <v>5.89</v>
      </c>
      <c r="R709">
        <v>33.36</v>
      </c>
      <c r="S709">
        <v>1.67</v>
      </c>
      <c r="T709">
        <v>20</v>
      </c>
      <c r="U709">
        <v>0</v>
      </c>
      <c r="V709">
        <v>55.03</v>
      </c>
      <c r="W709" t="s">
        <v>27</v>
      </c>
      <c r="X709">
        <v>18</v>
      </c>
    </row>
    <row r="710" spans="1:24" ht="14.25" customHeight="1">
      <c r="A710" t="s">
        <v>1458</v>
      </c>
      <c r="B710" t="s">
        <v>2297</v>
      </c>
      <c r="C710" s="6" t="str">
        <f t="shared" si="34"/>
        <v>February</v>
      </c>
      <c r="D710" s="6" t="str">
        <f t="shared" si="35"/>
        <v>06</v>
      </c>
      <c r="E710" t="s">
        <v>483</v>
      </c>
      <c r="F710" t="s">
        <v>21</v>
      </c>
      <c r="G710" t="s">
        <v>37</v>
      </c>
      <c r="H710" s="4" t="s">
        <v>2257</v>
      </c>
      <c r="I710">
        <v>511906</v>
      </c>
      <c r="J710" s="8" t="s">
        <v>30</v>
      </c>
      <c r="K710" t="s">
        <v>484</v>
      </c>
      <c r="L710" t="s">
        <v>485</v>
      </c>
      <c r="M710" t="s">
        <v>71</v>
      </c>
      <c r="N710">
        <f t="shared" si="33"/>
        <v>6</v>
      </c>
      <c r="O710">
        <v>2</v>
      </c>
      <c r="P710" s="6">
        <v>72.260000000000005</v>
      </c>
      <c r="Q710">
        <v>3.61</v>
      </c>
      <c r="R710">
        <v>140.91</v>
      </c>
      <c r="S710">
        <v>7.05</v>
      </c>
      <c r="T710">
        <v>30</v>
      </c>
      <c r="U710">
        <v>0</v>
      </c>
      <c r="V710">
        <v>177.96</v>
      </c>
      <c r="W710" t="s">
        <v>27</v>
      </c>
      <c r="X710">
        <v>23</v>
      </c>
    </row>
    <row r="711" spans="1:24" ht="14.25" customHeight="1">
      <c r="A711" t="s">
        <v>1459</v>
      </c>
      <c r="B711" t="s">
        <v>2299</v>
      </c>
      <c r="C711" s="6" t="str">
        <f t="shared" si="34"/>
        <v>January</v>
      </c>
      <c r="D711" s="6" t="str">
        <f t="shared" si="35"/>
        <v>09</v>
      </c>
      <c r="E711" t="s">
        <v>487</v>
      </c>
      <c r="F711" t="s">
        <v>21</v>
      </c>
      <c r="G711" t="s">
        <v>106</v>
      </c>
      <c r="H711" s="4" t="s">
        <v>2257</v>
      </c>
      <c r="I711">
        <v>198234</v>
      </c>
      <c r="J711" s="8" t="s">
        <v>30</v>
      </c>
      <c r="K711" t="s">
        <v>488</v>
      </c>
      <c r="L711" t="s">
        <v>489</v>
      </c>
      <c r="M711" t="s">
        <v>50</v>
      </c>
      <c r="N711">
        <f t="shared" si="33"/>
        <v>5</v>
      </c>
      <c r="O711">
        <v>2</v>
      </c>
      <c r="P711" s="6">
        <v>178.64</v>
      </c>
      <c r="Q711">
        <v>26.8</v>
      </c>
      <c r="R711">
        <v>330.48</v>
      </c>
      <c r="S711">
        <v>16.52</v>
      </c>
      <c r="T711">
        <v>20</v>
      </c>
      <c r="U711">
        <v>5</v>
      </c>
      <c r="V711">
        <v>371.99999999999989</v>
      </c>
      <c r="W711" t="s">
        <v>27</v>
      </c>
      <c r="X711">
        <v>12</v>
      </c>
    </row>
    <row r="712" spans="1:24" ht="14.25" customHeight="1">
      <c r="A712" t="s">
        <v>1460</v>
      </c>
      <c r="B712" t="s">
        <v>2273</v>
      </c>
      <c r="C712" s="6" t="str">
        <f t="shared" si="34"/>
        <v>January</v>
      </c>
      <c r="D712" s="6" t="str">
        <f t="shared" si="35"/>
        <v>24</v>
      </c>
      <c r="E712" t="s">
        <v>491</v>
      </c>
      <c r="F712" t="s">
        <v>21</v>
      </c>
      <c r="G712" t="s">
        <v>37</v>
      </c>
      <c r="H712" s="4" t="s">
        <v>2257</v>
      </c>
      <c r="I712">
        <v>571761</v>
      </c>
      <c r="J712" s="8" t="s">
        <v>2346</v>
      </c>
      <c r="K712" t="s">
        <v>492</v>
      </c>
      <c r="L712" t="s">
        <v>493</v>
      </c>
      <c r="M712" t="s">
        <v>71</v>
      </c>
      <c r="N712">
        <f t="shared" si="33"/>
        <v>6</v>
      </c>
      <c r="O712">
        <v>1</v>
      </c>
      <c r="P712" s="6">
        <v>188.83</v>
      </c>
      <c r="Q712">
        <v>0</v>
      </c>
      <c r="R712">
        <v>188.83</v>
      </c>
      <c r="S712">
        <v>9.44</v>
      </c>
      <c r="T712">
        <v>10</v>
      </c>
      <c r="U712">
        <v>10</v>
      </c>
      <c r="V712">
        <v>218.27</v>
      </c>
      <c r="W712" t="s">
        <v>27</v>
      </c>
      <c r="X712">
        <v>24</v>
      </c>
    </row>
    <row r="713" spans="1:24" ht="14.25" customHeight="1">
      <c r="A713" t="s">
        <v>1461</v>
      </c>
      <c r="B713" t="s">
        <v>2306</v>
      </c>
      <c r="C713" s="6" t="str">
        <f t="shared" si="34"/>
        <v>February</v>
      </c>
      <c r="D713" s="6" t="str">
        <f t="shared" si="35"/>
        <v>04</v>
      </c>
      <c r="E713" t="s">
        <v>495</v>
      </c>
      <c r="F713" t="s">
        <v>21</v>
      </c>
      <c r="G713" t="s">
        <v>22</v>
      </c>
      <c r="H713" s="4" t="s">
        <v>2257</v>
      </c>
      <c r="I713">
        <v>799476</v>
      </c>
      <c r="J713" s="8" t="s">
        <v>30</v>
      </c>
      <c r="K713" t="s">
        <v>496</v>
      </c>
      <c r="L713" t="s">
        <v>497</v>
      </c>
      <c r="M713" t="s">
        <v>130</v>
      </c>
      <c r="N713">
        <f t="shared" si="33"/>
        <v>7</v>
      </c>
      <c r="O713">
        <v>1</v>
      </c>
      <c r="P713" s="6">
        <v>205.11</v>
      </c>
      <c r="Q713">
        <v>30.77</v>
      </c>
      <c r="R713">
        <v>174.34</v>
      </c>
      <c r="S713">
        <v>8.7200000000000006</v>
      </c>
      <c r="T713">
        <v>20</v>
      </c>
      <c r="U713">
        <v>20</v>
      </c>
      <c r="V713">
        <v>223.06</v>
      </c>
      <c r="W713" t="s">
        <v>27</v>
      </c>
      <c r="X713">
        <v>27</v>
      </c>
    </row>
    <row r="714" spans="1:24" ht="14.25" customHeight="1">
      <c r="A714" t="s">
        <v>1462</v>
      </c>
      <c r="B714" t="s">
        <v>2287</v>
      </c>
      <c r="C714" s="6" t="str">
        <f t="shared" si="34"/>
        <v>February</v>
      </c>
      <c r="D714" s="6" t="str">
        <f t="shared" si="35"/>
        <v>18</v>
      </c>
      <c r="E714" t="s">
        <v>499</v>
      </c>
      <c r="F714" t="s">
        <v>21</v>
      </c>
      <c r="G714" t="s">
        <v>68</v>
      </c>
      <c r="H714" s="4" t="s">
        <v>2257</v>
      </c>
      <c r="I714">
        <v>568379</v>
      </c>
      <c r="J714" s="8" t="s">
        <v>2348</v>
      </c>
      <c r="K714" t="s">
        <v>500</v>
      </c>
      <c r="L714" t="s">
        <v>501</v>
      </c>
      <c r="M714" t="s">
        <v>50</v>
      </c>
      <c r="N714">
        <f t="shared" si="33"/>
        <v>5</v>
      </c>
      <c r="O714">
        <v>1</v>
      </c>
      <c r="P714" s="6">
        <v>25.34</v>
      </c>
      <c r="Q714">
        <v>2.5299999999999998</v>
      </c>
      <c r="R714">
        <v>22.81</v>
      </c>
      <c r="S714">
        <v>1.1399999999999999</v>
      </c>
      <c r="T714">
        <v>30</v>
      </c>
      <c r="U714">
        <v>10</v>
      </c>
      <c r="V714">
        <v>63.95</v>
      </c>
      <c r="W714" t="s">
        <v>27</v>
      </c>
      <c r="X714">
        <v>29</v>
      </c>
    </row>
    <row r="715" spans="1:24" ht="14.25" customHeight="1">
      <c r="A715" t="s">
        <v>1463</v>
      </c>
      <c r="B715" t="s">
        <v>2306</v>
      </c>
      <c r="C715" s="6" t="str">
        <f t="shared" si="34"/>
        <v>February</v>
      </c>
      <c r="D715" s="6" t="str">
        <f t="shared" si="35"/>
        <v>04</v>
      </c>
      <c r="E715" t="s">
        <v>503</v>
      </c>
      <c r="F715" t="s">
        <v>80</v>
      </c>
      <c r="G715" t="s">
        <v>81</v>
      </c>
      <c r="H715" s="4" t="s">
        <v>2257</v>
      </c>
      <c r="I715">
        <v>419752</v>
      </c>
      <c r="J715" s="8" t="s">
        <v>30</v>
      </c>
      <c r="K715" t="s">
        <v>504</v>
      </c>
      <c r="L715" t="s">
        <v>505</v>
      </c>
      <c r="M715" t="s">
        <v>50</v>
      </c>
      <c r="N715">
        <f t="shared" si="33"/>
        <v>5</v>
      </c>
      <c r="O715">
        <v>3</v>
      </c>
      <c r="P715" s="6">
        <v>109.72</v>
      </c>
      <c r="Q715">
        <v>5.49</v>
      </c>
      <c r="R715">
        <v>323.67</v>
      </c>
      <c r="S715">
        <v>16.18</v>
      </c>
      <c r="T715">
        <v>10</v>
      </c>
      <c r="U715">
        <v>10</v>
      </c>
      <c r="V715">
        <v>359.85</v>
      </c>
      <c r="W715" t="s">
        <v>27</v>
      </c>
      <c r="X715">
        <v>17</v>
      </c>
    </row>
    <row r="716" spans="1:24" ht="14.25" customHeight="1">
      <c r="A716" t="s">
        <v>1464</v>
      </c>
      <c r="B716" t="s">
        <v>2313</v>
      </c>
      <c r="C716" s="6" t="str">
        <f t="shared" si="34"/>
        <v>February</v>
      </c>
      <c r="D716" s="6" t="str">
        <f t="shared" si="35"/>
        <v>17</v>
      </c>
      <c r="E716" t="s">
        <v>507</v>
      </c>
      <c r="F716" t="s">
        <v>21</v>
      </c>
      <c r="G716" t="s">
        <v>68</v>
      </c>
      <c r="H716" s="4" t="s">
        <v>2257</v>
      </c>
      <c r="I716">
        <v>177606</v>
      </c>
      <c r="J716" s="8" t="s">
        <v>30</v>
      </c>
      <c r="K716" t="s">
        <v>508</v>
      </c>
      <c r="L716" t="s">
        <v>509</v>
      </c>
      <c r="M716" t="s">
        <v>50</v>
      </c>
      <c r="N716">
        <f t="shared" si="33"/>
        <v>5</v>
      </c>
      <c r="O716">
        <v>5</v>
      </c>
      <c r="P716" s="6">
        <v>182.72</v>
      </c>
      <c r="Q716">
        <v>9.14</v>
      </c>
      <c r="R716">
        <v>904.46</v>
      </c>
      <c r="S716">
        <v>45.22</v>
      </c>
      <c r="T716">
        <v>10</v>
      </c>
      <c r="U716">
        <v>5</v>
      </c>
      <c r="V716">
        <v>964.68000000000006</v>
      </c>
      <c r="W716" t="s">
        <v>27</v>
      </c>
      <c r="X716">
        <v>28</v>
      </c>
    </row>
    <row r="717" spans="1:24" ht="14.25" customHeight="1">
      <c r="A717" t="s">
        <v>1465</v>
      </c>
      <c r="B717" t="s">
        <v>2275</v>
      </c>
      <c r="C717" s="6" t="str">
        <f t="shared" si="34"/>
        <v>February</v>
      </c>
      <c r="D717" s="6" t="str">
        <f t="shared" si="35"/>
        <v>05</v>
      </c>
      <c r="E717" t="s">
        <v>511</v>
      </c>
      <c r="F717" t="s">
        <v>21</v>
      </c>
      <c r="G717" t="s">
        <v>22</v>
      </c>
      <c r="H717" s="4" t="s">
        <v>2257</v>
      </c>
      <c r="I717">
        <v>257550</v>
      </c>
      <c r="J717" s="8" t="s">
        <v>2349</v>
      </c>
      <c r="K717" t="s">
        <v>512</v>
      </c>
      <c r="L717" t="s">
        <v>513</v>
      </c>
      <c r="M717" t="s">
        <v>40</v>
      </c>
      <c r="N717">
        <f t="shared" ref="N717:N780" si="36">LEN(M717)</f>
        <v>6</v>
      </c>
      <c r="O717">
        <v>2</v>
      </c>
      <c r="P717" s="6">
        <v>61.06</v>
      </c>
      <c r="Q717">
        <v>0</v>
      </c>
      <c r="R717">
        <v>122.12</v>
      </c>
      <c r="S717">
        <v>6.11</v>
      </c>
      <c r="T717">
        <v>10</v>
      </c>
      <c r="U717">
        <v>10</v>
      </c>
      <c r="V717">
        <v>148.22999999999999</v>
      </c>
      <c r="W717" t="s">
        <v>27</v>
      </c>
      <c r="X717">
        <v>34</v>
      </c>
    </row>
    <row r="718" spans="1:24" ht="14.25" customHeight="1">
      <c r="A718" t="s">
        <v>1466</v>
      </c>
      <c r="B718" t="s">
        <v>2300</v>
      </c>
      <c r="C718" s="6" t="str">
        <f t="shared" si="34"/>
        <v>January</v>
      </c>
      <c r="D718" s="6" t="str">
        <f t="shared" si="35"/>
        <v>18</v>
      </c>
      <c r="E718" t="s">
        <v>515</v>
      </c>
      <c r="F718" t="s">
        <v>21</v>
      </c>
      <c r="G718" t="s">
        <v>22</v>
      </c>
      <c r="H718" s="4" t="s">
        <v>2257</v>
      </c>
      <c r="I718">
        <v>479502</v>
      </c>
      <c r="J718" s="8" t="s">
        <v>62</v>
      </c>
      <c r="K718" t="s">
        <v>516</v>
      </c>
      <c r="L718" t="s">
        <v>517</v>
      </c>
      <c r="M718" t="s">
        <v>26</v>
      </c>
      <c r="N718">
        <f t="shared" si="36"/>
        <v>3</v>
      </c>
      <c r="O718">
        <v>1</v>
      </c>
      <c r="P718" s="6">
        <v>190.83</v>
      </c>
      <c r="Q718">
        <v>19.079999999999998</v>
      </c>
      <c r="R718">
        <v>171.75</v>
      </c>
      <c r="S718">
        <v>8.59</v>
      </c>
      <c r="T718">
        <v>30</v>
      </c>
      <c r="U718">
        <v>15</v>
      </c>
      <c r="V718">
        <v>225.34</v>
      </c>
      <c r="W718" t="s">
        <v>27</v>
      </c>
      <c r="X718">
        <v>47</v>
      </c>
    </row>
    <row r="719" spans="1:24" ht="14.25" customHeight="1">
      <c r="A719" t="s">
        <v>1467</v>
      </c>
      <c r="B719" t="s">
        <v>2287</v>
      </c>
      <c r="C719" s="6" t="str">
        <f t="shared" si="34"/>
        <v>February</v>
      </c>
      <c r="D719" s="6" t="str">
        <f t="shared" si="35"/>
        <v>18</v>
      </c>
      <c r="E719" t="s">
        <v>519</v>
      </c>
      <c r="F719" t="s">
        <v>21</v>
      </c>
      <c r="G719" t="s">
        <v>74</v>
      </c>
      <c r="H719" s="4" t="s">
        <v>2257</v>
      </c>
      <c r="I719">
        <v>370675</v>
      </c>
      <c r="J719" s="8" t="s">
        <v>30</v>
      </c>
      <c r="K719" t="s">
        <v>520</v>
      </c>
      <c r="L719" t="s">
        <v>521</v>
      </c>
      <c r="M719" t="s">
        <v>22</v>
      </c>
      <c r="N719">
        <f t="shared" si="36"/>
        <v>6</v>
      </c>
      <c r="O719">
        <v>3</v>
      </c>
      <c r="P719" s="6">
        <v>109.22</v>
      </c>
      <c r="Q719">
        <v>10.92</v>
      </c>
      <c r="R719">
        <v>316.74</v>
      </c>
      <c r="S719">
        <v>15.84</v>
      </c>
      <c r="T719">
        <v>10</v>
      </c>
      <c r="U719">
        <v>10</v>
      </c>
      <c r="V719">
        <v>352.57999999999993</v>
      </c>
      <c r="W719" t="s">
        <v>27</v>
      </c>
      <c r="X719">
        <v>44</v>
      </c>
    </row>
    <row r="720" spans="1:24" ht="14.25" customHeight="1">
      <c r="A720" t="s">
        <v>1468</v>
      </c>
      <c r="B720" t="s">
        <v>2262</v>
      </c>
      <c r="C720" s="6" t="str">
        <f t="shared" si="34"/>
        <v>February</v>
      </c>
      <c r="D720" s="6" t="str">
        <f t="shared" si="35"/>
        <v>08</v>
      </c>
      <c r="E720" t="s">
        <v>523</v>
      </c>
      <c r="F720" t="s">
        <v>21</v>
      </c>
      <c r="G720" t="s">
        <v>37</v>
      </c>
      <c r="H720" s="4" t="s">
        <v>2257</v>
      </c>
      <c r="I720">
        <v>575692</v>
      </c>
      <c r="J720" s="8" t="s">
        <v>2345</v>
      </c>
      <c r="K720" t="s">
        <v>524</v>
      </c>
      <c r="L720" t="s">
        <v>525</v>
      </c>
      <c r="M720" t="s">
        <v>135</v>
      </c>
      <c r="N720">
        <f t="shared" si="36"/>
        <v>9</v>
      </c>
      <c r="O720">
        <v>2</v>
      </c>
      <c r="P720" s="6">
        <v>221.4</v>
      </c>
      <c r="Q720">
        <v>11.07</v>
      </c>
      <c r="R720">
        <v>431.73</v>
      </c>
      <c r="S720">
        <v>21.59</v>
      </c>
      <c r="T720">
        <v>10</v>
      </c>
      <c r="U720">
        <v>0</v>
      </c>
      <c r="V720">
        <v>463.32</v>
      </c>
      <c r="W720" t="s">
        <v>27</v>
      </c>
      <c r="X720">
        <v>35</v>
      </c>
    </row>
    <row r="721" spans="1:24" ht="14.25" customHeight="1">
      <c r="A721" t="s">
        <v>1469</v>
      </c>
      <c r="B721" t="s">
        <v>2319</v>
      </c>
      <c r="C721" s="6" t="str">
        <f t="shared" si="34"/>
        <v>February</v>
      </c>
      <c r="D721" s="6" t="str">
        <f t="shared" si="35"/>
        <v>01</v>
      </c>
      <c r="E721" t="s">
        <v>527</v>
      </c>
      <c r="F721" t="s">
        <v>21</v>
      </c>
      <c r="G721" t="s">
        <v>74</v>
      </c>
      <c r="H721" s="4" t="s">
        <v>2257</v>
      </c>
      <c r="I721">
        <v>545935</v>
      </c>
      <c r="J721" s="8" t="s">
        <v>30</v>
      </c>
      <c r="K721" t="s">
        <v>528</v>
      </c>
      <c r="L721" t="s">
        <v>529</v>
      </c>
      <c r="M721" t="s">
        <v>130</v>
      </c>
      <c r="N721">
        <f t="shared" si="36"/>
        <v>7</v>
      </c>
      <c r="O721">
        <v>1</v>
      </c>
      <c r="P721" s="6">
        <v>128.13999999999999</v>
      </c>
      <c r="Q721">
        <v>19.22</v>
      </c>
      <c r="R721">
        <v>108.92</v>
      </c>
      <c r="S721">
        <v>5.45</v>
      </c>
      <c r="T721">
        <v>10</v>
      </c>
      <c r="U721">
        <v>10</v>
      </c>
      <c r="V721">
        <v>134.37</v>
      </c>
      <c r="W721" t="s">
        <v>27</v>
      </c>
      <c r="X721">
        <v>18</v>
      </c>
    </row>
    <row r="722" spans="1:24" ht="14.25" customHeight="1">
      <c r="A722" t="s">
        <v>1470</v>
      </c>
      <c r="B722" t="s">
        <v>2273</v>
      </c>
      <c r="C722" s="6" t="str">
        <f t="shared" si="34"/>
        <v>January</v>
      </c>
      <c r="D722" s="6" t="str">
        <f t="shared" si="35"/>
        <v>24</v>
      </c>
      <c r="E722" t="s">
        <v>531</v>
      </c>
      <c r="F722" t="s">
        <v>101</v>
      </c>
      <c r="G722" t="s">
        <v>81</v>
      </c>
      <c r="H722" s="4" t="s">
        <v>2257</v>
      </c>
      <c r="I722">
        <v>376452</v>
      </c>
      <c r="J722" s="8" t="s">
        <v>2349</v>
      </c>
      <c r="K722" t="s">
        <v>532</v>
      </c>
      <c r="L722" t="s">
        <v>533</v>
      </c>
      <c r="M722" t="s">
        <v>135</v>
      </c>
      <c r="N722">
        <f t="shared" si="36"/>
        <v>9</v>
      </c>
      <c r="O722">
        <v>5</v>
      </c>
      <c r="P722" s="6">
        <v>97.55</v>
      </c>
      <c r="Q722">
        <v>9.76</v>
      </c>
      <c r="R722">
        <v>477.99</v>
      </c>
      <c r="S722">
        <v>23.9</v>
      </c>
      <c r="T722">
        <v>10</v>
      </c>
      <c r="U722">
        <v>5</v>
      </c>
      <c r="V722">
        <v>516.89</v>
      </c>
      <c r="W722" t="s">
        <v>27</v>
      </c>
      <c r="X722">
        <v>23</v>
      </c>
    </row>
    <row r="723" spans="1:24" ht="14.25" customHeight="1">
      <c r="A723" t="s">
        <v>1471</v>
      </c>
      <c r="B723" t="s">
        <v>2271</v>
      </c>
      <c r="C723" s="6" t="str">
        <f t="shared" si="34"/>
        <v>January</v>
      </c>
      <c r="D723" s="6" t="str">
        <f t="shared" si="35"/>
        <v>23</v>
      </c>
      <c r="E723" t="s">
        <v>535</v>
      </c>
      <c r="F723" t="s">
        <v>21</v>
      </c>
      <c r="G723" t="s">
        <v>22</v>
      </c>
      <c r="H723" s="4" t="s">
        <v>2257</v>
      </c>
      <c r="I723">
        <v>634125</v>
      </c>
      <c r="J723" s="8" t="s">
        <v>2347</v>
      </c>
      <c r="K723" t="s">
        <v>536</v>
      </c>
      <c r="L723" t="s">
        <v>537</v>
      </c>
      <c r="M723" t="s">
        <v>140</v>
      </c>
      <c r="N723">
        <f t="shared" si="36"/>
        <v>3</v>
      </c>
      <c r="O723">
        <v>1</v>
      </c>
      <c r="P723" s="6">
        <v>193.8</v>
      </c>
      <c r="Q723">
        <v>19.38</v>
      </c>
      <c r="R723">
        <v>174.42</v>
      </c>
      <c r="S723">
        <v>8.7200000000000006</v>
      </c>
      <c r="T723">
        <v>10</v>
      </c>
      <c r="U723">
        <v>0</v>
      </c>
      <c r="V723">
        <v>193.14</v>
      </c>
      <c r="W723" t="s">
        <v>27</v>
      </c>
      <c r="X723">
        <v>31</v>
      </c>
    </row>
    <row r="724" spans="1:24" ht="14.25" customHeight="1">
      <c r="A724" t="s">
        <v>1472</v>
      </c>
      <c r="B724" t="s">
        <v>2319</v>
      </c>
      <c r="C724" s="6" t="str">
        <f t="shared" si="34"/>
        <v>February</v>
      </c>
      <c r="D724" s="6" t="str">
        <f t="shared" si="35"/>
        <v>01</v>
      </c>
      <c r="E724" t="s">
        <v>539</v>
      </c>
      <c r="F724" t="s">
        <v>21</v>
      </c>
      <c r="G724" t="s">
        <v>68</v>
      </c>
      <c r="H724" s="4" t="s">
        <v>2257</v>
      </c>
      <c r="I724">
        <v>814221</v>
      </c>
      <c r="J724" s="8" t="s">
        <v>2348</v>
      </c>
      <c r="K724" t="s">
        <v>540</v>
      </c>
      <c r="L724" t="s">
        <v>541</v>
      </c>
      <c r="M724" t="s">
        <v>177</v>
      </c>
      <c r="N724">
        <f t="shared" si="36"/>
        <v>5</v>
      </c>
      <c r="O724">
        <v>3</v>
      </c>
      <c r="P724" s="6">
        <v>15.37</v>
      </c>
      <c r="Q724">
        <v>0</v>
      </c>
      <c r="R724">
        <v>46.11</v>
      </c>
      <c r="S724">
        <v>2.31</v>
      </c>
      <c r="T724">
        <v>10</v>
      </c>
      <c r="U724">
        <v>0</v>
      </c>
      <c r="V724">
        <v>58.42</v>
      </c>
      <c r="W724" t="s">
        <v>27</v>
      </c>
      <c r="X724">
        <v>13</v>
      </c>
    </row>
    <row r="725" spans="1:24" ht="14.25" customHeight="1">
      <c r="A725" t="s">
        <v>1473</v>
      </c>
      <c r="B725" t="s">
        <v>2297</v>
      </c>
      <c r="C725" s="6" t="str">
        <f t="shared" si="34"/>
        <v>February</v>
      </c>
      <c r="D725" s="6" t="str">
        <f t="shared" si="35"/>
        <v>06</v>
      </c>
      <c r="E725" t="s">
        <v>543</v>
      </c>
      <c r="F725" t="s">
        <v>21</v>
      </c>
      <c r="G725" t="s">
        <v>74</v>
      </c>
      <c r="H725" s="4" t="s">
        <v>2257</v>
      </c>
      <c r="I725">
        <v>202166</v>
      </c>
      <c r="J725" s="8" t="s">
        <v>30</v>
      </c>
      <c r="K725" t="s">
        <v>544</v>
      </c>
      <c r="L725" t="s">
        <v>545</v>
      </c>
      <c r="M725" t="s">
        <v>33</v>
      </c>
      <c r="N725">
        <f t="shared" si="36"/>
        <v>10</v>
      </c>
      <c r="O725">
        <v>1</v>
      </c>
      <c r="P725" s="6">
        <v>99.55</v>
      </c>
      <c r="Q725">
        <v>14.93</v>
      </c>
      <c r="R725">
        <v>84.62</v>
      </c>
      <c r="S725">
        <v>4.2300000000000004</v>
      </c>
      <c r="T725">
        <v>10</v>
      </c>
      <c r="U725">
        <v>10</v>
      </c>
      <c r="V725">
        <v>108.85</v>
      </c>
      <c r="W725" t="s">
        <v>27</v>
      </c>
      <c r="X725">
        <v>6</v>
      </c>
    </row>
    <row r="726" spans="1:24" ht="14.25" customHeight="1">
      <c r="A726" t="s">
        <v>1474</v>
      </c>
      <c r="B726" t="s">
        <v>2285</v>
      </c>
      <c r="C726" s="6" t="str">
        <f t="shared" si="34"/>
        <v>January</v>
      </c>
      <c r="D726" s="6" t="str">
        <f t="shared" si="35"/>
        <v>12</v>
      </c>
      <c r="E726" t="s">
        <v>547</v>
      </c>
      <c r="F726" t="s">
        <v>21</v>
      </c>
      <c r="G726" t="s">
        <v>74</v>
      </c>
      <c r="H726" s="4" t="s">
        <v>2257</v>
      </c>
      <c r="I726">
        <v>494295</v>
      </c>
      <c r="J726" s="8" t="s">
        <v>2345</v>
      </c>
      <c r="K726" t="s">
        <v>548</v>
      </c>
      <c r="L726" t="s">
        <v>549</v>
      </c>
      <c r="M726" t="s">
        <v>40</v>
      </c>
      <c r="N726">
        <f t="shared" si="36"/>
        <v>6</v>
      </c>
      <c r="O726">
        <v>4</v>
      </c>
      <c r="P726" s="6">
        <v>109.12</v>
      </c>
      <c r="Q726">
        <v>10.91</v>
      </c>
      <c r="R726">
        <v>425.57</v>
      </c>
      <c r="S726">
        <v>21.28</v>
      </c>
      <c r="T726">
        <v>30</v>
      </c>
      <c r="U726">
        <v>15</v>
      </c>
      <c r="V726">
        <v>491.85</v>
      </c>
      <c r="W726" t="s">
        <v>27</v>
      </c>
      <c r="X726">
        <v>20</v>
      </c>
    </row>
    <row r="727" spans="1:24" ht="14.25" customHeight="1">
      <c r="A727" t="s">
        <v>1475</v>
      </c>
      <c r="B727" t="s">
        <v>2287</v>
      </c>
      <c r="C727" s="6" t="str">
        <f t="shared" si="34"/>
        <v>February</v>
      </c>
      <c r="D727" s="6" t="str">
        <f t="shared" si="35"/>
        <v>18</v>
      </c>
      <c r="E727" t="s">
        <v>551</v>
      </c>
      <c r="F727" t="s">
        <v>21</v>
      </c>
      <c r="G727" t="s">
        <v>68</v>
      </c>
      <c r="H727" s="4" t="s">
        <v>2257</v>
      </c>
      <c r="I727">
        <v>705151</v>
      </c>
      <c r="J727" s="8" t="s">
        <v>2348</v>
      </c>
      <c r="K727" t="s">
        <v>552</v>
      </c>
      <c r="L727" t="s">
        <v>553</v>
      </c>
      <c r="M727" t="s">
        <v>135</v>
      </c>
      <c r="N727">
        <f t="shared" si="36"/>
        <v>9</v>
      </c>
      <c r="O727">
        <v>3</v>
      </c>
      <c r="P727" s="6">
        <v>61.22</v>
      </c>
      <c r="Q727">
        <v>3.06</v>
      </c>
      <c r="R727">
        <v>180.6</v>
      </c>
      <c r="S727">
        <v>9.0299999999999994</v>
      </c>
      <c r="T727">
        <v>10</v>
      </c>
      <c r="U727">
        <v>20</v>
      </c>
      <c r="V727">
        <v>219.63</v>
      </c>
      <c r="W727" t="s">
        <v>27</v>
      </c>
      <c r="X727">
        <v>28</v>
      </c>
    </row>
    <row r="728" spans="1:24" ht="14.25" customHeight="1">
      <c r="A728" t="s">
        <v>1476</v>
      </c>
      <c r="B728" t="s">
        <v>2295</v>
      </c>
      <c r="C728" s="6" t="str">
        <f t="shared" si="34"/>
        <v>February</v>
      </c>
      <c r="D728" s="6" t="str">
        <f t="shared" si="35"/>
        <v>24</v>
      </c>
      <c r="E728" t="s">
        <v>555</v>
      </c>
      <c r="F728" t="s">
        <v>21</v>
      </c>
      <c r="G728" t="s">
        <v>106</v>
      </c>
      <c r="H728" s="4" t="s">
        <v>2257</v>
      </c>
      <c r="I728">
        <v>562092</v>
      </c>
      <c r="J728" s="8" t="s">
        <v>30</v>
      </c>
      <c r="K728" t="s">
        <v>556</v>
      </c>
      <c r="L728" t="s">
        <v>557</v>
      </c>
      <c r="M728" t="s">
        <v>71</v>
      </c>
      <c r="N728">
        <f t="shared" si="36"/>
        <v>6</v>
      </c>
      <c r="O728">
        <v>2</v>
      </c>
      <c r="P728" s="6">
        <v>215.01</v>
      </c>
      <c r="Q728">
        <v>0</v>
      </c>
      <c r="R728">
        <v>430.02</v>
      </c>
      <c r="S728">
        <v>21.5</v>
      </c>
      <c r="T728">
        <v>20</v>
      </c>
      <c r="U728">
        <v>0</v>
      </c>
      <c r="V728">
        <v>471.52</v>
      </c>
      <c r="W728" t="s">
        <v>27</v>
      </c>
      <c r="X728">
        <v>13</v>
      </c>
    </row>
    <row r="729" spans="1:24" ht="14.25" customHeight="1">
      <c r="A729" t="s">
        <v>1477</v>
      </c>
      <c r="B729" t="s">
        <v>2318</v>
      </c>
      <c r="C729" s="6" t="str">
        <f t="shared" si="34"/>
        <v>January</v>
      </c>
      <c r="D729" s="6" t="str">
        <f t="shared" si="35"/>
        <v>13</v>
      </c>
      <c r="E729" t="s">
        <v>559</v>
      </c>
      <c r="F729" t="s">
        <v>21</v>
      </c>
      <c r="G729" t="s">
        <v>68</v>
      </c>
      <c r="H729" s="4" t="s">
        <v>2257</v>
      </c>
      <c r="I729">
        <v>956238</v>
      </c>
      <c r="J729" s="8" t="s">
        <v>2345</v>
      </c>
      <c r="K729" t="s">
        <v>560</v>
      </c>
      <c r="L729" t="s">
        <v>561</v>
      </c>
      <c r="M729" t="s">
        <v>40</v>
      </c>
      <c r="N729">
        <f t="shared" si="36"/>
        <v>6</v>
      </c>
      <c r="O729">
        <v>1</v>
      </c>
      <c r="P729" s="6">
        <v>63.89</v>
      </c>
      <c r="Q729">
        <v>0</v>
      </c>
      <c r="R729">
        <v>63.89</v>
      </c>
      <c r="S729">
        <v>3.19</v>
      </c>
      <c r="T729">
        <v>30</v>
      </c>
      <c r="U729">
        <v>15</v>
      </c>
      <c r="V729">
        <v>112.08</v>
      </c>
      <c r="W729" t="s">
        <v>27</v>
      </c>
      <c r="X729">
        <v>29</v>
      </c>
    </row>
    <row r="730" spans="1:24" ht="14.25" customHeight="1">
      <c r="A730" t="s">
        <v>1478</v>
      </c>
      <c r="B730" t="s">
        <v>2271</v>
      </c>
      <c r="C730" s="6" t="str">
        <f t="shared" si="34"/>
        <v>January</v>
      </c>
      <c r="D730" s="6" t="str">
        <f t="shared" si="35"/>
        <v>23</v>
      </c>
      <c r="E730" t="s">
        <v>563</v>
      </c>
      <c r="F730" t="s">
        <v>21</v>
      </c>
      <c r="G730" t="s">
        <v>68</v>
      </c>
      <c r="H730" s="4" t="s">
        <v>2257</v>
      </c>
      <c r="I730">
        <v>121650</v>
      </c>
      <c r="J730" s="8" t="s">
        <v>2348</v>
      </c>
      <c r="K730" t="s">
        <v>564</v>
      </c>
      <c r="L730" t="s">
        <v>565</v>
      </c>
      <c r="M730" t="s">
        <v>26</v>
      </c>
      <c r="N730">
        <f t="shared" si="36"/>
        <v>3</v>
      </c>
      <c r="O730">
        <v>3</v>
      </c>
      <c r="P730" s="6">
        <v>85.82</v>
      </c>
      <c r="Q730">
        <v>8.58</v>
      </c>
      <c r="R730">
        <v>248.88</v>
      </c>
      <c r="S730">
        <v>12.44</v>
      </c>
      <c r="T730">
        <v>10</v>
      </c>
      <c r="U730">
        <v>10</v>
      </c>
      <c r="V730">
        <v>281.32</v>
      </c>
      <c r="W730" t="s">
        <v>84</v>
      </c>
      <c r="X730">
        <v>25</v>
      </c>
    </row>
    <row r="731" spans="1:24" ht="14.25" customHeight="1">
      <c r="A731" t="s">
        <v>1479</v>
      </c>
      <c r="B731" t="s">
        <v>2286</v>
      </c>
      <c r="C731" s="6" t="str">
        <f t="shared" si="34"/>
        <v>January</v>
      </c>
      <c r="D731" s="6" t="str">
        <f t="shared" si="35"/>
        <v>25</v>
      </c>
      <c r="E731" t="s">
        <v>567</v>
      </c>
      <c r="F731" t="s">
        <v>21</v>
      </c>
      <c r="G731" t="s">
        <v>22</v>
      </c>
      <c r="H731" s="4" t="s">
        <v>2257</v>
      </c>
      <c r="I731">
        <v>877130</v>
      </c>
      <c r="J731" s="8" t="s">
        <v>62</v>
      </c>
      <c r="K731" t="s">
        <v>568</v>
      </c>
      <c r="L731" t="s">
        <v>569</v>
      </c>
      <c r="M731" t="s">
        <v>71</v>
      </c>
      <c r="N731">
        <f t="shared" si="36"/>
        <v>6</v>
      </c>
      <c r="O731">
        <v>1</v>
      </c>
      <c r="P731" s="6">
        <v>12.2</v>
      </c>
      <c r="Q731">
        <v>0</v>
      </c>
      <c r="R731">
        <v>12.2</v>
      </c>
      <c r="S731">
        <v>0.61</v>
      </c>
      <c r="T731">
        <v>10</v>
      </c>
      <c r="U731">
        <v>5</v>
      </c>
      <c r="V731">
        <v>27.81</v>
      </c>
      <c r="W731" t="s">
        <v>27</v>
      </c>
      <c r="X731">
        <v>39</v>
      </c>
    </row>
    <row r="732" spans="1:24" ht="14.25" customHeight="1">
      <c r="A732" t="s">
        <v>1480</v>
      </c>
      <c r="B732" t="s">
        <v>2306</v>
      </c>
      <c r="C732" s="6" t="str">
        <f t="shared" si="34"/>
        <v>February</v>
      </c>
      <c r="D732" s="6" t="str">
        <f t="shared" si="35"/>
        <v>04</v>
      </c>
      <c r="E732" t="s">
        <v>571</v>
      </c>
      <c r="F732" t="s">
        <v>21</v>
      </c>
      <c r="G732" t="s">
        <v>37</v>
      </c>
      <c r="H732" s="4" t="s">
        <v>2257</v>
      </c>
      <c r="I732">
        <v>914811</v>
      </c>
      <c r="J732" s="8" t="s">
        <v>30</v>
      </c>
      <c r="K732" t="s">
        <v>572</v>
      </c>
      <c r="L732" t="s">
        <v>573</v>
      </c>
      <c r="M732" t="s">
        <v>40</v>
      </c>
      <c r="N732">
        <f t="shared" si="36"/>
        <v>6</v>
      </c>
      <c r="O732">
        <v>3</v>
      </c>
      <c r="P732" s="6">
        <v>64.349999999999994</v>
      </c>
      <c r="Q732">
        <v>3.22</v>
      </c>
      <c r="R732">
        <v>189.83</v>
      </c>
      <c r="S732">
        <v>9.49</v>
      </c>
      <c r="T732">
        <v>30</v>
      </c>
      <c r="U732">
        <v>10</v>
      </c>
      <c r="V732">
        <v>239.32</v>
      </c>
      <c r="W732" t="s">
        <v>27</v>
      </c>
      <c r="X732">
        <v>16</v>
      </c>
    </row>
    <row r="733" spans="1:24" ht="14.25" customHeight="1">
      <c r="A733" t="s">
        <v>1481</v>
      </c>
      <c r="B733" t="s">
        <v>2315</v>
      </c>
      <c r="C733" s="6" t="str">
        <f t="shared" si="34"/>
        <v>February</v>
      </c>
      <c r="D733" s="6" t="str">
        <f t="shared" si="35"/>
        <v>10</v>
      </c>
      <c r="E733" t="s">
        <v>575</v>
      </c>
      <c r="F733" t="s">
        <v>21</v>
      </c>
      <c r="G733" t="s">
        <v>106</v>
      </c>
      <c r="H733" s="4" t="s">
        <v>2257</v>
      </c>
      <c r="I733">
        <v>301904</v>
      </c>
      <c r="J733" s="8" t="s">
        <v>30</v>
      </c>
      <c r="K733" t="s">
        <v>576</v>
      </c>
      <c r="L733" t="s">
        <v>577</v>
      </c>
      <c r="M733" t="s">
        <v>98</v>
      </c>
      <c r="N733">
        <f t="shared" si="36"/>
        <v>4</v>
      </c>
      <c r="O733">
        <v>4</v>
      </c>
      <c r="P733" s="6">
        <v>249.9</v>
      </c>
      <c r="Q733">
        <v>0</v>
      </c>
      <c r="R733">
        <v>999.6</v>
      </c>
      <c r="S733">
        <v>49.98</v>
      </c>
      <c r="T733">
        <v>10</v>
      </c>
      <c r="U733">
        <v>20</v>
      </c>
      <c r="V733">
        <v>1079.58</v>
      </c>
      <c r="W733" t="s">
        <v>27</v>
      </c>
      <c r="X733">
        <v>36</v>
      </c>
    </row>
    <row r="734" spans="1:24" ht="14.25" customHeight="1">
      <c r="A734" t="s">
        <v>1482</v>
      </c>
      <c r="B734" t="s">
        <v>2281</v>
      </c>
      <c r="C734" s="6" t="str">
        <f t="shared" si="34"/>
        <v>January</v>
      </c>
      <c r="D734" s="6" t="str">
        <f t="shared" si="35"/>
        <v>30</v>
      </c>
      <c r="E734" t="s">
        <v>579</v>
      </c>
      <c r="F734" t="s">
        <v>21</v>
      </c>
      <c r="G734" t="s">
        <v>22</v>
      </c>
      <c r="H734" s="4" t="s">
        <v>2257</v>
      </c>
      <c r="I734">
        <v>751084</v>
      </c>
      <c r="J734" s="8" t="s">
        <v>2348</v>
      </c>
      <c r="K734" t="s">
        <v>580</v>
      </c>
      <c r="L734" t="s">
        <v>581</v>
      </c>
      <c r="M734" t="s">
        <v>22</v>
      </c>
      <c r="N734">
        <f t="shared" si="36"/>
        <v>6</v>
      </c>
      <c r="O734">
        <v>1</v>
      </c>
      <c r="P734" s="6">
        <v>175.18</v>
      </c>
      <c r="Q734">
        <v>26.28</v>
      </c>
      <c r="R734">
        <v>148.9</v>
      </c>
      <c r="S734">
        <v>7.45</v>
      </c>
      <c r="T734">
        <v>30</v>
      </c>
      <c r="U734">
        <v>15</v>
      </c>
      <c r="V734">
        <v>201.35</v>
      </c>
      <c r="W734" t="s">
        <v>27</v>
      </c>
      <c r="X734">
        <v>16</v>
      </c>
    </row>
    <row r="735" spans="1:24" ht="14.25" customHeight="1">
      <c r="A735" t="s">
        <v>1483</v>
      </c>
      <c r="B735" t="s">
        <v>2307</v>
      </c>
      <c r="C735" s="6" t="str">
        <f t="shared" si="34"/>
        <v>January</v>
      </c>
      <c r="D735" s="6" t="str">
        <f t="shared" si="35"/>
        <v>17</v>
      </c>
      <c r="E735" t="s">
        <v>583</v>
      </c>
      <c r="F735" t="s">
        <v>80</v>
      </c>
      <c r="G735" t="s">
        <v>81</v>
      </c>
      <c r="H735" s="4" t="s">
        <v>2257</v>
      </c>
      <c r="I735">
        <v>120923</v>
      </c>
      <c r="J735" s="8" t="s">
        <v>62</v>
      </c>
      <c r="K735" t="s">
        <v>584</v>
      </c>
      <c r="L735" t="s">
        <v>585</v>
      </c>
      <c r="M735" t="s">
        <v>45</v>
      </c>
      <c r="N735">
        <f t="shared" si="36"/>
        <v>6</v>
      </c>
      <c r="O735">
        <v>3</v>
      </c>
      <c r="P735" s="6">
        <v>54.53</v>
      </c>
      <c r="Q735">
        <v>2.73</v>
      </c>
      <c r="R735">
        <v>160.86000000000001</v>
      </c>
      <c r="S735">
        <v>8.0399999999999991</v>
      </c>
      <c r="T735">
        <v>10</v>
      </c>
      <c r="U735">
        <v>5</v>
      </c>
      <c r="V735">
        <v>183.9</v>
      </c>
      <c r="W735" t="s">
        <v>34</v>
      </c>
      <c r="X735">
        <v>25</v>
      </c>
    </row>
    <row r="736" spans="1:24" ht="14.25" customHeight="1">
      <c r="A736" t="s">
        <v>1484</v>
      </c>
      <c r="B736" t="s">
        <v>2287</v>
      </c>
      <c r="C736" s="6" t="str">
        <f t="shared" si="34"/>
        <v>February</v>
      </c>
      <c r="D736" s="6" t="str">
        <f t="shared" si="35"/>
        <v>18</v>
      </c>
      <c r="E736" t="s">
        <v>587</v>
      </c>
      <c r="F736" t="s">
        <v>21</v>
      </c>
      <c r="G736" t="s">
        <v>74</v>
      </c>
      <c r="H736" s="4" t="s">
        <v>2257</v>
      </c>
      <c r="I736">
        <v>355719</v>
      </c>
      <c r="J736" s="8" t="s">
        <v>30</v>
      </c>
      <c r="K736" t="s">
        <v>588</v>
      </c>
      <c r="L736" t="s">
        <v>589</v>
      </c>
      <c r="M736" t="s">
        <v>50</v>
      </c>
      <c r="N736">
        <f t="shared" si="36"/>
        <v>5</v>
      </c>
      <c r="O736">
        <v>3</v>
      </c>
      <c r="P736" s="6">
        <v>129.41999999999999</v>
      </c>
      <c r="Q736">
        <v>19.41</v>
      </c>
      <c r="R736">
        <v>368.85</v>
      </c>
      <c r="S736">
        <v>18.440000000000001</v>
      </c>
      <c r="T736">
        <v>30</v>
      </c>
      <c r="U736">
        <v>15</v>
      </c>
      <c r="V736">
        <v>432.29</v>
      </c>
      <c r="W736" t="s">
        <v>27</v>
      </c>
      <c r="X736">
        <v>35</v>
      </c>
    </row>
    <row r="737" spans="1:24" ht="14.25" customHeight="1">
      <c r="A737" t="s">
        <v>1485</v>
      </c>
      <c r="B737" t="s">
        <v>2305</v>
      </c>
      <c r="C737" s="6" t="str">
        <f t="shared" si="34"/>
        <v>January</v>
      </c>
      <c r="D737" s="6" t="str">
        <f t="shared" si="35"/>
        <v>20</v>
      </c>
      <c r="E737" t="s">
        <v>591</v>
      </c>
      <c r="F737" t="s">
        <v>21</v>
      </c>
      <c r="G737" t="s">
        <v>74</v>
      </c>
      <c r="H737" s="4" t="s">
        <v>2257</v>
      </c>
      <c r="I737">
        <v>510226</v>
      </c>
      <c r="J737" s="8" t="s">
        <v>2347</v>
      </c>
      <c r="K737" t="s">
        <v>592</v>
      </c>
      <c r="L737" t="s">
        <v>593</v>
      </c>
      <c r="M737" t="s">
        <v>71</v>
      </c>
      <c r="N737">
        <f t="shared" si="36"/>
        <v>6</v>
      </c>
      <c r="O737">
        <v>5</v>
      </c>
      <c r="P737" s="6">
        <v>27.43</v>
      </c>
      <c r="Q737">
        <v>0</v>
      </c>
      <c r="R737">
        <v>137.15</v>
      </c>
      <c r="S737">
        <v>6.86</v>
      </c>
      <c r="T737">
        <v>20</v>
      </c>
      <c r="U737">
        <v>20</v>
      </c>
      <c r="V737">
        <v>184.01</v>
      </c>
      <c r="W737" t="s">
        <v>27</v>
      </c>
      <c r="X737">
        <v>37</v>
      </c>
    </row>
    <row r="738" spans="1:24" ht="14.25" customHeight="1">
      <c r="A738" t="s">
        <v>1486</v>
      </c>
      <c r="B738" t="s">
        <v>2313</v>
      </c>
      <c r="C738" s="6" t="str">
        <f t="shared" si="34"/>
        <v>February</v>
      </c>
      <c r="D738" s="6" t="str">
        <f t="shared" si="35"/>
        <v>17</v>
      </c>
      <c r="E738" t="s">
        <v>595</v>
      </c>
      <c r="F738" t="s">
        <v>101</v>
      </c>
      <c r="G738" t="s">
        <v>81</v>
      </c>
      <c r="H738" s="4" t="s">
        <v>2257</v>
      </c>
      <c r="I738">
        <v>761334</v>
      </c>
      <c r="J738" s="8" t="s">
        <v>2346</v>
      </c>
      <c r="K738" t="s">
        <v>596</v>
      </c>
      <c r="L738" t="s">
        <v>597</v>
      </c>
      <c r="M738" t="s">
        <v>26</v>
      </c>
      <c r="N738">
        <f t="shared" si="36"/>
        <v>3</v>
      </c>
      <c r="O738">
        <v>3</v>
      </c>
      <c r="P738" s="6">
        <v>181.67</v>
      </c>
      <c r="Q738">
        <v>18.170000000000002</v>
      </c>
      <c r="R738">
        <v>526.84</v>
      </c>
      <c r="S738">
        <v>26.34</v>
      </c>
      <c r="T738">
        <v>20</v>
      </c>
      <c r="U738">
        <v>15</v>
      </c>
      <c r="V738">
        <v>588.18000000000006</v>
      </c>
      <c r="W738" t="s">
        <v>27</v>
      </c>
      <c r="X738">
        <v>18</v>
      </c>
    </row>
    <row r="739" spans="1:24" ht="14.25" customHeight="1">
      <c r="A739" t="s">
        <v>1487</v>
      </c>
      <c r="B739" t="s">
        <v>2286</v>
      </c>
      <c r="C739" s="6" t="str">
        <f t="shared" si="34"/>
        <v>January</v>
      </c>
      <c r="D739" s="6" t="str">
        <f t="shared" si="35"/>
        <v>25</v>
      </c>
      <c r="E739" t="s">
        <v>599</v>
      </c>
      <c r="F739" t="s">
        <v>21</v>
      </c>
      <c r="G739" t="s">
        <v>22</v>
      </c>
      <c r="H739" s="4" t="s">
        <v>2257</v>
      </c>
      <c r="I739">
        <v>121398</v>
      </c>
      <c r="J739" s="8" t="s">
        <v>30</v>
      </c>
      <c r="K739" t="s">
        <v>600</v>
      </c>
      <c r="L739" t="s">
        <v>601</v>
      </c>
      <c r="M739" t="s">
        <v>135</v>
      </c>
      <c r="N739">
        <f t="shared" si="36"/>
        <v>9</v>
      </c>
      <c r="O739">
        <v>1</v>
      </c>
      <c r="P739" s="6">
        <v>59.34</v>
      </c>
      <c r="Q739">
        <v>0</v>
      </c>
      <c r="R739">
        <v>59.34</v>
      </c>
      <c r="S739">
        <v>2.97</v>
      </c>
      <c r="T739">
        <v>10</v>
      </c>
      <c r="U739">
        <v>10</v>
      </c>
      <c r="V739">
        <v>82.31</v>
      </c>
      <c r="W739" t="s">
        <v>27</v>
      </c>
      <c r="X739">
        <v>30</v>
      </c>
    </row>
    <row r="740" spans="1:24" ht="14.25" customHeight="1">
      <c r="A740" t="s">
        <v>1488</v>
      </c>
      <c r="B740" t="s">
        <v>2278</v>
      </c>
      <c r="C740" s="6" t="str">
        <f t="shared" si="34"/>
        <v>January</v>
      </c>
      <c r="D740" s="6" t="str">
        <f t="shared" si="35"/>
        <v>22</v>
      </c>
      <c r="E740" t="s">
        <v>603</v>
      </c>
      <c r="F740" t="s">
        <v>21</v>
      </c>
      <c r="G740" t="s">
        <v>74</v>
      </c>
      <c r="H740" s="4" t="s">
        <v>2257</v>
      </c>
      <c r="I740">
        <v>839667</v>
      </c>
      <c r="J740" s="8" t="s">
        <v>2348</v>
      </c>
      <c r="K740" t="s">
        <v>604</v>
      </c>
      <c r="L740" t="s">
        <v>605</v>
      </c>
      <c r="M740" t="s">
        <v>65</v>
      </c>
      <c r="N740">
        <f t="shared" si="36"/>
        <v>6</v>
      </c>
      <c r="O740">
        <v>1</v>
      </c>
      <c r="P740" s="6">
        <v>111.47</v>
      </c>
      <c r="Q740">
        <v>5.57</v>
      </c>
      <c r="R740">
        <v>105.9</v>
      </c>
      <c r="S740">
        <v>5.3</v>
      </c>
      <c r="T740">
        <v>20</v>
      </c>
      <c r="U740">
        <v>20</v>
      </c>
      <c r="V740">
        <v>151.19999999999999</v>
      </c>
      <c r="W740" t="s">
        <v>27</v>
      </c>
      <c r="X740">
        <v>39</v>
      </c>
    </row>
    <row r="741" spans="1:24" ht="14.25" customHeight="1">
      <c r="A741" t="s">
        <v>1489</v>
      </c>
      <c r="B741" t="s">
        <v>2318</v>
      </c>
      <c r="C741" s="6" t="str">
        <f t="shared" si="34"/>
        <v>January</v>
      </c>
      <c r="D741" s="6" t="str">
        <f t="shared" si="35"/>
        <v>13</v>
      </c>
      <c r="E741" t="s">
        <v>607</v>
      </c>
      <c r="F741" t="s">
        <v>21</v>
      </c>
      <c r="G741" t="s">
        <v>68</v>
      </c>
      <c r="H741" s="4" t="s">
        <v>2257</v>
      </c>
      <c r="I741">
        <v>134924</v>
      </c>
      <c r="J741" s="8" t="s">
        <v>62</v>
      </c>
      <c r="K741" t="s">
        <v>608</v>
      </c>
      <c r="L741" t="s">
        <v>609</v>
      </c>
      <c r="M741" t="s">
        <v>45</v>
      </c>
      <c r="N741">
        <f t="shared" si="36"/>
        <v>6</v>
      </c>
      <c r="O741">
        <v>3</v>
      </c>
      <c r="P741" s="6">
        <v>148.36000000000001</v>
      </c>
      <c r="Q741">
        <v>7.42</v>
      </c>
      <c r="R741">
        <v>437.66</v>
      </c>
      <c r="S741">
        <v>21.88</v>
      </c>
      <c r="T741">
        <v>0</v>
      </c>
      <c r="U741">
        <v>20</v>
      </c>
      <c r="V741">
        <v>479.54</v>
      </c>
      <c r="W741" t="s">
        <v>27</v>
      </c>
      <c r="X741">
        <v>28</v>
      </c>
    </row>
    <row r="742" spans="1:24" ht="14.25" customHeight="1">
      <c r="A742" t="s">
        <v>1490</v>
      </c>
      <c r="B742" t="s">
        <v>2289</v>
      </c>
      <c r="C742" s="6" t="str">
        <f t="shared" si="34"/>
        <v>February</v>
      </c>
      <c r="D742" s="6" t="str">
        <f t="shared" si="35"/>
        <v>28</v>
      </c>
      <c r="E742" t="s">
        <v>611</v>
      </c>
      <c r="F742" t="s">
        <v>80</v>
      </c>
      <c r="G742" t="s">
        <v>81</v>
      </c>
      <c r="H742" s="4" t="s">
        <v>2257</v>
      </c>
      <c r="I742">
        <v>638966</v>
      </c>
      <c r="J742" s="8" t="s">
        <v>2349</v>
      </c>
      <c r="K742" t="s">
        <v>612</v>
      </c>
      <c r="L742" t="s">
        <v>613</v>
      </c>
      <c r="M742" t="s">
        <v>135</v>
      </c>
      <c r="N742">
        <f t="shared" si="36"/>
        <v>9</v>
      </c>
      <c r="O742">
        <v>2</v>
      </c>
      <c r="P742" s="6">
        <v>79.5</v>
      </c>
      <c r="Q742">
        <v>7.95</v>
      </c>
      <c r="R742">
        <v>151.05000000000001</v>
      </c>
      <c r="S742">
        <v>7.55</v>
      </c>
      <c r="T742">
        <v>20</v>
      </c>
      <c r="U742">
        <v>0</v>
      </c>
      <c r="V742">
        <v>178.6</v>
      </c>
      <c r="W742" t="s">
        <v>27</v>
      </c>
      <c r="X742">
        <v>20</v>
      </c>
    </row>
    <row r="743" spans="1:24" ht="14.25" customHeight="1">
      <c r="A743" t="s">
        <v>1491</v>
      </c>
      <c r="B743" t="s">
        <v>2270</v>
      </c>
      <c r="C743" s="6" t="str">
        <f t="shared" si="34"/>
        <v>January</v>
      </c>
      <c r="D743" s="6" t="str">
        <f t="shared" si="35"/>
        <v>19</v>
      </c>
      <c r="E743" t="s">
        <v>615</v>
      </c>
      <c r="F743" t="s">
        <v>21</v>
      </c>
      <c r="G743" t="s">
        <v>37</v>
      </c>
      <c r="H743" s="4" t="s">
        <v>2257</v>
      </c>
      <c r="I743">
        <v>865328</v>
      </c>
      <c r="J743" s="8" t="s">
        <v>2349</v>
      </c>
      <c r="K743" t="s">
        <v>616</v>
      </c>
      <c r="L743" t="s">
        <v>617</v>
      </c>
      <c r="M743" t="s">
        <v>50</v>
      </c>
      <c r="N743">
        <f t="shared" si="36"/>
        <v>5</v>
      </c>
      <c r="O743">
        <v>1</v>
      </c>
      <c r="P743" s="6">
        <v>211.76</v>
      </c>
      <c r="Q743">
        <v>0</v>
      </c>
      <c r="R743">
        <v>211.76</v>
      </c>
      <c r="S743">
        <v>10.59</v>
      </c>
      <c r="T743">
        <v>30</v>
      </c>
      <c r="U743">
        <v>10</v>
      </c>
      <c r="V743">
        <v>262.35000000000002</v>
      </c>
      <c r="W743" t="s">
        <v>34</v>
      </c>
      <c r="X743">
        <v>25</v>
      </c>
    </row>
    <row r="744" spans="1:24" ht="14.25" customHeight="1">
      <c r="A744" t="s">
        <v>1492</v>
      </c>
      <c r="B744" t="s">
        <v>2287</v>
      </c>
      <c r="C744" s="6" t="str">
        <f t="shared" si="34"/>
        <v>February</v>
      </c>
      <c r="D744" s="6" t="str">
        <f t="shared" si="35"/>
        <v>18</v>
      </c>
      <c r="E744" t="s">
        <v>619</v>
      </c>
      <c r="F744" t="s">
        <v>21</v>
      </c>
      <c r="G744" t="s">
        <v>74</v>
      </c>
      <c r="H744" s="4" t="s">
        <v>2257</v>
      </c>
      <c r="I744">
        <v>729756</v>
      </c>
      <c r="J744" s="8" t="s">
        <v>30</v>
      </c>
      <c r="K744" t="s">
        <v>620</v>
      </c>
      <c r="L744" t="s">
        <v>621</v>
      </c>
      <c r="M744" t="s">
        <v>140</v>
      </c>
      <c r="N744">
        <f t="shared" si="36"/>
        <v>3</v>
      </c>
      <c r="O744">
        <v>2</v>
      </c>
      <c r="P744" s="6">
        <v>38.67</v>
      </c>
      <c r="Q744">
        <v>0</v>
      </c>
      <c r="R744">
        <v>77.34</v>
      </c>
      <c r="S744">
        <v>3.87</v>
      </c>
      <c r="T744">
        <v>0</v>
      </c>
      <c r="U744">
        <v>15</v>
      </c>
      <c r="V744">
        <v>96.210000000000008</v>
      </c>
      <c r="W744" t="s">
        <v>27</v>
      </c>
      <c r="X744">
        <v>22</v>
      </c>
    </row>
    <row r="745" spans="1:24" ht="14.25" customHeight="1">
      <c r="A745" t="s">
        <v>1493</v>
      </c>
      <c r="B745" t="s">
        <v>2275</v>
      </c>
      <c r="C745" s="6" t="str">
        <f t="shared" si="34"/>
        <v>February</v>
      </c>
      <c r="D745" s="6" t="str">
        <f t="shared" si="35"/>
        <v>05</v>
      </c>
      <c r="E745" t="s">
        <v>623</v>
      </c>
      <c r="F745" t="s">
        <v>21</v>
      </c>
      <c r="G745" t="s">
        <v>68</v>
      </c>
      <c r="H745" s="4" t="s">
        <v>2257</v>
      </c>
      <c r="I745">
        <v>615956</v>
      </c>
      <c r="J745" s="8" t="s">
        <v>2346</v>
      </c>
      <c r="K745" t="s">
        <v>624</v>
      </c>
      <c r="L745" t="s">
        <v>625</v>
      </c>
      <c r="M745" t="s">
        <v>77</v>
      </c>
      <c r="N745">
        <f t="shared" si="36"/>
        <v>5</v>
      </c>
      <c r="O745">
        <v>1</v>
      </c>
      <c r="P745" s="6">
        <v>104.12</v>
      </c>
      <c r="Q745">
        <v>15.62</v>
      </c>
      <c r="R745">
        <v>88.5</v>
      </c>
      <c r="S745">
        <v>4.42</v>
      </c>
      <c r="T745">
        <v>20</v>
      </c>
      <c r="U745">
        <v>0</v>
      </c>
      <c r="V745">
        <v>112.92</v>
      </c>
      <c r="W745" t="s">
        <v>27</v>
      </c>
      <c r="X745">
        <v>11</v>
      </c>
    </row>
    <row r="746" spans="1:24" ht="14.25" customHeight="1">
      <c r="A746" t="s">
        <v>1494</v>
      </c>
      <c r="B746" t="s">
        <v>2285</v>
      </c>
      <c r="C746" s="6" t="str">
        <f t="shared" si="34"/>
        <v>January</v>
      </c>
      <c r="D746" s="6" t="str">
        <f t="shared" si="35"/>
        <v>12</v>
      </c>
      <c r="E746" t="s">
        <v>627</v>
      </c>
      <c r="F746" t="s">
        <v>21</v>
      </c>
      <c r="G746" t="s">
        <v>74</v>
      </c>
      <c r="H746" s="4" t="s">
        <v>2257</v>
      </c>
      <c r="I746">
        <v>663543</v>
      </c>
      <c r="J746" s="8" t="s">
        <v>30</v>
      </c>
      <c r="K746" t="s">
        <v>628</v>
      </c>
      <c r="L746" t="s">
        <v>629</v>
      </c>
      <c r="M746" t="s">
        <v>65</v>
      </c>
      <c r="N746">
        <f t="shared" si="36"/>
        <v>6</v>
      </c>
      <c r="O746">
        <v>3</v>
      </c>
      <c r="P746" s="6">
        <v>15.9</v>
      </c>
      <c r="Q746">
        <v>0</v>
      </c>
      <c r="R746">
        <v>47.7</v>
      </c>
      <c r="S746">
        <v>2.39</v>
      </c>
      <c r="T746">
        <v>30</v>
      </c>
      <c r="U746">
        <v>5</v>
      </c>
      <c r="V746">
        <v>85.09</v>
      </c>
      <c r="W746" t="s">
        <v>27</v>
      </c>
      <c r="X746">
        <v>0</v>
      </c>
    </row>
    <row r="747" spans="1:24" ht="14.25" customHeight="1">
      <c r="A747" t="s">
        <v>1495</v>
      </c>
      <c r="B747" t="s">
        <v>2315</v>
      </c>
      <c r="C747" s="6" t="str">
        <f t="shared" si="34"/>
        <v>February</v>
      </c>
      <c r="D747" s="6" t="str">
        <f t="shared" si="35"/>
        <v>10</v>
      </c>
      <c r="E747" t="s">
        <v>631</v>
      </c>
      <c r="F747" t="s">
        <v>21</v>
      </c>
      <c r="G747" t="s">
        <v>68</v>
      </c>
      <c r="H747" s="4" t="s">
        <v>2257</v>
      </c>
      <c r="I747">
        <v>544844</v>
      </c>
      <c r="J747" s="8" t="s">
        <v>2348</v>
      </c>
      <c r="K747" t="s">
        <v>632</v>
      </c>
      <c r="L747" t="s">
        <v>633</v>
      </c>
      <c r="M747" t="s">
        <v>135</v>
      </c>
      <c r="N747">
        <f t="shared" si="36"/>
        <v>9</v>
      </c>
      <c r="O747">
        <v>1</v>
      </c>
      <c r="P747" s="6">
        <v>151.34</v>
      </c>
      <c r="Q747">
        <v>15.13</v>
      </c>
      <c r="R747">
        <v>136.21</v>
      </c>
      <c r="S747">
        <v>6.81</v>
      </c>
      <c r="T747">
        <v>10</v>
      </c>
      <c r="U747">
        <v>10</v>
      </c>
      <c r="V747">
        <v>163.02000000000001</v>
      </c>
      <c r="W747" t="s">
        <v>27</v>
      </c>
      <c r="X747">
        <v>24</v>
      </c>
    </row>
    <row r="748" spans="1:24" ht="14.25" customHeight="1">
      <c r="A748" t="s">
        <v>1496</v>
      </c>
      <c r="B748" t="s">
        <v>2270</v>
      </c>
      <c r="C748" s="6" t="str">
        <f t="shared" si="34"/>
        <v>January</v>
      </c>
      <c r="D748" s="6" t="str">
        <f t="shared" si="35"/>
        <v>19</v>
      </c>
      <c r="E748" t="s">
        <v>635</v>
      </c>
      <c r="F748" t="s">
        <v>21</v>
      </c>
      <c r="G748" t="s">
        <v>74</v>
      </c>
      <c r="H748" s="4" t="s">
        <v>2257</v>
      </c>
      <c r="I748">
        <v>243704</v>
      </c>
      <c r="J748" s="8" t="s">
        <v>30</v>
      </c>
      <c r="K748" t="s">
        <v>636</v>
      </c>
      <c r="L748" t="s">
        <v>637</v>
      </c>
      <c r="M748" t="s">
        <v>71</v>
      </c>
      <c r="N748">
        <f t="shared" si="36"/>
        <v>6</v>
      </c>
      <c r="O748">
        <v>2</v>
      </c>
      <c r="P748" s="6">
        <v>117.55</v>
      </c>
      <c r="Q748">
        <v>0</v>
      </c>
      <c r="R748">
        <v>235.1</v>
      </c>
      <c r="S748">
        <v>11.76</v>
      </c>
      <c r="T748">
        <v>30</v>
      </c>
      <c r="U748">
        <v>0</v>
      </c>
      <c r="V748">
        <v>276.86</v>
      </c>
      <c r="W748" t="s">
        <v>34</v>
      </c>
      <c r="X748">
        <v>25</v>
      </c>
    </row>
    <row r="749" spans="1:24" ht="14.25" customHeight="1">
      <c r="A749" t="s">
        <v>1497</v>
      </c>
      <c r="B749" t="s">
        <v>2285</v>
      </c>
      <c r="C749" s="6" t="str">
        <f t="shared" si="34"/>
        <v>January</v>
      </c>
      <c r="D749" s="6" t="str">
        <f t="shared" si="35"/>
        <v>12</v>
      </c>
      <c r="E749" t="s">
        <v>639</v>
      </c>
      <c r="F749" t="s">
        <v>21</v>
      </c>
      <c r="G749" t="s">
        <v>22</v>
      </c>
      <c r="H749" s="4" t="s">
        <v>2257</v>
      </c>
      <c r="I749">
        <v>418488</v>
      </c>
      <c r="J749" s="8" t="s">
        <v>62</v>
      </c>
      <c r="K749" t="s">
        <v>640</v>
      </c>
      <c r="L749" t="s">
        <v>641</v>
      </c>
      <c r="M749" t="s">
        <v>40</v>
      </c>
      <c r="N749">
        <f t="shared" si="36"/>
        <v>6</v>
      </c>
      <c r="O749">
        <v>3</v>
      </c>
      <c r="P749" s="6">
        <v>153.81</v>
      </c>
      <c r="Q749">
        <v>23.07</v>
      </c>
      <c r="R749">
        <v>438.36</v>
      </c>
      <c r="S749">
        <v>21.92</v>
      </c>
      <c r="T749">
        <v>0</v>
      </c>
      <c r="U749">
        <v>5</v>
      </c>
      <c r="V749">
        <v>465.28</v>
      </c>
      <c r="W749" t="s">
        <v>27</v>
      </c>
      <c r="X749">
        <v>9</v>
      </c>
    </row>
    <row r="750" spans="1:24" ht="14.25" customHeight="1">
      <c r="A750" t="s">
        <v>1498</v>
      </c>
      <c r="B750" t="s">
        <v>2299</v>
      </c>
      <c r="C750" s="6" t="str">
        <f t="shared" si="34"/>
        <v>January</v>
      </c>
      <c r="D750" s="6" t="str">
        <f t="shared" si="35"/>
        <v>09</v>
      </c>
      <c r="E750" t="s">
        <v>643</v>
      </c>
      <c r="F750" t="s">
        <v>21</v>
      </c>
      <c r="G750" t="s">
        <v>22</v>
      </c>
      <c r="H750" s="4" t="s">
        <v>2257</v>
      </c>
      <c r="I750">
        <v>221897</v>
      </c>
      <c r="J750" s="8" t="s">
        <v>30</v>
      </c>
      <c r="K750" t="s">
        <v>644</v>
      </c>
      <c r="L750" t="s">
        <v>645</v>
      </c>
      <c r="M750" t="s">
        <v>26</v>
      </c>
      <c r="N750">
        <f t="shared" si="36"/>
        <v>3</v>
      </c>
      <c r="O750">
        <v>3</v>
      </c>
      <c r="P750" s="6">
        <v>205.97</v>
      </c>
      <c r="Q750">
        <v>20.6</v>
      </c>
      <c r="R750">
        <v>597.30999999999995</v>
      </c>
      <c r="S750">
        <v>29.87</v>
      </c>
      <c r="T750">
        <v>10</v>
      </c>
      <c r="U750">
        <v>10</v>
      </c>
      <c r="V750">
        <v>647.17999999999995</v>
      </c>
      <c r="W750" t="s">
        <v>27</v>
      </c>
      <c r="X750">
        <v>10</v>
      </c>
    </row>
    <row r="751" spans="1:24" ht="14.25" customHeight="1">
      <c r="A751" t="s">
        <v>1499</v>
      </c>
      <c r="B751" t="s">
        <v>2298</v>
      </c>
      <c r="C751" s="6" t="str">
        <f t="shared" si="34"/>
        <v>January</v>
      </c>
      <c r="D751" s="6" t="str">
        <f t="shared" si="35"/>
        <v>07</v>
      </c>
      <c r="E751" t="s">
        <v>647</v>
      </c>
      <c r="F751" t="s">
        <v>21</v>
      </c>
      <c r="G751" t="s">
        <v>68</v>
      </c>
      <c r="H751" s="4" t="s">
        <v>2257</v>
      </c>
      <c r="I751">
        <v>803335</v>
      </c>
      <c r="J751" s="8" t="s">
        <v>30</v>
      </c>
      <c r="K751" t="s">
        <v>648</v>
      </c>
      <c r="L751" t="s">
        <v>649</v>
      </c>
      <c r="M751" t="s">
        <v>89</v>
      </c>
      <c r="N751">
        <f t="shared" si="36"/>
        <v>7</v>
      </c>
      <c r="O751">
        <v>3</v>
      </c>
      <c r="P751" s="6">
        <v>81.88</v>
      </c>
      <c r="Q751">
        <v>4.09</v>
      </c>
      <c r="R751">
        <v>241.55</v>
      </c>
      <c r="S751">
        <v>12.08</v>
      </c>
      <c r="T751">
        <v>20</v>
      </c>
      <c r="U751">
        <v>15</v>
      </c>
      <c r="V751">
        <v>288.63</v>
      </c>
      <c r="W751" t="s">
        <v>27</v>
      </c>
      <c r="X751">
        <v>19</v>
      </c>
    </row>
    <row r="752" spans="1:24" ht="14.25" customHeight="1">
      <c r="A752" t="s">
        <v>1500</v>
      </c>
      <c r="B752" t="s">
        <v>2291</v>
      </c>
      <c r="C752" s="6" t="str">
        <f t="shared" si="34"/>
        <v>January</v>
      </c>
      <c r="D752" s="6" t="str">
        <f t="shared" si="35"/>
        <v>28</v>
      </c>
      <c r="E752" t="s">
        <v>651</v>
      </c>
      <c r="F752" t="s">
        <v>21</v>
      </c>
      <c r="G752" t="s">
        <v>37</v>
      </c>
      <c r="H752" s="4" t="s">
        <v>2257</v>
      </c>
      <c r="I752">
        <v>900607</v>
      </c>
      <c r="J752" s="8" t="s">
        <v>30</v>
      </c>
      <c r="K752" t="s">
        <v>652</v>
      </c>
      <c r="L752" t="s">
        <v>653</v>
      </c>
      <c r="M752" t="s">
        <v>98</v>
      </c>
      <c r="N752">
        <f t="shared" si="36"/>
        <v>4</v>
      </c>
      <c r="O752">
        <v>2</v>
      </c>
      <c r="P752" s="6">
        <v>99.37</v>
      </c>
      <c r="Q752">
        <v>4.97</v>
      </c>
      <c r="R752">
        <v>193.77</v>
      </c>
      <c r="S752">
        <v>9.69</v>
      </c>
      <c r="T752">
        <v>20</v>
      </c>
      <c r="U752">
        <v>5</v>
      </c>
      <c r="V752">
        <v>228.46</v>
      </c>
      <c r="W752" t="s">
        <v>27</v>
      </c>
      <c r="X752">
        <v>30</v>
      </c>
    </row>
    <row r="753" spans="1:24" ht="14.25" customHeight="1">
      <c r="A753" t="s">
        <v>1501</v>
      </c>
      <c r="B753" t="s">
        <v>2302</v>
      </c>
      <c r="C753" s="6" t="str">
        <f t="shared" si="34"/>
        <v>January</v>
      </c>
      <c r="D753" s="6" t="str">
        <f t="shared" si="35"/>
        <v>14</v>
      </c>
      <c r="E753" t="s">
        <v>655</v>
      </c>
      <c r="F753" t="s">
        <v>21</v>
      </c>
      <c r="G753" t="s">
        <v>106</v>
      </c>
      <c r="H753" s="4" t="s">
        <v>2257</v>
      </c>
      <c r="I753">
        <v>952969</v>
      </c>
      <c r="J753" s="8" t="s">
        <v>30</v>
      </c>
      <c r="K753" t="s">
        <v>656</v>
      </c>
      <c r="L753" t="s">
        <v>657</v>
      </c>
      <c r="M753" t="s">
        <v>77</v>
      </c>
      <c r="N753">
        <f t="shared" si="36"/>
        <v>5</v>
      </c>
      <c r="O753">
        <v>2</v>
      </c>
      <c r="P753" s="6">
        <v>119.28</v>
      </c>
      <c r="Q753">
        <v>5.96</v>
      </c>
      <c r="R753">
        <v>232.6</v>
      </c>
      <c r="S753">
        <v>11.63</v>
      </c>
      <c r="T753">
        <v>0</v>
      </c>
      <c r="U753">
        <v>10</v>
      </c>
      <c r="V753">
        <v>254.23</v>
      </c>
      <c r="W753" t="s">
        <v>34</v>
      </c>
      <c r="X753">
        <v>25</v>
      </c>
    </row>
    <row r="754" spans="1:24" ht="14.25" customHeight="1">
      <c r="A754" t="s">
        <v>1502</v>
      </c>
      <c r="B754" t="s">
        <v>2312</v>
      </c>
      <c r="C754" s="6" t="str">
        <f t="shared" si="34"/>
        <v>January</v>
      </c>
      <c r="D754" s="6" t="str">
        <f t="shared" si="35"/>
        <v>31</v>
      </c>
      <c r="E754" t="s">
        <v>659</v>
      </c>
      <c r="F754" t="s">
        <v>21</v>
      </c>
      <c r="G754" t="s">
        <v>22</v>
      </c>
      <c r="H754" s="4" t="s">
        <v>2257</v>
      </c>
      <c r="I754">
        <v>523240</v>
      </c>
      <c r="J754" s="8" t="s">
        <v>2347</v>
      </c>
      <c r="K754" t="s">
        <v>660</v>
      </c>
      <c r="L754" t="s">
        <v>661</v>
      </c>
      <c r="M754" t="s">
        <v>77</v>
      </c>
      <c r="N754">
        <f t="shared" si="36"/>
        <v>5</v>
      </c>
      <c r="O754">
        <v>5</v>
      </c>
      <c r="P754" s="6">
        <v>285.04000000000002</v>
      </c>
      <c r="Q754">
        <v>0</v>
      </c>
      <c r="R754">
        <v>1425.2</v>
      </c>
      <c r="S754">
        <v>71.260000000000005</v>
      </c>
      <c r="T754">
        <v>30</v>
      </c>
      <c r="U754">
        <v>15</v>
      </c>
      <c r="V754">
        <v>1541.46</v>
      </c>
      <c r="W754" t="s">
        <v>84</v>
      </c>
      <c r="X754">
        <v>25</v>
      </c>
    </row>
    <row r="755" spans="1:24" ht="14.25" customHeight="1">
      <c r="A755" t="s">
        <v>1503</v>
      </c>
      <c r="B755" t="s">
        <v>2263</v>
      </c>
      <c r="C755" s="6" t="str">
        <f t="shared" si="34"/>
        <v>February</v>
      </c>
      <c r="D755" s="6" t="str">
        <f t="shared" si="35"/>
        <v>21</v>
      </c>
      <c r="E755" t="s">
        <v>663</v>
      </c>
      <c r="F755" t="s">
        <v>80</v>
      </c>
      <c r="G755" t="s">
        <v>81</v>
      </c>
      <c r="H755" s="4" t="s">
        <v>2257</v>
      </c>
      <c r="I755">
        <v>853160</v>
      </c>
      <c r="J755" s="8" t="s">
        <v>30</v>
      </c>
      <c r="K755" t="s">
        <v>664</v>
      </c>
      <c r="L755" t="s">
        <v>665</v>
      </c>
      <c r="M755" t="s">
        <v>89</v>
      </c>
      <c r="N755">
        <f t="shared" si="36"/>
        <v>7</v>
      </c>
      <c r="O755">
        <v>1</v>
      </c>
      <c r="P755" s="6">
        <v>72.11</v>
      </c>
      <c r="Q755">
        <v>3.61</v>
      </c>
      <c r="R755">
        <v>68.5</v>
      </c>
      <c r="S755">
        <v>3.43</v>
      </c>
      <c r="T755">
        <v>30</v>
      </c>
      <c r="U755">
        <v>5</v>
      </c>
      <c r="V755">
        <v>106.93</v>
      </c>
      <c r="W755" t="s">
        <v>27</v>
      </c>
      <c r="X755">
        <v>26</v>
      </c>
    </row>
    <row r="756" spans="1:24" ht="14.25" customHeight="1">
      <c r="A756" t="s">
        <v>1504</v>
      </c>
      <c r="B756" t="s">
        <v>2270</v>
      </c>
      <c r="C756" s="6" t="str">
        <f t="shared" si="34"/>
        <v>January</v>
      </c>
      <c r="D756" s="6" t="str">
        <f t="shared" si="35"/>
        <v>19</v>
      </c>
      <c r="E756" t="s">
        <v>667</v>
      </c>
      <c r="F756" t="s">
        <v>21</v>
      </c>
      <c r="G756" t="s">
        <v>106</v>
      </c>
      <c r="H756" s="4" t="s">
        <v>2257</v>
      </c>
      <c r="I756">
        <v>608175</v>
      </c>
      <c r="J756" s="8" t="s">
        <v>2348</v>
      </c>
      <c r="K756" t="s">
        <v>668</v>
      </c>
      <c r="L756" t="s">
        <v>669</v>
      </c>
      <c r="M756" t="s">
        <v>71</v>
      </c>
      <c r="N756">
        <f t="shared" si="36"/>
        <v>6</v>
      </c>
      <c r="O756">
        <v>1</v>
      </c>
      <c r="P756" s="6">
        <v>2.3199999999999998</v>
      </c>
      <c r="Q756">
        <v>0.12</v>
      </c>
      <c r="R756">
        <v>2.2000000000000002</v>
      </c>
      <c r="S756">
        <v>0.11</v>
      </c>
      <c r="T756">
        <v>30</v>
      </c>
      <c r="U756">
        <v>20</v>
      </c>
      <c r="V756">
        <v>52.31</v>
      </c>
      <c r="W756" t="s">
        <v>27</v>
      </c>
      <c r="X756">
        <v>19</v>
      </c>
    </row>
    <row r="757" spans="1:24" ht="14.25" customHeight="1">
      <c r="A757" t="s">
        <v>1505</v>
      </c>
      <c r="B757" t="s">
        <v>2269</v>
      </c>
      <c r="C757" s="6" t="str">
        <f t="shared" si="34"/>
        <v>February</v>
      </c>
      <c r="D757" s="6" t="str">
        <f t="shared" si="35"/>
        <v>27</v>
      </c>
      <c r="E757" t="s">
        <v>671</v>
      </c>
      <c r="F757" t="s">
        <v>21</v>
      </c>
      <c r="G757" t="s">
        <v>37</v>
      </c>
      <c r="H757" s="4" t="s">
        <v>2257</v>
      </c>
      <c r="I757">
        <v>896305</v>
      </c>
      <c r="J757" s="8" t="s">
        <v>2349</v>
      </c>
      <c r="K757" t="s">
        <v>672</v>
      </c>
      <c r="L757" t="s">
        <v>673</v>
      </c>
      <c r="M757" t="s">
        <v>130</v>
      </c>
      <c r="N757">
        <f t="shared" si="36"/>
        <v>7</v>
      </c>
      <c r="O757">
        <v>1</v>
      </c>
      <c r="P757" s="6">
        <v>3.05</v>
      </c>
      <c r="Q757">
        <v>0</v>
      </c>
      <c r="R757">
        <v>3.05</v>
      </c>
      <c r="S757">
        <v>0.15</v>
      </c>
      <c r="T757">
        <v>10</v>
      </c>
      <c r="U757">
        <v>0</v>
      </c>
      <c r="V757">
        <v>13.2</v>
      </c>
      <c r="W757" t="s">
        <v>27</v>
      </c>
      <c r="X757">
        <v>24</v>
      </c>
    </row>
    <row r="758" spans="1:24" ht="14.25" customHeight="1">
      <c r="A758" t="s">
        <v>1506</v>
      </c>
      <c r="B758" t="s">
        <v>2293</v>
      </c>
      <c r="C758" s="6" t="str">
        <f t="shared" si="34"/>
        <v>February</v>
      </c>
      <c r="D758" s="6" t="str">
        <f t="shared" si="35"/>
        <v>16</v>
      </c>
      <c r="E758" t="s">
        <v>675</v>
      </c>
      <c r="F758" t="s">
        <v>21</v>
      </c>
      <c r="G758" t="s">
        <v>106</v>
      </c>
      <c r="H758" s="4" t="s">
        <v>2257</v>
      </c>
      <c r="I758">
        <v>629321</v>
      </c>
      <c r="J758" s="8" t="s">
        <v>2346</v>
      </c>
      <c r="K758" t="s">
        <v>676</v>
      </c>
      <c r="L758" t="s">
        <v>677</v>
      </c>
      <c r="M758" t="s">
        <v>33</v>
      </c>
      <c r="N758">
        <f t="shared" si="36"/>
        <v>10</v>
      </c>
      <c r="O758">
        <v>2</v>
      </c>
      <c r="P758" s="6">
        <v>21.74</v>
      </c>
      <c r="Q758">
        <v>0</v>
      </c>
      <c r="R758">
        <v>43.48</v>
      </c>
      <c r="S758">
        <v>2.17</v>
      </c>
      <c r="T758">
        <v>30</v>
      </c>
      <c r="U758">
        <v>20</v>
      </c>
      <c r="V758">
        <v>95.65</v>
      </c>
      <c r="W758" t="s">
        <v>27</v>
      </c>
      <c r="X758">
        <v>26</v>
      </c>
    </row>
    <row r="759" spans="1:24" ht="14.25" customHeight="1">
      <c r="A759" t="s">
        <v>1507</v>
      </c>
      <c r="B759" t="s">
        <v>2292</v>
      </c>
      <c r="C759" s="6" t="str">
        <f t="shared" si="34"/>
        <v>January</v>
      </c>
      <c r="D759" s="6" t="str">
        <f t="shared" si="35"/>
        <v>16</v>
      </c>
      <c r="E759" t="s">
        <v>679</v>
      </c>
      <c r="F759" t="s">
        <v>21</v>
      </c>
      <c r="G759" t="s">
        <v>22</v>
      </c>
      <c r="H759" s="4" t="s">
        <v>2257</v>
      </c>
      <c r="I759">
        <v>477972</v>
      </c>
      <c r="J759" s="8" t="s">
        <v>30</v>
      </c>
      <c r="K759" t="s">
        <v>680</v>
      </c>
      <c r="L759" t="s">
        <v>681</v>
      </c>
      <c r="M759" t="s">
        <v>177</v>
      </c>
      <c r="N759">
        <f t="shared" si="36"/>
        <v>5</v>
      </c>
      <c r="O759">
        <v>4</v>
      </c>
      <c r="P759" s="6">
        <v>6.34</v>
      </c>
      <c r="Q759">
        <v>0</v>
      </c>
      <c r="R759">
        <v>25.36</v>
      </c>
      <c r="S759">
        <v>1.27</v>
      </c>
      <c r="T759">
        <v>10</v>
      </c>
      <c r="U759">
        <v>10</v>
      </c>
      <c r="V759">
        <v>46.63</v>
      </c>
      <c r="W759" t="s">
        <v>27</v>
      </c>
      <c r="X759">
        <v>15</v>
      </c>
    </row>
    <row r="760" spans="1:24" ht="14.25" customHeight="1">
      <c r="A760" t="s">
        <v>1508</v>
      </c>
      <c r="B760" t="s">
        <v>2274</v>
      </c>
      <c r="C760" s="6" t="str">
        <f t="shared" si="34"/>
        <v>February</v>
      </c>
      <c r="D760" s="6" t="str">
        <f t="shared" si="35"/>
        <v>22</v>
      </c>
      <c r="E760" t="s">
        <v>683</v>
      </c>
      <c r="F760" t="s">
        <v>21</v>
      </c>
      <c r="G760" t="s">
        <v>74</v>
      </c>
      <c r="H760" s="4" t="s">
        <v>2257</v>
      </c>
      <c r="I760">
        <v>124648</v>
      </c>
      <c r="J760" s="8" t="s">
        <v>2348</v>
      </c>
      <c r="K760" t="s">
        <v>684</v>
      </c>
      <c r="L760" t="s">
        <v>685</v>
      </c>
      <c r="M760" t="s">
        <v>135</v>
      </c>
      <c r="N760">
        <f t="shared" si="36"/>
        <v>9</v>
      </c>
      <c r="O760">
        <v>4</v>
      </c>
      <c r="P760" s="6">
        <v>101.87</v>
      </c>
      <c r="Q760">
        <v>10.19</v>
      </c>
      <c r="R760">
        <v>397.29</v>
      </c>
      <c r="S760">
        <v>19.86</v>
      </c>
      <c r="T760">
        <v>10</v>
      </c>
      <c r="U760">
        <v>20</v>
      </c>
      <c r="V760">
        <v>447.15</v>
      </c>
      <c r="W760" t="s">
        <v>27</v>
      </c>
      <c r="X760">
        <v>1</v>
      </c>
    </row>
    <row r="761" spans="1:24" ht="14.25" customHeight="1">
      <c r="A761" t="s">
        <v>1509</v>
      </c>
      <c r="B761" t="s">
        <v>2317</v>
      </c>
      <c r="C761" s="6" t="str">
        <f t="shared" si="34"/>
        <v>January</v>
      </c>
      <c r="D761" s="6" t="str">
        <f t="shared" si="35"/>
        <v>05</v>
      </c>
      <c r="E761" t="s">
        <v>687</v>
      </c>
      <c r="F761" t="s">
        <v>101</v>
      </c>
      <c r="G761" t="s">
        <v>81</v>
      </c>
      <c r="H761" s="4" t="s">
        <v>2257</v>
      </c>
      <c r="I761">
        <v>290271</v>
      </c>
      <c r="J761" s="8" t="s">
        <v>30</v>
      </c>
      <c r="K761" t="s">
        <v>688</v>
      </c>
      <c r="L761" t="s">
        <v>689</v>
      </c>
      <c r="M761" t="s">
        <v>98</v>
      </c>
      <c r="N761">
        <f t="shared" si="36"/>
        <v>4</v>
      </c>
      <c r="O761">
        <v>3</v>
      </c>
      <c r="P761" s="6">
        <v>150.44999999999999</v>
      </c>
      <c r="Q761">
        <v>7.52</v>
      </c>
      <c r="R761">
        <v>443.83</v>
      </c>
      <c r="S761">
        <v>22.19</v>
      </c>
      <c r="T761">
        <v>10</v>
      </c>
      <c r="U761">
        <v>0</v>
      </c>
      <c r="V761">
        <v>476.02</v>
      </c>
      <c r="W761" t="s">
        <v>27</v>
      </c>
      <c r="X761">
        <v>15</v>
      </c>
    </row>
    <row r="762" spans="1:24" ht="14.25" customHeight="1">
      <c r="A762" t="s">
        <v>1510</v>
      </c>
      <c r="B762" t="s">
        <v>2306</v>
      </c>
      <c r="C762" s="6" t="str">
        <f t="shared" si="34"/>
        <v>February</v>
      </c>
      <c r="D762" s="6" t="str">
        <f t="shared" si="35"/>
        <v>04</v>
      </c>
      <c r="E762" t="s">
        <v>691</v>
      </c>
      <c r="F762" t="s">
        <v>21</v>
      </c>
      <c r="G762" t="s">
        <v>37</v>
      </c>
      <c r="H762" s="4" t="s">
        <v>2257</v>
      </c>
      <c r="I762">
        <v>820857</v>
      </c>
      <c r="J762" s="8" t="s">
        <v>2346</v>
      </c>
      <c r="K762" t="s">
        <v>692</v>
      </c>
      <c r="L762" t="s">
        <v>693</v>
      </c>
      <c r="M762" t="s">
        <v>135</v>
      </c>
      <c r="N762">
        <f t="shared" si="36"/>
        <v>9</v>
      </c>
      <c r="O762">
        <v>1</v>
      </c>
      <c r="P762" s="6">
        <v>44.31</v>
      </c>
      <c r="Q762">
        <v>6.65</v>
      </c>
      <c r="R762">
        <v>37.659999999999997</v>
      </c>
      <c r="S762">
        <v>1.88</v>
      </c>
      <c r="T762">
        <v>10</v>
      </c>
      <c r="U762">
        <v>10</v>
      </c>
      <c r="V762">
        <v>59.540000000000013</v>
      </c>
      <c r="W762" t="s">
        <v>117</v>
      </c>
      <c r="X762">
        <v>25</v>
      </c>
    </row>
    <row r="763" spans="1:24" ht="14.25" customHeight="1">
      <c r="A763" t="s">
        <v>1511</v>
      </c>
      <c r="B763" t="s">
        <v>2285</v>
      </c>
      <c r="C763" s="6" t="str">
        <f t="shared" si="34"/>
        <v>January</v>
      </c>
      <c r="D763" s="6" t="str">
        <f t="shared" si="35"/>
        <v>12</v>
      </c>
      <c r="E763" t="s">
        <v>695</v>
      </c>
      <c r="F763" t="s">
        <v>21</v>
      </c>
      <c r="G763" t="s">
        <v>22</v>
      </c>
      <c r="H763" s="4" t="s">
        <v>2257</v>
      </c>
      <c r="I763">
        <v>197462</v>
      </c>
      <c r="J763" s="8" t="s">
        <v>2348</v>
      </c>
      <c r="K763" t="s">
        <v>696</v>
      </c>
      <c r="L763" t="s">
        <v>697</v>
      </c>
      <c r="M763" t="s">
        <v>98</v>
      </c>
      <c r="N763">
        <f t="shared" si="36"/>
        <v>4</v>
      </c>
      <c r="O763">
        <v>4</v>
      </c>
      <c r="P763" s="6">
        <v>66.150000000000006</v>
      </c>
      <c r="Q763">
        <v>9.92</v>
      </c>
      <c r="R763">
        <v>254.68</v>
      </c>
      <c r="S763">
        <v>12.73</v>
      </c>
      <c r="T763">
        <v>0</v>
      </c>
      <c r="U763">
        <v>10</v>
      </c>
      <c r="V763">
        <v>277.41000000000003</v>
      </c>
      <c r="W763" t="s">
        <v>27</v>
      </c>
      <c r="X763">
        <v>11</v>
      </c>
    </row>
    <row r="764" spans="1:24" ht="14.25" customHeight="1">
      <c r="A764" t="s">
        <v>1512</v>
      </c>
      <c r="B764" t="s">
        <v>2286</v>
      </c>
      <c r="C764" s="6" t="str">
        <f t="shared" si="34"/>
        <v>January</v>
      </c>
      <c r="D764" s="6" t="str">
        <f t="shared" si="35"/>
        <v>25</v>
      </c>
      <c r="E764" t="s">
        <v>699</v>
      </c>
      <c r="F764" t="s">
        <v>101</v>
      </c>
      <c r="G764" t="s">
        <v>81</v>
      </c>
      <c r="H764" s="4" t="s">
        <v>2257</v>
      </c>
      <c r="I764">
        <v>982297</v>
      </c>
      <c r="J764" s="8" t="s">
        <v>2347</v>
      </c>
      <c r="K764" t="s">
        <v>700</v>
      </c>
      <c r="L764" t="s">
        <v>701</v>
      </c>
      <c r="M764" t="s">
        <v>33</v>
      </c>
      <c r="N764">
        <f t="shared" si="36"/>
        <v>10</v>
      </c>
      <c r="O764">
        <v>3</v>
      </c>
      <c r="P764" s="6">
        <v>123.07</v>
      </c>
      <c r="Q764">
        <v>0</v>
      </c>
      <c r="R764">
        <v>369.21</v>
      </c>
      <c r="S764">
        <v>18.46</v>
      </c>
      <c r="T764">
        <v>30</v>
      </c>
      <c r="U764">
        <v>10</v>
      </c>
      <c r="V764">
        <v>427.67</v>
      </c>
      <c r="W764" t="s">
        <v>27</v>
      </c>
      <c r="X764">
        <v>48</v>
      </c>
    </row>
    <row r="765" spans="1:24" ht="14.25" customHeight="1">
      <c r="A765" t="s">
        <v>1513</v>
      </c>
      <c r="B765" t="s">
        <v>2263</v>
      </c>
      <c r="C765" s="6" t="str">
        <f t="shared" si="34"/>
        <v>February</v>
      </c>
      <c r="D765" s="6" t="str">
        <f t="shared" si="35"/>
        <v>21</v>
      </c>
      <c r="E765" t="s">
        <v>703</v>
      </c>
      <c r="F765" t="s">
        <v>101</v>
      </c>
      <c r="G765" t="s">
        <v>81</v>
      </c>
      <c r="H765" s="4" t="s">
        <v>2257</v>
      </c>
      <c r="I765">
        <v>263402</v>
      </c>
      <c r="J765" s="8" t="s">
        <v>2349</v>
      </c>
      <c r="K765" t="s">
        <v>704</v>
      </c>
      <c r="L765" t="s">
        <v>705</v>
      </c>
      <c r="M765" t="s">
        <v>45</v>
      </c>
      <c r="N765">
        <f t="shared" si="36"/>
        <v>6</v>
      </c>
      <c r="O765">
        <v>2</v>
      </c>
      <c r="P765" s="6">
        <v>84.15</v>
      </c>
      <c r="Q765">
        <v>12.62</v>
      </c>
      <c r="R765">
        <v>155.68</v>
      </c>
      <c r="S765">
        <v>7.78</v>
      </c>
      <c r="T765">
        <v>30</v>
      </c>
      <c r="U765">
        <v>10</v>
      </c>
      <c r="V765">
        <v>203.46</v>
      </c>
      <c r="W765" t="s">
        <v>27</v>
      </c>
      <c r="X765">
        <v>35</v>
      </c>
    </row>
    <row r="766" spans="1:24" ht="14.25" customHeight="1">
      <c r="A766" t="s">
        <v>1514</v>
      </c>
      <c r="B766" t="s">
        <v>2289</v>
      </c>
      <c r="C766" s="6" t="str">
        <f t="shared" si="34"/>
        <v>February</v>
      </c>
      <c r="D766" s="6" t="str">
        <f t="shared" si="35"/>
        <v>28</v>
      </c>
      <c r="E766" t="s">
        <v>707</v>
      </c>
      <c r="F766" t="s">
        <v>80</v>
      </c>
      <c r="G766" t="s">
        <v>81</v>
      </c>
      <c r="H766" s="4" t="s">
        <v>2257</v>
      </c>
      <c r="I766">
        <v>323034</v>
      </c>
      <c r="J766" s="8" t="s">
        <v>2347</v>
      </c>
      <c r="K766" t="s">
        <v>708</v>
      </c>
      <c r="L766" t="s">
        <v>709</v>
      </c>
      <c r="M766" t="s">
        <v>135</v>
      </c>
      <c r="N766">
        <f t="shared" si="36"/>
        <v>9</v>
      </c>
      <c r="O766">
        <v>6</v>
      </c>
      <c r="P766" s="6">
        <v>15.14</v>
      </c>
      <c r="Q766">
        <v>0.76</v>
      </c>
      <c r="R766">
        <v>90.08</v>
      </c>
      <c r="S766">
        <v>4.5</v>
      </c>
      <c r="T766">
        <v>20</v>
      </c>
      <c r="U766">
        <v>20</v>
      </c>
      <c r="V766">
        <v>134.58000000000001</v>
      </c>
      <c r="W766" t="s">
        <v>27</v>
      </c>
      <c r="X766">
        <v>28</v>
      </c>
    </row>
    <row r="767" spans="1:24" ht="14.25" customHeight="1">
      <c r="A767" t="s">
        <v>1515</v>
      </c>
      <c r="B767" t="s">
        <v>2268</v>
      </c>
      <c r="C767" s="6" t="str">
        <f t="shared" si="34"/>
        <v>January</v>
      </c>
      <c r="D767" s="6" t="str">
        <f t="shared" si="35"/>
        <v>21</v>
      </c>
      <c r="E767" t="s">
        <v>711</v>
      </c>
      <c r="F767" t="s">
        <v>21</v>
      </c>
      <c r="G767" t="s">
        <v>37</v>
      </c>
      <c r="H767" s="4" t="s">
        <v>2257</v>
      </c>
      <c r="I767">
        <v>593891</v>
      </c>
      <c r="J767" s="8" t="s">
        <v>30</v>
      </c>
      <c r="K767" t="s">
        <v>712</v>
      </c>
      <c r="L767" t="s">
        <v>713</v>
      </c>
      <c r="M767" t="s">
        <v>26</v>
      </c>
      <c r="N767">
        <f t="shared" si="36"/>
        <v>3</v>
      </c>
      <c r="O767">
        <v>3</v>
      </c>
      <c r="P767" s="6">
        <v>86.96</v>
      </c>
      <c r="Q767">
        <v>8.6999999999999993</v>
      </c>
      <c r="R767">
        <v>252.18</v>
      </c>
      <c r="S767">
        <v>12.61</v>
      </c>
      <c r="T767">
        <v>20</v>
      </c>
      <c r="U767">
        <v>20</v>
      </c>
      <c r="V767">
        <v>304.79000000000002</v>
      </c>
      <c r="W767" t="s">
        <v>27</v>
      </c>
      <c r="X767">
        <v>45</v>
      </c>
    </row>
    <row r="768" spans="1:24" ht="14.25" customHeight="1">
      <c r="A768" t="s">
        <v>1516</v>
      </c>
      <c r="B768" t="s">
        <v>2275</v>
      </c>
      <c r="C768" s="6" t="str">
        <f t="shared" si="34"/>
        <v>February</v>
      </c>
      <c r="D768" s="6" t="str">
        <f t="shared" si="35"/>
        <v>05</v>
      </c>
      <c r="E768" t="s">
        <v>715</v>
      </c>
      <c r="F768" t="s">
        <v>21</v>
      </c>
      <c r="G768" t="s">
        <v>37</v>
      </c>
      <c r="H768" s="4" t="s">
        <v>2257</v>
      </c>
      <c r="I768">
        <v>859990</v>
      </c>
      <c r="J768" s="8" t="s">
        <v>2346</v>
      </c>
      <c r="K768" t="s">
        <v>716</v>
      </c>
      <c r="L768" t="s">
        <v>717</v>
      </c>
      <c r="M768" t="s">
        <v>50</v>
      </c>
      <c r="N768">
        <f t="shared" si="36"/>
        <v>5</v>
      </c>
      <c r="O768">
        <v>5</v>
      </c>
      <c r="P768" s="6">
        <v>238.22</v>
      </c>
      <c r="Q768">
        <v>35.729999999999997</v>
      </c>
      <c r="R768">
        <v>1155.3699999999999</v>
      </c>
      <c r="S768">
        <v>57.77</v>
      </c>
      <c r="T768">
        <v>10</v>
      </c>
      <c r="U768">
        <v>10</v>
      </c>
      <c r="V768">
        <v>1233.1400000000001</v>
      </c>
      <c r="W768" t="s">
        <v>27</v>
      </c>
      <c r="X768">
        <v>28</v>
      </c>
    </row>
    <row r="769" spans="1:24" ht="14.25" customHeight="1">
      <c r="A769" t="s">
        <v>1517</v>
      </c>
      <c r="B769" t="s">
        <v>2274</v>
      </c>
      <c r="C769" s="6" t="str">
        <f t="shared" si="34"/>
        <v>February</v>
      </c>
      <c r="D769" s="6" t="str">
        <f t="shared" si="35"/>
        <v>22</v>
      </c>
      <c r="E769" t="s">
        <v>719</v>
      </c>
      <c r="F769" t="s">
        <v>21</v>
      </c>
      <c r="G769" t="s">
        <v>106</v>
      </c>
      <c r="H769" s="4" t="s">
        <v>2257</v>
      </c>
      <c r="I769">
        <v>853624</v>
      </c>
      <c r="J769" s="8" t="s">
        <v>30</v>
      </c>
      <c r="K769" t="s">
        <v>720</v>
      </c>
      <c r="L769" t="s">
        <v>721</v>
      </c>
      <c r="M769" t="s">
        <v>177</v>
      </c>
      <c r="N769">
        <f t="shared" si="36"/>
        <v>5</v>
      </c>
      <c r="O769">
        <v>1</v>
      </c>
      <c r="P769" s="6">
        <v>150.51</v>
      </c>
      <c r="Q769">
        <v>7.53</v>
      </c>
      <c r="R769">
        <v>142.97999999999999</v>
      </c>
      <c r="S769">
        <v>7.15</v>
      </c>
      <c r="T769">
        <v>10</v>
      </c>
      <c r="U769">
        <v>0</v>
      </c>
      <c r="V769">
        <v>160.13</v>
      </c>
      <c r="W769" t="s">
        <v>27</v>
      </c>
      <c r="X769">
        <v>41</v>
      </c>
    </row>
    <row r="770" spans="1:24" ht="14.25" customHeight="1">
      <c r="A770" t="s">
        <v>1518</v>
      </c>
      <c r="B770" t="s">
        <v>2271</v>
      </c>
      <c r="C770" s="6" t="str">
        <f t="shared" si="34"/>
        <v>January</v>
      </c>
      <c r="D770" s="6" t="str">
        <f t="shared" si="35"/>
        <v>23</v>
      </c>
      <c r="E770" t="s">
        <v>723</v>
      </c>
      <c r="F770" t="s">
        <v>21</v>
      </c>
      <c r="G770" t="s">
        <v>68</v>
      </c>
      <c r="H770" s="4" t="s">
        <v>2257</v>
      </c>
      <c r="I770">
        <v>120039</v>
      </c>
      <c r="J770" s="8" t="s">
        <v>30</v>
      </c>
      <c r="K770" t="s">
        <v>724</v>
      </c>
      <c r="L770" t="s">
        <v>725</v>
      </c>
      <c r="M770" t="s">
        <v>130</v>
      </c>
      <c r="N770">
        <f t="shared" si="36"/>
        <v>7</v>
      </c>
      <c r="O770">
        <v>2</v>
      </c>
      <c r="P770" s="6">
        <v>59.92</v>
      </c>
      <c r="Q770">
        <v>8.99</v>
      </c>
      <c r="R770">
        <v>110.85</v>
      </c>
      <c r="S770">
        <v>5.54</v>
      </c>
      <c r="T770">
        <v>0</v>
      </c>
      <c r="U770">
        <v>5</v>
      </c>
      <c r="V770">
        <v>121.39</v>
      </c>
      <c r="W770" t="s">
        <v>34</v>
      </c>
      <c r="X770">
        <v>25</v>
      </c>
    </row>
    <row r="771" spans="1:24" ht="14.25" customHeight="1">
      <c r="A771" t="s">
        <v>1519</v>
      </c>
      <c r="B771" t="s">
        <v>2292</v>
      </c>
      <c r="C771" s="6" t="str">
        <f t="shared" ref="C771:C834" si="37">TEXT(B771,"mmmm")</f>
        <v>January</v>
      </c>
      <c r="D771" s="6" t="str">
        <f t="shared" ref="D771:D834" si="38">TEXT(B771,"dd")</f>
        <v>16</v>
      </c>
      <c r="E771" t="s">
        <v>727</v>
      </c>
      <c r="F771" t="s">
        <v>21</v>
      </c>
      <c r="G771" t="s">
        <v>68</v>
      </c>
      <c r="H771" s="4" t="s">
        <v>2257</v>
      </c>
      <c r="I771">
        <v>338540</v>
      </c>
      <c r="J771" s="8" t="s">
        <v>2348</v>
      </c>
      <c r="K771" t="s">
        <v>728</v>
      </c>
      <c r="L771" t="s">
        <v>729</v>
      </c>
      <c r="M771" t="s">
        <v>77</v>
      </c>
      <c r="N771">
        <f t="shared" si="36"/>
        <v>5</v>
      </c>
      <c r="O771">
        <v>2</v>
      </c>
      <c r="P771" s="6">
        <v>244.07</v>
      </c>
      <c r="Q771">
        <v>0</v>
      </c>
      <c r="R771">
        <v>488.14</v>
      </c>
      <c r="S771">
        <v>24.41</v>
      </c>
      <c r="T771">
        <v>10</v>
      </c>
      <c r="U771">
        <v>20</v>
      </c>
      <c r="V771">
        <v>542.54999999999995</v>
      </c>
      <c r="W771" t="s">
        <v>27</v>
      </c>
      <c r="X771">
        <v>36</v>
      </c>
    </row>
    <row r="772" spans="1:24" ht="14.25" customHeight="1">
      <c r="A772" t="s">
        <v>1520</v>
      </c>
      <c r="B772" t="s">
        <v>2296</v>
      </c>
      <c r="C772" s="6" t="str">
        <f t="shared" si="37"/>
        <v>February</v>
      </c>
      <c r="D772" s="6" t="str">
        <f t="shared" si="38"/>
        <v>26</v>
      </c>
      <c r="E772" t="s">
        <v>731</v>
      </c>
      <c r="F772" t="s">
        <v>80</v>
      </c>
      <c r="G772" t="s">
        <v>81</v>
      </c>
      <c r="H772" s="4" t="s">
        <v>2257</v>
      </c>
      <c r="I772">
        <v>948389</v>
      </c>
      <c r="J772" s="8" t="s">
        <v>2347</v>
      </c>
      <c r="K772" t="s">
        <v>732</v>
      </c>
      <c r="L772" t="s">
        <v>733</v>
      </c>
      <c r="M772" t="s">
        <v>65</v>
      </c>
      <c r="N772">
        <f t="shared" si="36"/>
        <v>6</v>
      </c>
      <c r="O772">
        <v>1</v>
      </c>
      <c r="P772" s="6">
        <v>164.6</v>
      </c>
      <c r="Q772">
        <v>24.69</v>
      </c>
      <c r="R772">
        <v>139.91</v>
      </c>
      <c r="S772">
        <v>7</v>
      </c>
      <c r="T772">
        <v>10</v>
      </c>
      <c r="U772">
        <v>0</v>
      </c>
      <c r="V772">
        <v>156.91</v>
      </c>
      <c r="W772" t="s">
        <v>27</v>
      </c>
      <c r="X772">
        <v>12</v>
      </c>
    </row>
    <row r="773" spans="1:24" ht="14.25" customHeight="1">
      <c r="A773" t="s">
        <v>1521</v>
      </c>
      <c r="B773" t="s">
        <v>2262</v>
      </c>
      <c r="C773" s="6" t="str">
        <f t="shared" si="37"/>
        <v>February</v>
      </c>
      <c r="D773" s="6" t="str">
        <f t="shared" si="38"/>
        <v>08</v>
      </c>
      <c r="E773" t="s">
        <v>735</v>
      </c>
      <c r="F773" t="s">
        <v>21</v>
      </c>
      <c r="G773" t="s">
        <v>74</v>
      </c>
      <c r="H773" s="4" t="s">
        <v>2257</v>
      </c>
      <c r="I773">
        <v>819533</v>
      </c>
      <c r="J773" s="8" t="s">
        <v>2346</v>
      </c>
      <c r="K773" t="s">
        <v>736</v>
      </c>
      <c r="L773" t="s">
        <v>737</v>
      </c>
      <c r="M773" t="s">
        <v>26</v>
      </c>
      <c r="N773">
        <f t="shared" si="36"/>
        <v>3</v>
      </c>
      <c r="O773">
        <v>1</v>
      </c>
      <c r="P773" s="6">
        <v>77.150000000000006</v>
      </c>
      <c r="Q773">
        <v>0</v>
      </c>
      <c r="R773">
        <v>77.150000000000006</v>
      </c>
      <c r="S773">
        <v>3.86</v>
      </c>
      <c r="T773">
        <v>20</v>
      </c>
      <c r="U773">
        <v>15</v>
      </c>
      <c r="V773">
        <v>116.01</v>
      </c>
      <c r="W773" t="s">
        <v>27</v>
      </c>
      <c r="X773">
        <v>37</v>
      </c>
    </row>
    <row r="774" spans="1:24" ht="14.25" customHeight="1">
      <c r="A774" t="s">
        <v>1522</v>
      </c>
      <c r="B774" t="s">
        <v>2314</v>
      </c>
      <c r="C774" s="6" t="str">
        <f t="shared" si="37"/>
        <v>February</v>
      </c>
      <c r="D774" s="6" t="str">
        <f t="shared" si="38"/>
        <v>14</v>
      </c>
      <c r="E774" t="s">
        <v>739</v>
      </c>
      <c r="F774" t="s">
        <v>21</v>
      </c>
      <c r="G774" t="s">
        <v>106</v>
      </c>
      <c r="H774" s="4" t="s">
        <v>2257</v>
      </c>
      <c r="I774">
        <v>696861</v>
      </c>
      <c r="J774" s="8" t="s">
        <v>2345</v>
      </c>
      <c r="K774" t="s">
        <v>740</v>
      </c>
      <c r="L774" t="s">
        <v>741</v>
      </c>
      <c r="M774" t="s">
        <v>22</v>
      </c>
      <c r="N774">
        <f t="shared" si="36"/>
        <v>6</v>
      </c>
      <c r="O774">
        <v>1</v>
      </c>
      <c r="P774" s="6">
        <v>57.45</v>
      </c>
      <c r="Q774">
        <v>0</v>
      </c>
      <c r="R774">
        <v>57.45</v>
      </c>
      <c r="S774">
        <v>2.87</v>
      </c>
      <c r="T774">
        <v>30</v>
      </c>
      <c r="U774">
        <v>5</v>
      </c>
      <c r="V774">
        <v>95.32</v>
      </c>
      <c r="W774" t="s">
        <v>27</v>
      </c>
      <c r="X774">
        <v>37</v>
      </c>
    </row>
    <row r="775" spans="1:24" ht="14.25" customHeight="1">
      <c r="A775" t="s">
        <v>1523</v>
      </c>
      <c r="B775" t="s">
        <v>2274</v>
      </c>
      <c r="C775" s="6" t="str">
        <f t="shared" si="37"/>
        <v>February</v>
      </c>
      <c r="D775" s="6" t="str">
        <f t="shared" si="38"/>
        <v>22</v>
      </c>
      <c r="E775" t="s">
        <v>743</v>
      </c>
      <c r="F775" t="s">
        <v>21</v>
      </c>
      <c r="G775" t="s">
        <v>22</v>
      </c>
      <c r="H775" s="4" t="s">
        <v>2257</v>
      </c>
      <c r="I775">
        <v>154460</v>
      </c>
      <c r="J775" s="8" t="s">
        <v>2349</v>
      </c>
      <c r="K775" t="s">
        <v>744</v>
      </c>
      <c r="L775" t="s">
        <v>745</v>
      </c>
      <c r="M775" t="s">
        <v>65</v>
      </c>
      <c r="N775">
        <f t="shared" si="36"/>
        <v>6</v>
      </c>
      <c r="O775">
        <v>1</v>
      </c>
      <c r="P775" s="6">
        <v>97.56</v>
      </c>
      <c r="Q775">
        <v>9.76</v>
      </c>
      <c r="R775">
        <v>87.8</v>
      </c>
      <c r="S775">
        <v>4.3899999999999997</v>
      </c>
      <c r="T775">
        <v>10</v>
      </c>
      <c r="U775">
        <v>10</v>
      </c>
      <c r="V775">
        <v>112.19</v>
      </c>
      <c r="W775" t="s">
        <v>27</v>
      </c>
      <c r="X775">
        <v>22</v>
      </c>
    </row>
    <row r="776" spans="1:24" ht="14.25" customHeight="1">
      <c r="A776" t="s">
        <v>1524</v>
      </c>
      <c r="B776" t="s">
        <v>2290</v>
      </c>
      <c r="C776" s="6" t="str">
        <f t="shared" si="37"/>
        <v>February</v>
      </c>
      <c r="D776" s="6" t="str">
        <f t="shared" si="38"/>
        <v>11</v>
      </c>
      <c r="E776" t="s">
        <v>747</v>
      </c>
      <c r="F776" t="s">
        <v>21</v>
      </c>
      <c r="G776" t="s">
        <v>68</v>
      </c>
      <c r="H776" s="4" t="s">
        <v>2257</v>
      </c>
      <c r="I776">
        <v>195558</v>
      </c>
      <c r="J776" s="8" t="s">
        <v>30</v>
      </c>
      <c r="K776" t="s">
        <v>748</v>
      </c>
      <c r="L776" t="s">
        <v>749</v>
      </c>
      <c r="M776" t="s">
        <v>71</v>
      </c>
      <c r="N776">
        <f t="shared" si="36"/>
        <v>6</v>
      </c>
      <c r="O776">
        <v>7</v>
      </c>
      <c r="P776" s="6">
        <v>155.36000000000001</v>
      </c>
      <c r="Q776">
        <v>23.3</v>
      </c>
      <c r="R776">
        <v>1064.22</v>
      </c>
      <c r="S776">
        <v>53.21</v>
      </c>
      <c r="T776">
        <v>10</v>
      </c>
      <c r="U776">
        <v>5</v>
      </c>
      <c r="V776">
        <v>1132.43</v>
      </c>
      <c r="W776" t="s">
        <v>27</v>
      </c>
      <c r="X776">
        <v>22</v>
      </c>
    </row>
    <row r="777" spans="1:24" ht="14.25" customHeight="1">
      <c r="A777" t="s">
        <v>1525</v>
      </c>
      <c r="B777" t="s">
        <v>2269</v>
      </c>
      <c r="C777" s="6" t="str">
        <f t="shared" si="37"/>
        <v>February</v>
      </c>
      <c r="D777" s="6" t="str">
        <f t="shared" si="38"/>
        <v>27</v>
      </c>
      <c r="E777" t="s">
        <v>751</v>
      </c>
      <c r="F777" t="s">
        <v>21</v>
      </c>
      <c r="G777" t="s">
        <v>106</v>
      </c>
      <c r="H777" s="4" t="s">
        <v>2257</v>
      </c>
      <c r="I777">
        <v>867175</v>
      </c>
      <c r="J777" s="8" t="s">
        <v>2345</v>
      </c>
      <c r="K777" t="s">
        <v>752</v>
      </c>
      <c r="L777" t="s">
        <v>753</v>
      </c>
      <c r="M777" t="s">
        <v>50</v>
      </c>
      <c r="N777">
        <f t="shared" si="36"/>
        <v>5</v>
      </c>
      <c r="O777">
        <v>1</v>
      </c>
      <c r="P777" s="6">
        <v>154.07</v>
      </c>
      <c r="Q777">
        <v>15.41</v>
      </c>
      <c r="R777">
        <v>138.66</v>
      </c>
      <c r="S777">
        <v>6.93</v>
      </c>
      <c r="T777">
        <v>20</v>
      </c>
      <c r="U777">
        <v>10</v>
      </c>
      <c r="V777">
        <v>175.59</v>
      </c>
      <c r="W777" t="s">
        <v>27</v>
      </c>
      <c r="X777">
        <v>24</v>
      </c>
    </row>
    <row r="778" spans="1:24" ht="14.25" customHeight="1">
      <c r="A778" t="s">
        <v>1526</v>
      </c>
      <c r="B778" t="s">
        <v>2262</v>
      </c>
      <c r="C778" s="6" t="str">
        <f t="shared" si="37"/>
        <v>February</v>
      </c>
      <c r="D778" s="6" t="str">
        <f t="shared" si="38"/>
        <v>08</v>
      </c>
      <c r="E778" t="s">
        <v>755</v>
      </c>
      <c r="F778" t="s">
        <v>21</v>
      </c>
      <c r="G778" t="s">
        <v>68</v>
      </c>
      <c r="H778" s="4" t="s">
        <v>2257</v>
      </c>
      <c r="I778">
        <v>359590</v>
      </c>
      <c r="J778" s="8" t="s">
        <v>30</v>
      </c>
      <c r="K778" t="s">
        <v>756</v>
      </c>
      <c r="L778" t="s">
        <v>757</v>
      </c>
      <c r="M778" t="s">
        <v>71</v>
      </c>
      <c r="N778">
        <f t="shared" si="36"/>
        <v>6</v>
      </c>
      <c r="O778">
        <v>2</v>
      </c>
      <c r="P778" s="6">
        <v>158.43</v>
      </c>
      <c r="Q778">
        <v>7.92</v>
      </c>
      <c r="R778">
        <v>308.94</v>
      </c>
      <c r="S778">
        <v>15.45</v>
      </c>
      <c r="T778">
        <v>10</v>
      </c>
      <c r="U778">
        <v>20</v>
      </c>
      <c r="V778">
        <v>354.39</v>
      </c>
      <c r="W778" t="s">
        <v>27</v>
      </c>
      <c r="X778">
        <v>26</v>
      </c>
    </row>
    <row r="779" spans="1:24" ht="14.25" customHeight="1">
      <c r="A779" t="s">
        <v>1527</v>
      </c>
      <c r="B779" t="s">
        <v>2302</v>
      </c>
      <c r="C779" s="6" t="str">
        <f t="shared" si="37"/>
        <v>January</v>
      </c>
      <c r="D779" s="6" t="str">
        <f t="shared" si="38"/>
        <v>14</v>
      </c>
      <c r="E779" t="s">
        <v>759</v>
      </c>
      <c r="F779" t="s">
        <v>80</v>
      </c>
      <c r="G779" t="s">
        <v>81</v>
      </c>
      <c r="H779" s="4" t="s">
        <v>2257</v>
      </c>
      <c r="I779">
        <v>174694</v>
      </c>
      <c r="J779" s="8" t="s">
        <v>2346</v>
      </c>
      <c r="K779" t="s">
        <v>760</v>
      </c>
      <c r="L779" t="s">
        <v>761</v>
      </c>
      <c r="M779" t="s">
        <v>177</v>
      </c>
      <c r="N779">
        <f t="shared" si="36"/>
        <v>5</v>
      </c>
      <c r="O779">
        <v>1</v>
      </c>
      <c r="P779" s="6">
        <v>116.29</v>
      </c>
      <c r="Q779">
        <v>11.63</v>
      </c>
      <c r="R779">
        <v>104.66</v>
      </c>
      <c r="S779">
        <v>5.23</v>
      </c>
      <c r="T779">
        <v>20</v>
      </c>
      <c r="U779">
        <v>20</v>
      </c>
      <c r="V779">
        <v>149.88999999999999</v>
      </c>
      <c r="W779" t="s">
        <v>27</v>
      </c>
      <c r="X779">
        <v>16</v>
      </c>
    </row>
    <row r="780" spans="1:24" ht="14.25" customHeight="1">
      <c r="A780" t="s">
        <v>1528</v>
      </c>
      <c r="B780" t="s">
        <v>2312</v>
      </c>
      <c r="C780" s="6" t="str">
        <f t="shared" si="37"/>
        <v>January</v>
      </c>
      <c r="D780" s="6" t="str">
        <f t="shared" si="38"/>
        <v>31</v>
      </c>
      <c r="E780" t="s">
        <v>763</v>
      </c>
      <c r="F780" t="s">
        <v>21</v>
      </c>
      <c r="G780" t="s">
        <v>22</v>
      </c>
      <c r="H780" s="4" t="s">
        <v>2257</v>
      </c>
      <c r="I780">
        <v>880862</v>
      </c>
      <c r="J780" s="8" t="s">
        <v>30</v>
      </c>
      <c r="K780" t="s">
        <v>764</v>
      </c>
      <c r="L780" t="s">
        <v>765</v>
      </c>
      <c r="M780" t="s">
        <v>55</v>
      </c>
      <c r="N780">
        <f t="shared" si="36"/>
        <v>5</v>
      </c>
      <c r="O780">
        <v>5</v>
      </c>
      <c r="P780" s="6">
        <v>177.5</v>
      </c>
      <c r="Q780">
        <v>26.62</v>
      </c>
      <c r="R780">
        <v>860.88</v>
      </c>
      <c r="S780">
        <v>43.04</v>
      </c>
      <c r="T780">
        <v>0</v>
      </c>
      <c r="U780">
        <v>5</v>
      </c>
      <c r="V780">
        <v>908.92</v>
      </c>
      <c r="W780" t="s">
        <v>34</v>
      </c>
      <c r="X780">
        <v>25</v>
      </c>
    </row>
    <row r="781" spans="1:24" ht="14.25" customHeight="1">
      <c r="A781" t="s">
        <v>1529</v>
      </c>
      <c r="B781" t="s">
        <v>2269</v>
      </c>
      <c r="C781" s="6" t="str">
        <f t="shared" si="37"/>
        <v>February</v>
      </c>
      <c r="D781" s="6" t="str">
        <f t="shared" si="38"/>
        <v>27</v>
      </c>
      <c r="E781" t="s">
        <v>767</v>
      </c>
      <c r="F781" t="s">
        <v>21</v>
      </c>
      <c r="G781" t="s">
        <v>106</v>
      </c>
      <c r="H781" s="4" t="s">
        <v>2257</v>
      </c>
      <c r="I781">
        <v>741232</v>
      </c>
      <c r="J781" s="8" t="s">
        <v>62</v>
      </c>
      <c r="K781" t="s">
        <v>768</v>
      </c>
      <c r="L781" t="s">
        <v>769</v>
      </c>
      <c r="M781" t="s">
        <v>89</v>
      </c>
      <c r="N781">
        <f t="shared" ref="N781:N844" si="39">LEN(M781)</f>
        <v>7</v>
      </c>
      <c r="O781">
        <v>3</v>
      </c>
      <c r="P781" s="6">
        <v>56.64</v>
      </c>
      <c r="Q781">
        <v>2.83</v>
      </c>
      <c r="R781">
        <v>167.09</v>
      </c>
      <c r="S781">
        <v>8.35</v>
      </c>
      <c r="T781">
        <v>0</v>
      </c>
      <c r="U781">
        <v>15</v>
      </c>
      <c r="V781">
        <v>190.44</v>
      </c>
      <c r="W781" t="s">
        <v>34</v>
      </c>
      <c r="X781">
        <v>25</v>
      </c>
    </row>
    <row r="782" spans="1:24" ht="14.25" customHeight="1">
      <c r="A782" t="s">
        <v>1530</v>
      </c>
      <c r="B782" t="s">
        <v>2317</v>
      </c>
      <c r="C782" s="6" t="str">
        <f t="shared" si="37"/>
        <v>January</v>
      </c>
      <c r="D782" s="6" t="str">
        <f t="shared" si="38"/>
        <v>05</v>
      </c>
      <c r="E782" t="s">
        <v>771</v>
      </c>
      <c r="F782" t="s">
        <v>21</v>
      </c>
      <c r="G782" t="s">
        <v>106</v>
      </c>
      <c r="H782" s="4" t="s">
        <v>2257</v>
      </c>
      <c r="I782">
        <v>597666</v>
      </c>
      <c r="J782" s="8" t="s">
        <v>2346</v>
      </c>
      <c r="K782" t="s">
        <v>772</v>
      </c>
      <c r="L782" t="s">
        <v>773</v>
      </c>
      <c r="M782" t="s">
        <v>65</v>
      </c>
      <c r="N782">
        <f t="shared" si="39"/>
        <v>6</v>
      </c>
      <c r="O782">
        <v>2</v>
      </c>
      <c r="P782" s="6">
        <v>181.18</v>
      </c>
      <c r="Q782">
        <v>18.12</v>
      </c>
      <c r="R782">
        <v>344.24</v>
      </c>
      <c r="S782">
        <v>17.21</v>
      </c>
      <c r="T782">
        <v>30</v>
      </c>
      <c r="U782">
        <v>0</v>
      </c>
      <c r="V782">
        <v>391.45</v>
      </c>
      <c r="W782" t="s">
        <v>27</v>
      </c>
      <c r="X782">
        <v>10</v>
      </c>
    </row>
    <row r="783" spans="1:24" ht="14.25" customHeight="1">
      <c r="A783" t="s">
        <v>1531</v>
      </c>
      <c r="B783" t="s">
        <v>2306</v>
      </c>
      <c r="C783" s="6" t="str">
        <f t="shared" si="37"/>
        <v>February</v>
      </c>
      <c r="D783" s="6" t="str">
        <f t="shared" si="38"/>
        <v>04</v>
      </c>
      <c r="E783" t="s">
        <v>775</v>
      </c>
      <c r="F783" t="s">
        <v>101</v>
      </c>
      <c r="G783" t="s">
        <v>81</v>
      </c>
      <c r="H783" s="4" t="s">
        <v>2257</v>
      </c>
      <c r="I783">
        <v>412636</v>
      </c>
      <c r="J783" s="8" t="s">
        <v>2347</v>
      </c>
      <c r="K783" t="s">
        <v>776</v>
      </c>
      <c r="L783" t="s">
        <v>777</v>
      </c>
      <c r="M783" t="s">
        <v>177</v>
      </c>
      <c r="N783">
        <f t="shared" si="39"/>
        <v>5</v>
      </c>
      <c r="O783">
        <v>3</v>
      </c>
      <c r="P783" s="6">
        <v>131.63999999999999</v>
      </c>
      <c r="Q783">
        <v>0</v>
      </c>
      <c r="R783">
        <v>394.92</v>
      </c>
      <c r="S783">
        <v>19.75</v>
      </c>
      <c r="T783">
        <v>30</v>
      </c>
      <c r="U783">
        <v>10</v>
      </c>
      <c r="V783">
        <v>454.67</v>
      </c>
      <c r="W783" t="s">
        <v>117</v>
      </c>
      <c r="X783">
        <v>25</v>
      </c>
    </row>
    <row r="784" spans="1:24" ht="14.25" customHeight="1">
      <c r="A784" t="s">
        <v>1532</v>
      </c>
      <c r="B784" t="s">
        <v>2271</v>
      </c>
      <c r="C784" s="6" t="str">
        <f t="shared" si="37"/>
        <v>January</v>
      </c>
      <c r="D784" s="6" t="str">
        <f t="shared" si="38"/>
        <v>23</v>
      </c>
      <c r="E784" t="s">
        <v>779</v>
      </c>
      <c r="F784" t="s">
        <v>21</v>
      </c>
      <c r="G784" t="s">
        <v>22</v>
      </c>
      <c r="H784" s="4" t="s">
        <v>2257</v>
      </c>
      <c r="I784">
        <v>472339</v>
      </c>
      <c r="J784" s="8" t="s">
        <v>2349</v>
      </c>
      <c r="K784" t="s">
        <v>780</v>
      </c>
      <c r="L784" t="s">
        <v>781</v>
      </c>
      <c r="M784" t="s">
        <v>77</v>
      </c>
      <c r="N784">
        <f t="shared" si="39"/>
        <v>5</v>
      </c>
      <c r="O784">
        <v>1</v>
      </c>
      <c r="P784" s="6">
        <v>72.599999999999994</v>
      </c>
      <c r="Q784">
        <v>7.26</v>
      </c>
      <c r="R784">
        <v>65.339999999999989</v>
      </c>
      <c r="S784">
        <v>3.27</v>
      </c>
      <c r="T784">
        <v>30</v>
      </c>
      <c r="U784">
        <v>15</v>
      </c>
      <c r="V784">
        <v>113.61</v>
      </c>
      <c r="W784" t="s">
        <v>34</v>
      </c>
      <c r="X784">
        <v>25</v>
      </c>
    </row>
    <row r="785" spans="1:24" ht="14.25" customHeight="1">
      <c r="A785" t="s">
        <v>1533</v>
      </c>
      <c r="B785" t="s">
        <v>2264</v>
      </c>
      <c r="C785" s="6" t="str">
        <f t="shared" si="37"/>
        <v>January</v>
      </c>
      <c r="D785" s="6" t="str">
        <f t="shared" si="38"/>
        <v>29</v>
      </c>
      <c r="E785" t="s">
        <v>783</v>
      </c>
      <c r="F785" t="s">
        <v>21</v>
      </c>
      <c r="G785" t="s">
        <v>106</v>
      </c>
      <c r="H785" s="4" t="s">
        <v>2257</v>
      </c>
      <c r="I785">
        <v>901818</v>
      </c>
      <c r="J785" s="8" t="s">
        <v>30</v>
      </c>
      <c r="K785" t="s">
        <v>784</v>
      </c>
      <c r="L785" t="s">
        <v>785</v>
      </c>
      <c r="M785" t="s">
        <v>55</v>
      </c>
      <c r="N785">
        <f t="shared" si="39"/>
        <v>5</v>
      </c>
      <c r="O785">
        <v>1</v>
      </c>
      <c r="P785" s="6">
        <v>56.03</v>
      </c>
      <c r="Q785">
        <v>2.8</v>
      </c>
      <c r="R785">
        <v>53.23</v>
      </c>
      <c r="S785">
        <v>2.66</v>
      </c>
      <c r="T785">
        <v>20</v>
      </c>
      <c r="U785">
        <v>0</v>
      </c>
      <c r="V785">
        <v>75.89</v>
      </c>
      <c r="W785" t="s">
        <v>27</v>
      </c>
      <c r="X785">
        <v>41</v>
      </c>
    </row>
    <row r="786" spans="1:24" ht="14.25" customHeight="1">
      <c r="A786" t="s">
        <v>1534</v>
      </c>
      <c r="B786" t="s">
        <v>2266</v>
      </c>
      <c r="C786" s="6" t="str">
        <f t="shared" si="37"/>
        <v>February</v>
      </c>
      <c r="D786" s="6" t="str">
        <f t="shared" si="38"/>
        <v>12</v>
      </c>
      <c r="E786" t="s">
        <v>787</v>
      </c>
      <c r="F786" t="s">
        <v>21</v>
      </c>
      <c r="G786" t="s">
        <v>68</v>
      </c>
      <c r="H786" s="4" t="s">
        <v>2257</v>
      </c>
      <c r="I786">
        <v>611566</v>
      </c>
      <c r="J786" s="8" t="s">
        <v>30</v>
      </c>
      <c r="K786" t="s">
        <v>788</v>
      </c>
      <c r="L786" t="s">
        <v>789</v>
      </c>
      <c r="M786" t="s">
        <v>89</v>
      </c>
      <c r="N786">
        <f t="shared" si="39"/>
        <v>7</v>
      </c>
      <c r="O786">
        <v>6</v>
      </c>
      <c r="P786" s="6">
        <v>96.68</v>
      </c>
      <c r="Q786">
        <v>0</v>
      </c>
      <c r="R786">
        <v>580.08000000000004</v>
      </c>
      <c r="S786">
        <v>29</v>
      </c>
      <c r="T786">
        <v>0</v>
      </c>
      <c r="U786">
        <v>15</v>
      </c>
      <c r="V786">
        <v>624.08000000000004</v>
      </c>
      <c r="W786" t="s">
        <v>27</v>
      </c>
      <c r="X786">
        <v>28</v>
      </c>
    </row>
    <row r="787" spans="1:24" ht="14.25" customHeight="1">
      <c r="A787" t="s">
        <v>1535</v>
      </c>
      <c r="B787" t="s">
        <v>2272</v>
      </c>
      <c r="C787" s="6" t="str">
        <f t="shared" si="37"/>
        <v>January</v>
      </c>
      <c r="D787" s="6" t="str">
        <f t="shared" si="38"/>
        <v>11</v>
      </c>
      <c r="E787" t="s">
        <v>791</v>
      </c>
      <c r="F787" t="s">
        <v>21</v>
      </c>
      <c r="G787" t="s">
        <v>106</v>
      </c>
      <c r="H787" s="4" t="s">
        <v>2257</v>
      </c>
      <c r="I787">
        <v>568668</v>
      </c>
      <c r="J787" s="8" t="s">
        <v>2347</v>
      </c>
      <c r="K787" t="s">
        <v>792</v>
      </c>
      <c r="L787" t="s">
        <v>793</v>
      </c>
      <c r="M787" t="s">
        <v>26</v>
      </c>
      <c r="N787">
        <f t="shared" si="39"/>
        <v>3</v>
      </c>
      <c r="O787">
        <v>4</v>
      </c>
      <c r="P787" s="6">
        <v>176.92</v>
      </c>
      <c r="Q787">
        <v>8.85</v>
      </c>
      <c r="R787">
        <v>698.82999999999993</v>
      </c>
      <c r="S787">
        <v>34.94</v>
      </c>
      <c r="T787">
        <v>10</v>
      </c>
      <c r="U787">
        <v>15</v>
      </c>
      <c r="V787">
        <v>758.77</v>
      </c>
      <c r="W787" t="s">
        <v>27</v>
      </c>
      <c r="X787">
        <v>17</v>
      </c>
    </row>
    <row r="788" spans="1:24" ht="14.25" customHeight="1">
      <c r="A788" t="s">
        <v>1536</v>
      </c>
      <c r="B788" t="s">
        <v>2300</v>
      </c>
      <c r="C788" s="6" t="str">
        <f t="shared" si="37"/>
        <v>January</v>
      </c>
      <c r="D788" s="6" t="str">
        <f t="shared" si="38"/>
        <v>18</v>
      </c>
      <c r="E788" t="s">
        <v>795</v>
      </c>
      <c r="F788" t="s">
        <v>21</v>
      </c>
      <c r="G788" t="s">
        <v>68</v>
      </c>
      <c r="H788" s="4" t="s">
        <v>2257</v>
      </c>
      <c r="I788">
        <v>254721</v>
      </c>
      <c r="J788" s="8" t="s">
        <v>30</v>
      </c>
      <c r="K788" t="s">
        <v>796</v>
      </c>
      <c r="L788" t="s">
        <v>797</v>
      </c>
      <c r="M788" t="s">
        <v>177</v>
      </c>
      <c r="N788">
        <f t="shared" si="39"/>
        <v>5</v>
      </c>
      <c r="O788">
        <v>1</v>
      </c>
      <c r="P788" s="6">
        <v>24.66</v>
      </c>
      <c r="Q788">
        <v>0</v>
      </c>
      <c r="R788">
        <v>24.66</v>
      </c>
      <c r="S788">
        <v>1.23</v>
      </c>
      <c r="T788">
        <v>20</v>
      </c>
      <c r="U788">
        <v>15</v>
      </c>
      <c r="V788">
        <v>60.89</v>
      </c>
      <c r="W788" t="s">
        <v>27</v>
      </c>
      <c r="X788">
        <v>39</v>
      </c>
    </row>
    <row r="789" spans="1:24" ht="14.25" customHeight="1">
      <c r="A789" t="s">
        <v>1537</v>
      </c>
      <c r="B789" t="s">
        <v>2293</v>
      </c>
      <c r="C789" s="6" t="str">
        <f t="shared" si="37"/>
        <v>February</v>
      </c>
      <c r="D789" s="6" t="str">
        <f t="shared" si="38"/>
        <v>16</v>
      </c>
      <c r="E789" t="s">
        <v>799</v>
      </c>
      <c r="F789" t="s">
        <v>21</v>
      </c>
      <c r="G789" t="s">
        <v>106</v>
      </c>
      <c r="H789" s="4" t="s">
        <v>2257</v>
      </c>
      <c r="I789">
        <v>913820</v>
      </c>
      <c r="J789" s="8" t="s">
        <v>2347</v>
      </c>
      <c r="K789" t="s">
        <v>800</v>
      </c>
      <c r="L789" t="s">
        <v>801</v>
      </c>
      <c r="M789" t="s">
        <v>33</v>
      </c>
      <c r="N789">
        <f t="shared" si="39"/>
        <v>10</v>
      </c>
      <c r="O789">
        <v>1</v>
      </c>
      <c r="P789" s="6">
        <v>58.18</v>
      </c>
      <c r="Q789">
        <v>2.91</v>
      </c>
      <c r="R789">
        <v>55.27</v>
      </c>
      <c r="S789">
        <v>2.76</v>
      </c>
      <c r="T789">
        <v>30</v>
      </c>
      <c r="U789">
        <v>10</v>
      </c>
      <c r="V789">
        <v>98.03</v>
      </c>
      <c r="W789" t="s">
        <v>34</v>
      </c>
      <c r="X789">
        <v>25</v>
      </c>
    </row>
    <row r="790" spans="1:24" ht="14.25" customHeight="1">
      <c r="A790" t="s">
        <v>1538</v>
      </c>
      <c r="B790" t="s">
        <v>2285</v>
      </c>
      <c r="C790" s="6" t="str">
        <f t="shared" si="37"/>
        <v>January</v>
      </c>
      <c r="D790" s="6" t="str">
        <f t="shared" si="38"/>
        <v>12</v>
      </c>
      <c r="E790" t="s">
        <v>803</v>
      </c>
      <c r="F790" t="s">
        <v>21</v>
      </c>
      <c r="G790" t="s">
        <v>22</v>
      </c>
      <c r="H790" s="4" t="s">
        <v>2257</v>
      </c>
      <c r="I790">
        <v>655393</v>
      </c>
      <c r="J790" s="8" t="s">
        <v>30</v>
      </c>
      <c r="K790" t="s">
        <v>804</v>
      </c>
      <c r="L790" t="s">
        <v>805</v>
      </c>
      <c r="M790" t="s">
        <v>140</v>
      </c>
      <c r="N790">
        <f t="shared" si="39"/>
        <v>3</v>
      </c>
      <c r="O790">
        <v>4</v>
      </c>
      <c r="P790" s="6">
        <v>4.28</v>
      </c>
      <c r="Q790">
        <v>0</v>
      </c>
      <c r="R790">
        <v>17.12</v>
      </c>
      <c r="S790">
        <v>0.86</v>
      </c>
      <c r="T790">
        <v>10</v>
      </c>
      <c r="U790">
        <v>5</v>
      </c>
      <c r="V790">
        <v>32.979999999999997</v>
      </c>
      <c r="W790" t="s">
        <v>27</v>
      </c>
      <c r="X790">
        <v>48</v>
      </c>
    </row>
    <row r="791" spans="1:24" ht="14.25" customHeight="1">
      <c r="A791" t="s">
        <v>1539</v>
      </c>
      <c r="B791" t="s">
        <v>2299</v>
      </c>
      <c r="C791" s="6" t="str">
        <f t="shared" si="37"/>
        <v>January</v>
      </c>
      <c r="D791" s="6" t="str">
        <f t="shared" si="38"/>
        <v>09</v>
      </c>
      <c r="E791" t="s">
        <v>807</v>
      </c>
      <c r="F791" t="s">
        <v>21</v>
      </c>
      <c r="G791" t="s">
        <v>68</v>
      </c>
      <c r="H791" s="4" t="s">
        <v>2257</v>
      </c>
      <c r="I791">
        <v>377948</v>
      </c>
      <c r="J791" s="8" t="s">
        <v>62</v>
      </c>
      <c r="K791" t="s">
        <v>808</v>
      </c>
      <c r="L791" t="s">
        <v>809</v>
      </c>
      <c r="M791" t="s">
        <v>98</v>
      </c>
      <c r="N791">
        <f t="shared" si="39"/>
        <v>4</v>
      </c>
      <c r="O791">
        <v>1</v>
      </c>
      <c r="P791" s="6">
        <v>123.67</v>
      </c>
      <c r="Q791">
        <v>6.18</v>
      </c>
      <c r="R791">
        <v>117.49</v>
      </c>
      <c r="S791">
        <v>5.87</v>
      </c>
      <c r="T791">
        <v>30</v>
      </c>
      <c r="U791">
        <v>5</v>
      </c>
      <c r="V791">
        <v>158.36000000000001</v>
      </c>
      <c r="W791" t="s">
        <v>27</v>
      </c>
      <c r="X791">
        <v>25</v>
      </c>
    </row>
    <row r="792" spans="1:24" ht="14.25" customHeight="1">
      <c r="A792" t="s">
        <v>1540</v>
      </c>
      <c r="B792" t="s">
        <v>2311</v>
      </c>
      <c r="C792" s="6" t="str">
        <f t="shared" si="37"/>
        <v>January</v>
      </c>
      <c r="D792" s="6" t="str">
        <f t="shared" si="38"/>
        <v>10</v>
      </c>
      <c r="E792" t="s">
        <v>811</v>
      </c>
      <c r="F792" t="s">
        <v>101</v>
      </c>
      <c r="G792" t="s">
        <v>81</v>
      </c>
      <c r="H792" s="4" t="s">
        <v>2257</v>
      </c>
      <c r="I792">
        <v>381209</v>
      </c>
      <c r="J792" s="8" t="s">
        <v>2346</v>
      </c>
      <c r="K792" t="s">
        <v>812</v>
      </c>
      <c r="L792" t="s">
        <v>813</v>
      </c>
      <c r="M792" t="s">
        <v>65</v>
      </c>
      <c r="N792">
        <f t="shared" si="39"/>
        <v>6</v>
      </c>
      <c r="O792">
        <v>1</v>
      </c>
      <c r="P792" s="6">
        <v>160.47</v>
      </c>
      <c r="Q792">
        <v>8.02</v>
      </c>
      <c r="R792">
        <v>152.44999999999999</v>
      </c>
      <c r="S792">
        <v>7.62</v>
      </c>
      <c r="T792">
        <v>0</v>
      </c>
      <c r="U792">
        <v>10</v>
      </c>
      <c r="V792">
        <v>170.07</v>
      </c>
      <c r="W792" t="s">
        <v>27</v>
      </c>
      <c r="X792">
        <v>28</v>
      </c>
    </row>
    <row r="793" spans="1:24" ht="14.25" customHeight="1">
      <c r="A793" t="s">
        <v>1541</v>
      </c>
      <c r="B793" t="s">
        <v>2269</v>
      </c>
      <c r="C793" s="6" t="str">
        <f t="shared" si="37"/>
        <v>February</v>
      </c>
      <c r="D793" s="6" t="str">
        <f t="shared" si="38"/>
        <v>27</v>
      </c>
      <c r="E793" t="s">
        <v>815</v>
      </c>
      <c r="F793" t="s">
        <v>21</v>
      </c>
      <c r="G793" t="s">
        <v>68</v>
      </c>
      <c r="H793" s="4" t="s">
        <v>2257</v>
      </c>
      <c r="I793">
        <v>870644</v>
      </c>
      <c r="J793" s="8" t="s">
        <v>62</v>
      </c>
      <c r="K793" t="s">
        <v>816</v>
      </c>
      <c r="L793" t="s">
        <v>817</v>
      </c>
      <c r="M793" t="s">
        <v>65</v>
      </c>
      <c r="N793">
        <f t="shared" si="39"/>
        <v>6</v>
      </c>
      <c r="O793">
        <v>2</v>
      </c>
      <c r="P793" s="6">
        <v>11.21</v>
      </c>
      <c r="Q793">
        <v>0.56000000000000005</v>
      </c>
      <c r="R793">
        <v>21.86</v>
      </c>
      <c r="S793">
        <v>1.0900000000000001</v>
      </c>
      <c r="T793">
        <v>30</v>
      </c>
      <c r="U793">
        <v>15</v>
      </c>
      <c r="V793">
        <v>67.95</v>
      </c>
      <c r="W793" t="s">
        <v>27</v>
      </c>
      <c r="X793">
        <v>14</v>
      </c>
    </row>
    <row r="794" spans="1:24" ht="14.25" customHeight="1">
      <c r="A794" t="s">
        <v>1542</v>
      </c>
      <c r="B794" t="s">
        <v>2280</v>
      </c>
      <c r="C794" s="6" t="str">
        <f t="shared" si="37"/>
        <v>February</v>
      </c>
      <c r="D794" s="6" t="str">
        <f t="shared" si="38"/>
        <v>13</v>
      </c>
      <c r="E794" t="s">
        <v>819</v>
      </c>
      <c r="F794" t="s">
        <v>21</v>
      </c>
      <c r="G794" t="s">
        <v>68</v>
      </c>
      <c r="H794" s="4" t="s">
        <v>2257</v>
      </c>
      <c r="I794">
        <v>653958</v>
      </c>
      <c r="J794" s="8" t="s">
        <v>30</v>
      </c>
      <c r="K794" t="s">
        <v>820</v>
      </c>
      <c r="L794" t="s">
        <v>821</v>
      </c>
      <c r="M794" t="s">
        <v>22</v>
      </c>
      <c r="N794">
        <f t="shared" si="39"/>
        <v>6</v>
      </c>
      <c r="O794">
        <v>1</v>
      </c>
      <c r="P794" s="6">
        <v>184.92</v>
      </c>
      <c r="Q794">
        <v>18.489999999999998</v>
      </c>
      <c r="R794">
        <v>166.43</v>
      </c>
      <c r="S794">
        <v>8.32</v>
      </c>
      <c r="T794">
        <v>30</v>
      </c>
      <c r="U794">
        <v>15</v>
      </c>
      <c r="V794">
        <v>219.75</v>
      </c>
      <c r="W794" t="s">
        <v>27</v>
      </c>
      <c r="X794">
        <v>26</v>
      </c>
    </row>
    <row r="795" spans="1:24" ht="14.25" customHeight="1">
      <c r="A795" t="s">
        <v>1543</v>
      </c>
      <c r="B795" t="s">
        <v>2307</v>
      </c>
      <c r="C795" s="6" t="str">
        <f t="shared" si="37"/>
        <v>January</v>
      </c>
      <c r="D795" s="6" t="str">
        <f t="shared" si="38"/>
        <v>17</v>
      </c>
      <c r="E795" t="s">
        <v>823</v>
      </c>
      <c r="F795" t="s">
        <v>80</v>
      </c>
      <c r="G795" t="s">
        <v>81</v>
      </c>
      <c r="H795" s="4" t="s">
        <v>2257</v>
      </c>
      <c r="I795">
        <v>876001</v>
      </c>
      <c r="J795" s="8" t="s">
        <v>30</v>
      </c>
      <c r="K795" t="s">
        <v>824</v>
      </c>
      <c r="L795" t="s">
        <v>825</v>
      </c>
      <c r="M795" t="s">
        <v>65</v>
      </c>
      <c r="N795">
        <f t="shared" si="39"/>
        <v>6</v>
      </c>
      <c r="O795">
        <v>4</v>
      </c>
      <c r="P795" s="6">
        <v>153.58000000000001</v>
      </c>
      <c r="Q795">
        <v>15.36</v>
      </c>
      <c r="R795">
        <v>598.96</v>
      </c>
      <c r="S795">
        <v>29.95</v>
      </c>
      <c r="T795">
        <v>10</v>
      </c>
      <c r="U795">
        <v>5</v>
      </c>
      <c r="V795">
        <v>643.91000000000008</v>
      </c>
      <c r="W795" t="s">
        <v>27</v>
      </c>
      <c r="X795">
        <v>26</v>
      </c>
    </row>
    <row r="796" spans="1:24" ht="14.25" customHeight="1">
      <c r="A796" t="s">
        <v>1544</v>
      </c>
      <c r="B796" t="s">
        <v>2282</v>
      </c>
      <c r="C796" s="6" t="str">
        <f t="shared" si="37"/>
        <v>February</v>
      </c>
      <c r="D796" s="6" t="str">
        <f t="shared" si="38"/>
        <v>07</v>
      </c>
      <c r="E796" t="s">
        <v>827</v>
      </c>
      <c r="F796" t="s">
        <v>21</v>
      </c>
      <c r="G796" t="s">
        <v>37</v>
      </c>
      <c r="H796" s="4" t="s">
        <v>2257</v>
      </c>
      <c r="I796">
        <v>753841</v>
      </c>
      <c r="J796" s="8" t="s">
        <v>2348</v>
      </c>
      <c r="K796" t="s">
        <v>828</v>
      </c>
      <c r="L796" t="s">
        <v>829</v>
      </c>
      <c r="M796" t="s">
        <v>140</v>
      </c>
      <c r="N796">
        <f t="shared" si="39"/>
        <v>3</v>
      </c>
      <c r="O796">
        <v>4</v>
      </c>
      <c r="P796" s="6">
        <v>164.08</v>
      </c>
      <c r="Q796">
        <v>16.41</v>
      </c>
      <c r="R796">
        <v>639.91000000000008</v>
      </c>
      <c r="S796">
        <v>32</v>
      </c>
      <c r="T796">
        <v>30</v>
      </c>
      <c r="U796">
        <v>15</v>
      </c>
      <c r="V796">
        <v>716.91000000000008</v>
      </c>
      <c r="W796" t="s">
        <v>27</v>
      </c>
      <c r="X796">
        <v>20</v>
      </c>
    </row>
    <row r="797" spans="1:24" ht="14.25" customHeight="1">
      <c r="A797" t="s">
        <v>1545</v>
      </c>
      <c r="B797" t="s">
        <v>2298</v>
      </c>
      <c r="C797" s="6" t="str">
        <f t="shared" si="37"/>
        <v>January</v>
      </c>
      <c r="D797" s="6" t="str">
        <f t="shared" si="38"/>
        <v>07</v>
      </c>
      <c r="E797" t="s">
        <v>831</v>
      </c>
      <c r="F797" t="s">
        <v>21</v>
      </c>
      <c r="G797" t="s">
        <v>37</v>
      </c>
      <c r="H797" s="4" t="s">
        <v>2257</v>
      </c>
      <c r="I797">
        <v>100215</v>
      </c>
      <c r="J797" s="8" t="s">
        <v>62</v>
      </c>
      <c r="K797" t="s">
        <v>832</v>
      </c>
      <c r="L797" t="s">
        <v>833</v>
      </c>
      <c r="M797" t="s">
        <v>50</v>
      </c>
      <c r="N797">
        <f t="shared" si="39"/>
        <v>5</v>
      </c>
      <c r="O797">
        <v>1</v>
      </c>
      <c r="P797" s="6">
        <v>142.91999999999999</v>
      </c>
      <c r="Q797">
        <v>21.44</v>
      </c>
      <c r="R797">
        <v>121.48</v>
      </c>
      <c r="S797">
        <v>6.07</v>
      </c>
      <c r="T797">
        <v>10</v>
      </c>
      <c r="U797">
        <v>10</v>
      </c>
      <c r="V797">
        <v>147.55000000000001</v>
      </c>
      <c r="W797" t="s">
        <v>27</v>
      </c>
      <c r="X797">
        <v>16</v>
      </c>
    </row>
    <row r="798" spans="1:24" ht="14.25" customHeight="1">
      <c r="A798" t="s">
        <v>1546</v>
      </c>
      <c r="B798" t="s">
        <v>2321</v>
      </c>
      <c r="C798" s="6" t="str">
        <f t="shared" si="37"/>
        <v>February</v>
      </c>
      <c r="D798" s="6" t="str">
        <f t="shared" si="38"/>
        <v>15</v>
      </c>
      <c r="E798" t="s">
        <v>835</v>
      </c>
      <c r="F798" t="s">
        <v>21</v>
      </c>
      <c r="G798" t="s">
        <v>68</v>
      </c>
      <c r="H798" s="4" t="s">
        <v>2257</v>
      </c>
      <c r="I798">
        <v>396618</v>
      </c>
      <c r="J798" s="8" t="s">
        <v>2346</v>
      </c>
      <c r="K798" t="s">
        <v>836</v>
      </c>
      <c r="L798" t="s">
        <v>837</v>
      </c>
      <c r="M798" t="s">
        <v>33</v>
      </c>
      <c r="N798">
        <f t="shared" si="39"/>
        <v>10</v>
      </c>
      <c r="O798">
        <v>1</v>
      </c>
      <c r="P798" s="6">
        <v>141.09</v>
      </c>
      <c r="Q798">
        <v>14.11</v>
      </c>
      <c r="R798">
        <v>126.98</v>
      </c>
      <c r="S798">
        <v>6.35</v>
      </c>
      <c r="T798">
        <v>30</v>
      </c>
      <c r="U798">
        <v>20</v>
      </c>
      <c r="V798">
        <v>183.33</v>
      </c>
      <c r="W798" t="s">
        <v>27</v>
      </c>
      <c r="X798">
        <v>15</v>
      </c>
    </row>
    <row r="799" spans="1:24" ht="14.25" customHeight="1">
      <c r="A799" t="s">
        <v>1547</v>
      </c>
      <c r="B799" t="s">
        <v>2318</v>
      </c>
      <c r="C799" s="6" t="str">
        <f t="shared" si="37"/>
        <v>January</v>
      </c>
      <c r="D799" s="6" t="str">
        <f t="shared" si="38"/>
        <v>13</v>
      </c>
      <c r="E799" t="s">
        <v>839</v>
      </c>
      <c r="F799" t="s">
        <v>21</v>
      </c>
      <c r="G799" t="s">
        <v>68</v>
      </c>
      <c r="H799" s="4" t="s">
        <v>2257</v>
      </c>
      <c r="I799">
        <v>768689</v>
      </c>
      <c r="J799" s="8" t="s">
        <v>30</v>
      </c>
      <c r="K799" t="s">
        <v>840</v>
      </c>
      <c r="L799" t="s">
        <v>841</v>
      </c>
      <c r="M799" t="s">
        <v>71</v>
      </c>
      <c r="N799">
        <f t="shared" si="39"/>
        <v>6</v>
      </c>
      <c r="O799">
        <v>2</v>
      </c>
      <c r="P799" s="6">
        <v>197.42</v>
      </c>
      <c r="Q799">
        <v>19.739999999999998</v>
      </c>
      <c r="R799">
        <v>375.1</v>
      </c>
      <c r="S799">
        <v>18.75</v>
      </c>
      <c r="T799">
        <v>20</v>
      </c>
      <c r="U799">
        <v>20</v>
      </c>
      <c r="V799">
        <v>433.85</v>
      </c>
      <c r="W799" t="s">
        <v>27</v>
      </c>
      <c r="X799">
        <v>32</v>
      </c>
    </row>
    <row r="800" spans="1:24" ht="14.25" customHeight="1">
      <c r="A800" t="s">
        <v>1548</v>
      </c>
      <c r="B800" t="s">
        <v>2276</v>
      </c>
      <c r="C800" s="6" t="str">
        <f t="shared" si="37"/>
        <v>February</v>
      </c>
      <c r="D800" s="6" t="str">
        <f t="shared" si="38"/>
        <v>09</v>
      </c>
      <c r="E800" t="s">
        <v>843</v>
      </c>
      <c r="F800" t="s">
        <v>21</v>
      </c>
      <c r="G800" t="s">
        <v>37</v>
      </c>
      <c r="H800" s="4" t="s">
        <v>2257</v>
      </c>
      <c r="I800">
        <v>313286</v>
      </c>
      <c r="J800" s="8" t="s">
        <v>30</v>
      </c>
      <c r="K800" t="s">
        <v>844</v>
      </c>
      <c r="L800" t="s">
        <v>845</v>
      </c>
      <c r="M800" t="s">
        <v>45</v>
      </c>
      <c r="N800">
        <f t="shared" si="39"/>
        <v>6</v>
      </c>
      <c r="O800">
        <v>3</v>
      </c>
      <c r="P800" s="6">
        <v>106.55</v>
      </c>
      <c r="Q800">
        <v>10.66</v>
      </c>
      <c r="R800">
        <v>308.99</v>
      </c>
      <c r="S800">
        <v>15.45</v>
      </c>
      <c r="T800">
        <v>0</v>
      </c>
      <c r="U800">
        <v>10</v>
      </c>
      <c r="V800">
        <v>334.43999999999988</v>
      </c>
      <c r="W800" t="s">
        <v>27</v>
      </c>
      <c r="X800">
        <v>26</v>
      </c>
    </row>
    <row r="801" spans="1:24" ht="14.25" customHeight="1">
      <c r="A801" t="s">
        <v>1549</v>
      </c>
      <c r="B801" t="s">
        <v>2290</v>
      </c>
      <c r="C801" s="6" t="str">
        <f t="shared" si="37"/>
        <v>February</v>
      </c>
      <c r="D801" s="6" t="str">
        <f t="shared" si="38"/>
        <v>11</v>
      </c>
      <c r="E801" t="s">
        <v>847</v>
      </c>
      <c r="F801" t="s">
        <v>21</v>
      </c>
      <c r="G801" t="s">
        <v>106</v>
      </c>
      <c r="H801" s="4" t="s">
        <v>2257</v>
      </c>
      <c r="I801">
        <v>845222</v>
      </c>
      <c r="J801" s="8" t="s">
        <v>30</v>
      </c>
      <c r="K801" t="s">
        <v>848</v>
      </c>
      <c r="L801" t="s">
        <v>849</v>
      </c>
      <c r="M801" t="s">
        <v>98</v>
      </c>
      <c r="N801">
        <f t="shared" si="39"/>
        <v>4</v>
      </c>
      <c r="O801">
        <v>3</v>
      </c>
      <c r="P801" s="6">
        <v>82.32</v>
      </c>
      <c r="Q801">
        <v>12.35</v>
      </c>
      <c r="R801">
        <v>234.61</v>
      </c>
      <c r="S801">
        <v>11.73</v>
      </c>
      <c r="T801">
        <v>10</v>
      </c>
      <c r="U801">
        <v>0</v>
      </c>
      <c r="V801">
        <v>256.33999999999997</v>
      </c>
      <c r="W801" t="s">
        <v>27</v>
      </c>
      <c r="X801">
        <v>35</v>
      </c>
    </row>
    <row r="802" spans="1:24" ht="14.25" customHeight="1">
      <c r="A802" t="s">
        <v>1550</v>
      </c>
      <c r="B802" t="s">
        <v>2299</v>
      </c>
      <c r="C802" s="6" t="str">
        <f t="shared" si="37"/>
        <v>January</v>
      </c>
      <c r="D802" s="6" t="str">
        <f t="shared" si="38"/>
        <v>09</v>
      </c>
      <c r="E802" t="s">
        <v>851</v>
      </c>
      <c r="F802" t="s">
        <v>21</v>
      </c>
      <c r="G802" t="s">
        <v>37</v>
      </c>
      <c r="H802" s="4" t="s">
        <v>2257</v>
      </c>
      <c r="I802">
        <v>219875</v>
      </c>
      <c r="J802" s="8" t="s">
        <v>2345</v>
      </c>
      <c r="K802" t="s">
        <v>24</v>
      </c>
      <c r="L802" t="s">
        <v>25</v>
      </c>
      <c r="M802" t="s">
        <v>45</v>
      </c>
      <c r="N802">
        <f t="shared" si="39"/>
        <v>6</v>
      </c>
      <c r="O802">
        <v>3</v>
      </c>
      <c r="P802" s="6">
        <v>65.33</v>
      </c>
      <c r="Q802">
        <v>0</v>
      </c>
      <c r="R802">
        <v>195.99</v>
      </c>
      <c r="S802">
        <v>9.8000000000000007</v>
      </c>
      <c r="T802">
        <v>20</v>
      </c>
      <c r="U802">
        <v>20</v>
      </c>
      <c r="V802">
        <v>245.79</v>
      </c>
      <c r="W802" t="s">
        <v>27</v>
      </c>
      <c r="X802">
        <v>9</v>
      </c>
    </row>
    <row r="803" spans="1:24" ht="14.25" customHeight="1">
      <c r="A803" t="s">
        <v>1551</v>
      </c>
      <c r="B803" t="s">
        <v>2303</v>
      </c>
      <c r="C803" s="6" t="str">
        <f t="shared" si="37"/>
        <v>February</v>
      </c>
      <c r="D803" s="6" t="str">
        <f t="shared" si="38"/>
        <v>19</v>
      </c>
      <c r="E803" t="s">
        <v>853</v>
      </c>
      <c r="F803" t="s">
        <v>21</v>
      </c>
      <c r="G803" t="s">
        <v>74</v>
      </c>
      <c r="H803" s="4" t="s">
        <v>2257</v>
      </c>
      <c r="I803">
        <v>893897</v>
      </c>
      <c r="J803" s="8" t="s">
        <v>2345</v>
      </c>
      <c r="K803" t="s">
        <v>31</v>
      </c>
      <c r="L803" t="s">
        <v>32</v>
      </c>
      <c r="M803" t="s">
        <v>77</v>
      </c>
      <c r="N803">
        <f t="shared" si="39"/>
        <v>5</v>
      </c>
      <c r="O803">
        <v>1</v>
      </c>
      <c r="P803" s="6">
        <v>103.97</v>
      </c>
      <c r="Q803">
        <v>15.6</v>
      </c>
      <c r="R803">
        <v>88.37</v>
      </c>
      <c r="S803">
        <v>4.42</v>
      </c>
      <c r="T803">
        <v>0</v>
      </c>
      <c r="U803">
        <v>20</v>
      </c>
      <c r="V803">
        <v>112.79</v>
      </c>
      <c r="W803" t="s">
        <v>27</v>
      </c>
      <c r="X803">
        <v>29</v>
      </c>
    </row>
    <row r="804" spans="1:24" ht="14.25" customHeight="1">
      <c r="A804" t="s">
        <v>1552</v>
      </c>
      <c r="B804" t="s">
        <v>2288</v>
      </c>
      <c r="C804" s="6" t="str">
        <f t="shared" si="37"/>
        <v>January</v>
      </c>
      <c r="D804" s="6" t="str">
        <f t="shared" si="38"/>
        <v>27</v>
      </c>
      <c r="E804" t="s">
        <v>855</v>
      </c>
      <c r="F804" t="s">
        <v>21</v>
      </c>
      <c r="G804" t="s">
        <v>68</v>
      </c>
      <c r="H804" s="4" t="s">
        <v>2257</v>
      </c>
      <c r="I804">
        <v>454835</v>
      </c>
      <c r="J804" s="8" t="s">
        <v>2349</v>
      </c>
      <c r="K804" t="s">
        <v>38</v>
      </c>
      <c r="L804" t="s">
        <v>39</v>
      </c>
      <c r="M804" t="s">
        <v>65</v>
      </c>
      <c r="N804">
        <f t="shared" si="39"/>
        <v>6</v>
      </c>
      <c r="O804">
        <v>3</v>
      </c>
      <c r="P804" s="6">
        <v>74.47</v>
      </c>
      <c r="Q804">
        <v>7.45</v>
      </c>
      <c r="R804">
        <v>215.96</v>
      </c>
      <c r="S804">
        <v>10.8</v>
      </c>
      <c r="T804">
        <v>20</v>
      </c>
      <c r="U804">
        <v>5</v>
      </c>
      <c r="V804">
        <v>251.76</v>
      </c>
      <c r="W804" t="s">
        <v>27</v>
      </c>
      <c r="X804">
        <v>21</v>
      </c>
    </row>
    <row r="805" spans="1:24" ht="14.25" customHeight="1">
      <c r="A805" t="s">
        <v>1553</v>
      </c>
      <c r="B805" t="s">
        <v>2269</v>
      </c>
      <c r="C805" s="6" t="str">
        <f t="shared" si="37"/>
        <v>February</v>
      </c>
      <c r="D805" s="6" t="str">
        <f t="shared" si="38"/>
        <v>27</v>
      </c>
      <c r="E805" t="s">
        <v>857</v>
      </c>
      <c r="F805" t="s">
        <v>21</v>
      </c>
      <c r="G805" t="s">
        <v>68</v>
      </c>
      <c r="H805" s="4" t="s">
        <v>2257</v>
      </c>
      <c r="I805">
        <v>858741</v>
      </c>
      <c r="J805" s="8" t="s">
        <v>2348</v>
      </c>
      <c r="K805" t="s">
        <v>43</v>
      </c>
      <c r="L805" t="s">
        <v>44</v>
      </c>
      <c r="M805" t="s">
        <v>45</v>
      </c>
      <c r="N805">
        <f t="shared" si="39"/>
        <v>6</v>
      </c>
      <c r="O805">
        <v>4</v>
      </c>
      <c r="P805" s="6">
        <v>138.75</v>
      </c>
      <c r="Q805">
        <v>6.94</v>
      </c>
      <c r="R805">
        <v>548.05999999999995</v>
      </c>
      <c r="S805">
        <v>27.4</v>
      </c>
      <c r="T805">
        <v>10</v>
      </c>
      <c r="U805">
        <v>0</v>
      </c>
      <c r="V805">
        <v>585.45999999999992</v>
      </c>
      <c r="W805" t="s">
        <v>27</v>
      </c>
      <c r="X805">
        <v>29</v>
      </c>
    </row>
    <row r="806" spans="1:24" ht="14.25" customHeight="1">
      <c r="A806" t="s">
        <v>1554</v>
      </c>
      <c r="B806" t="s">
        <v>2279</v>
      </c>
      <c r="C806" s="6" t="str">
        <f t="shared" si="37"/>
        <v>January</v>
      </c>
      <c r="D806" s="6" t="str">
        <f t="shared" si="38"/>
        <v>02</v>
      </c>
      <c r="E806" t="s">
        <v>859</v>
      </c>
      <c r="F806" t="s">
        <v>21</v>
      </c>
      <c r="G806" t="s">
        <v>22</v>
      </c>
      <c r="H806" s="4" t="s">
        <v>2257</v>
      </c>
      <c r="I806">
        <v>778173</v>
      </c>
      <c r="J806" s="8" t="s">
        <v>2347</v>
      </c>
      <c r="K806" t="s">
        <v>48</v>
      </c>
      <c r="L806" t="s">
        <v>49</v>
      </c>
      <c r="M806" t="s">
        <v>40</v>
      </c>
      <c r="N806">
        <f t="shared" si="39"/>
        <v>6</v>
      </c>
      <c r="O806">
        <v>3</v>
      </c>
      <c r="P806" s="6">
        <v>128.51</v>
      </c>
      <c r="Q806">
        <v>19.28</v>
      </c>
      <c r="R806">
        <v>366.25</v>
      </c>
      <c r="S806">
        <v>18.309999999999999</v>
      </c>
      <c r="T806">
        <v>30</v>
      </c>
      <c r="U806">
        <v>10</v>
      </c>
      <c r="V806">
        <v>424.56</v>
      </c>
      <c r="W806" t="s">
        <v>27</v>
      </c>
      <c r="X806">
        <v>21</v>
      </c>
    </row>
    <row r="807" spans="1:24" ht="14.25" customHeight="1">
      <c r="A807" t="s">
        <v>1555</v>
      </c>
      <c r="B807" t="s">
        <v>2317</v>
      </c>
      <c r="C807" s="6" t="str">
        <f t="shared" si="37"/>
        <v>January</v>
      </c>
      <c r="D807" s="6" t="str">
        <f t="shared" si="38"/>
        <v>05</v>
      </c>
      <c r="E807" t="s">
        <v>861</v>
      </c>
      <c r="F807" t="s">
        <v>21</v>
      </c>
      <c r="G807" t="s">
        <v>106</v>
      </c>
      <c r="H807" s="4" t="s">
        <v>2257</v>
      </c>
      <c r="I807">
        <v>854981</v>
      </c>
      <c r="J807" s="8" t="s">
        <v>2347</v>
      </c>
      <c r="K807" t="s">
        <v>53</v>
      </c>
      <c r="L807" t="s">
        <v>54</v>
      </c>
      <c r="M807" t="s">
        <v>33</v>
      </c>
      <c r="N807">
        <f t="shared" si="39"/>
        <v>10</v>
      </c>
      <c r="O807">
        <v>2</v>
      </c>
      <c r="P807" s="6">
        <v>129.63</v>
      </c>
      <c r="Q807">
        <v>6.48</v>
      </c>
      <c r="R807">
        <v>252.78</v>
      </c>
      <c r="S807">
        <v>12.64</v>
      </c>
      <c r="T807">
        <v>10</v>
      </c>
      <c r="U807">
        <v>0</v>
      </c>
      <c r="V807">
        <v>275.42</v>
      </c>
      <c r="W807" t="s">
        <v>34</v>
      </c>
      <c r="X807">
        <v>25</v>
      </c>
    </row>
    <row r="808" spans="1:24" ht="14.25" customHeight="1">
      <c r="A808" t="s">
        <v>1556</v>
      </c>
      <c r="B808" t="s">
        <v>2264</v>
      </c>
      <c r="C808" s="6" t="str">
        <f t="shared" si="37"/>
        <v>January</v>
      </c>
      <c r="D808" s="6" t="str">
        <f t="shared" si="38"/>
        <v>29</v>
      </c>
      <c r="E808" t="s">
        <v>863</v>
      </c>
      <c r="F808" t="s">
        <v>21</v>
      </c>
      <c r="G808" t="s">
        <v>22</v>
      </c>
      <c r="H808" s="4" t="s">
        <v>2257</v>
      </c>
      <c r="I808">
        <v>255063</v>
      </c>
      <c r="J808" s="8" t="s">
        <v>2345</v>
      </c>
      <c r="K808" t="s">
        <v>58</v>
      </c>
      <c r="L808" t="s">
        <v>59</v>
      </c>
      <c r="M808" t="s">
        <v>140</v>
      </c>
      <c r="N808">
        <f t="shared" si="39"/>
        <v>3</v>
      </c>
      <c r="O808">
        <v>7</v>
      </c>
      <c r="P808" s="6">
        <v>179.39</v>
      </c>
      <c r="Q808">
        <v>17.940000000000001</v>
      </c>
      <c r="R808">
        <v>1237.79</v>
      </c>
      <c r="S808">
        <v>61.89</v>
      </c>
      <c r="T808">
        <v>0</v>
      </c>
      <c r="U808">
        <v>0</v>
      </c>
      <c r="V808">
        <v>1299.68</v>
      </c>
      <c r="W808" t="s">
        <v>27</v>
      </c>
      <c r="X808">
        <v>18</v>
      </c>
    </row>
    <row r="809" spans="1:24" ht="14.25" customHeight="1">
      <c r="A809" t="s">
        <v>1557</v>
      </c>
      <c r="B809" t="s">
        <v>2297</v>
      </c>
      <c r="C809" s="6" t="str">
        <f t="shared" si="37"/>
        <v>February</v>
      </c>
      <c r="D809" s="6" t="str">
        <f t="shared" si="38"/>
        <v>06</v>
      </c>
      <c r="E809" t="s">
        <v>865</v>
      </c>
      <c r="F809" t="s">
        <v>21</v>
      </c>
      <c r="G809" t="s">
        <v>22</v>
      </c>
      <c r="H809" s="4" t="s">
        <v>2257</v>
      </c>
      <c r="I809">
        <v>126081</v>
      </c>
      <c r="J809" s="8" t="s">
        <v>2345</v>
      </c>
      <c r="K809" t="s">
        <v>63</v>
      </c>
      <c r="L809" t="s">
        <v>64</v>
      </c>
      <c r="M809" t="s">
        <v>65</v>
      </c>
      <c r="N809">
        <f t="shared" si="39"/>
        <v>6</v>
      </c>
      <c r="O809">
        <v>5</v>
      </c>
      <c r="P809" s="6">
        <v>44.53</v>
      </c>
      <c r="Q809">
        <v>2.23</v>
      </c>
      <c r="R809">
        <v>220.42</v>
      </c>
      <c r="S809">
        <v>11.02</v>
      </c>
      <c r="T809">
        <v>0</v>
      </c>
      <c r="U809">
        <v>0</v>
      </c>
      <c r="V809">
        <v>231.44</v>
      </c>
      <c r="W809" t="s">
        <v>27</v>
      </c>
      <c r="X809">
        <v>34</v>
      </c>
    </row>
    <row r="810" spans="1:24" ht="14.25" customHeight="1">
      <c r="A810" t="s">
        <v>1558</v>
      </c>
      <c r="B810" t="s">
        <v>2282</v>
      </c>
      <c r="C810" s="6" t="str">
        <f t="shared" si="37"/>
        <v>February</v>
      </c>
      <c r="D810" s="6" t="str">
        <f t="shared" si="38"/>
        <v>07</v>
      </c>
      <c r="E810" t="s">
        <v>867</v>
      </c>
      <c r="F810" t="s">
        <v>80</v>
      </c>
      <c r="G810" t="s">
        <v>81</v>
      </c>
      <c r="H810" s="4" t="s">
        <v>2257</v>
      </c>
      <c r="I810">
        <v>886492</v>
      </c>
      <c r="J810" s="8" t="s">
        <v>30</v>
      </c>
      <c r="K810" t="s">
        <v>69</v>
      </c>
      <c r="L810" t="s">
        <v>70</v>
      </c>
      <c r="M810" t="s">
        <v>71</v>
      </c>
      <c r="N810">
        <f t="shared" si="39"/>
        <v>6</v>
      </c>
      <c r="O810">
        <v>1</v>
      </c>
      <c r="P810" s="6">
        <v>144.12</v>
      </c>
      <c r="Q810">
        <v>7.21</v>
      </c>
      <c r="R810">
        <v>136.91</v>
      </c>
      <c r="S810">
        <v>6.85</v>
      </c>
      <c r="T810">
        <v>20</v>
      </c>
      <c r="U810">
        <v>20</v>
      </c>
      <c r="V810">
        <v>183.76</v>
      </c>
      <c r="W810" t="s">
        <v>27</v>
      </c>
      <c r="X810">
        <v>17</v>
      </c>
    </row>
    <row r="811" spans="1:24" ht="14.25" customHeight="1">
      <c r="A811" t="s">
        <v>1559</v>
      </c>
      <c r="B811" t="s">
        <v>2270</v>
      </c>
      <c r="C811" s="6" t="str">
        <f t="shared" si="37"/>
        <v>January</v>
      </c>
      <c r="D811" s="6" t="str">
        <f t="shared" si="38"/>
        <v>19</v>
      </c>
      <c r="E811" t="s">
        <v>869</v>
      </c>
      <c r="F811" t="s">
        <v>21</v>
      </c>
      <c r="G811" t="s">
        <v>68</v>
      </c>
      <c r="H811" s="4" t="s">
        <v>2257</v>
      </c>
      <c r="I811">
        <v>204127</v>
      </c>
      <c r="J811" s="8" t="s">
        <v>2347</v>
      </c>
      <c r="K811" t="s">
        <v>75</v>
      </c>
      <c r="L811" t="s">
        <v>76</v>
      </c>
      <c r="M811" t="s">
        <v>98</v>
      </c>
      <c r="N811">
        <f t="shared" si="39"/>
        <v>4</v>
      </c>
      <c r="O811">
        <v>1</v>
      </c>
      <c r="P811" s="6">
        <v>169.21</v>
      </c>
      <c r="Q811">
        <v>16.920000000000002</v>
      </c>
      <c r="R811">
        <v>152.29</v>
      </c>
      <c r="S811">
        <v>7.61</v>
      </c>
      <c r="T811">
        <v>0</v>
      </c>
      <c r="U811">
        <v>5</v>
      </c>
      <c r="V811">
        <v>164.9</v>
      </c>
      <c r="W811" t="s">
        <v>27</v>
      </c>
      <c r="X811">
        <v>10</v>
      </c>
    </row>
    <row r="812" spans="1:24" ht="14.25" customHeight="1">
      <c r="A812" t="s">
        <v>1560</v>
      </c>
      <c r="B812" t="s">
        <v>2267</v>
      </c>
      <c r="C812" s="6" t="str">
        <f t="shared" si="37"/>
        <v>January</v>
      </c>
      <c r="D812" s="6" t="str">
        <f t="shared" si="38"/>
        <v>08</v>
      </c>
      <c r="E812" t="s">
        <v>871</v>
      </c>
      <c r="F812" t="s">
        <v>101</v>
      </c>
      <c r="G812" t="s">
        <v>81</v>
      </c>
      <c r="H812" s="4" t="s">
        <v>2258</v>
      </c>
      <c r="I812">
        <v>633484</v>
      </c>
      <c r="J812" s="8" t="s">
        <v>2345</v>
      </c>
      <c r="K812" t="s">
        <v>82</v>
      </c>
      <c r="L812" t="s">
        <v>83</v>
      </c>
      <c r="M812" t="s">
        <v>130</v>
      </c>
      <c r="N812">
        <f t="shared" si="39"/>
        <v>7</v>
      </c>
      <c r="O812">
        <v>5</v>
      </c>
      <c r="P812" s="6">
        <v>107.78</v>
      </c>
      <c r="Q812">
        <v>10.78</v>
      </c>
      <c r="R812">
        <v>528.12</v>
      </c>
      <c r="S812">
        <v>26.41</v>
      </c>
      <c r="T812">
        <v>30</v>
      </c>
      <c r="U812">
        <v>5</v>
      </c>
      <c r="V812">
        <v>589.53</v>
      </c>
      <c r="W812" t="s">
        <v>27</v>
      </c>
      <c r="X812">
        <v>43</v>
      </c>
    </row>
    <row r="813" spans="1:24" ht="14.25" customHeight="1">
      <c r="A813" t="s">
        <v>1561</v>
      </c>
      <c r="B813" t="s">
        <v>2313</v>
      </c>
      <c r="C813" s="6" t="str">
        <f t="shared" si="37"/>
        <v>February</v>
      </c>
      <c r="D813" s="6" t="str">
        <f t="shared" si="38"/>
        <v>17</v>
      </c>
      <c r="E813" t="s">
        <v>873</v>
      </c>
      <c r="F813" t="s">
        <v>21</v>
      </c>
      <c r="G813" t="s">
        <v>106</v>
      </c>
      <c r="H813" s="4" t="s">
        <v>2258</v>
      </c>
      <c r="I813">
        <v>874751</v>
      </c>
      <c r="J813" s="8" t="s">
        <v>2346</v>
      </c>
      <c r="K813" t="s">
        <v>87</v>
      </c>
      <c r="L813" t="s">
        <v>88</v>
      </c>
      <c r="M813" t="s">
        <v>98</v>
      </c>
      <c r="N813">
        <f t="shared" si="39"/>
        <v>4</v>
      </c>
      <c r="O813">
        <v>1</v>
      </c>
      <c r="P813" s="6">
        <v>96.39</v>
      </c>
      <c r="Q813">
        <v>9.64</v>
      </c>
      <c r="R813">
        <v>86.75</v>
      </c>
      <c r="S813">
        <v>4.34</v>
      </c>
      <c r="T813">
        <v>20</v>
      </c>
      <c r="U813">
        <v>15</v>
      </c>
      <c r="V813">
        <v>126.09</v>
      </c>
      <c r="W813" t="s">
        <v>27</v>
      </c>
      <c r="X813">
        <v>35</v>
      </c>
    </row>
    <row r="814" spans="1:24" ht="14.25" customHeight="1">
      <c r="A814" t="s">
        <v>1562</v>
      </c>
      <c r="B814" t="s">
        <v>2314</v>
      </c>
      <c r="C814" s="6" t="str">
        <f t="shared" si="37"/>
        <v>February</v>
      </c>
      <c r="D814" s="6" t="str">
        <f t="shared" si="38"/>
        <v>14</v>
      </c>
      <c r="E814" t="s">
        <v>875</v>
      </c>
      <c r="F814" t="s">
        <v>21</v>
      </c>
      <c r="G814" t="s">
        <v>106</v>
      </c>
      <c r="H814" s="4" t="s">
        <v>2258</v>
      </c>
      <c r="I814">
        <v>871152</v>
      </c>
      <c r="J814" s="8" t="s">
        <v>2347</v>
      </c>
      <c r="K814" t="s">
        <v>92</v>
      </c>
      <c r="L814" t="s">
        <v>93</v>
      </c>
      <c r="M814" t="s">
        <v>45</v>
      </c>
      <c r="N814">
        <f t="shared" si="39"/>
        <v>6</v>
      </c>
      <c r="O814">
        <v>5</v>
      </c>
      <c r="P814" s="6">
        <v>125.47</v>
      </c>
      <c r="Q814">
        <v>12.55</v>
      </c>
      <c r="R814">
        <v>614.80000000000007</v>
      </c>
      <c r="S814">
        <v>30.74</v>
      </c>
      <c r="T814">
        <v>30</v>
      </c>
      <c r="U814">
        <v>15</v>
      </c>
      <c r="V814">
        <v>690.54000000000008</v>
      </c>
      <c r="W814" t="s">
        <v>27</v>
      </c>
      <c r="X814">
        <v>43</v>
      </c>
    </row>
    <row r="815" spans="1:24" ht="14.25" customHeight="1">
      <c r="A815" t="s">
        <v>1563</v>
      </c>
      <c r="B815" t="s">
        <v>2316</v>
      </c>
      <c r="C815" s="6" t="str">
        <f t="shared" si="37"/>
        <v>January</v>
      </c>
      <c r="D815" s="6" t="str">
        <f t="shared" si="38"/>
        <v>01</v>
      </c>
      <c r="E815" t="s">
        <v>877</v>
      </c>
      <c r="F815" t="s">
        <v>21</v>
      </c>
      <c r="G815" t="s">
        <v>22</v>
      </c>
      <c r="H815" s="4" t="s">
        <v>2258</v>
      </c>
      <c r="I815">
        <v>350606</v>
      </c>
      <c r="J815" s="8" t="s">
        <v>2348</v>
      </c>
      <c r="K815" t="s">
        <v>96</v>
      </c>
      <c r="L815" t="s">
        <v>97</v>
      </c>
      <c r="M815" t="s">
        <v>135</v>
      </c>
      <c r="N815">
        <f t="shared" si="39"/>
        <v>9</v>
      </c>
      <c r="O815">
        <v>5</v>
      </c>
      <c r="P815" s="6">
        <v>110.9</v>
      </c>
      <c r="Q815">
        <v>16.64</v>
      </c>
      <c r="R815">
        <v>537.86</v>
      </c>
      <c r="S815">
        <v>26.89</v>
      </c>
      <c r="T815">
        <v>10</v>
      </c>
      <c r="U815">
        <v>0</v>
      </c>
      <c r="V815">
        <v>574.75</v>
      </c>
      <c r="W815" t="s">
        <v>34</v>
      </c>
      <c r="X815">
        <v>25</v>
      </c>
    </row>
    <row r="816" spans="1:24" ht="14.25" customHeight="1">
      <c r="A816" t="s">
        <v>1564</v>
      </c>
      <c r="B816" t="s">
        <v>2278</v>
      </c>
      <c r="C816" s="6" t="str">
        <f t="shared" si="37"/>
        <v>January</v>
      </c>
      <c r="D816" s="6" t="str">
        <f t="shared" si="38"/>
        <v>22</v>
      </c>
      <c r="E816" t="s">
        <v>879</v>
      </c>
      <c r="F816" t="s">
        <v>21</v>
      </c>
      <c r="G816" t="s">
        <v>68</v>
      </c>
      <c r="H816" s="4" t="s">
        <v>2258</v>
      </c>
      <c r="I816">
        <v>832256</v>
      </c>
      <c r="J816" s="8" t="s">
        <v>2346</v>
      </c>
      <c r="K816" t="s">
        <v>102</v>
      </c>
      <c r="L816" t="s">
        <v>103</v>
      </c>
      <c r="M816" t="s">
        <v>98</v>
      </c>
      <c r="N816">
        <f t="shared" si="39"/>
        <v>4</v>
      </c>
      <c r="O816">
        <v>1</v>
      </c>
      <c r="P816" s="6">
        <v>138.88</v>
      </c>
      <c r="Q816">
        <v>13.89</v>
      </c>
      <c r="R816">
        <v>124.99</v>
      </c>
      <c r="S816">
        <v>6.25</v>
      </c>
      <c r="T816">
        <v>30</v>
      </c>
      <c r="U816">
        <v>20</v>
      </c>
      <c r="V816">
        <v>181.24</v>
      </c>
      <c r="W816" t="s">
        <v>27</v>
      </c>
      <c r="X816">
        <v>43</v>
      </c>
    </row>
    <row r="817" spans="1:24" ht="14.25" customHeight="1">
      <c r="A817" t="s">
        <v>1565</v>
      </c>
      <c r="B817" t="s">
        <v>2263</v>
      </c>
      <c r="C817" s="6" t="str">
        <f t="shared" si="37"/>
        <v>February</v>
      </c>
      <c r="D817" s="6" t="str">
        <f t="shared" si="38"/>
        <v>21</v>
      </c>
      <c r="E817" t="s">
        <v>881</v>
      </c>
      <c r="F817" t="s">
        <v>21</v>
      </c>
      <c r="G817" t="s">
        <v>74</v>
      </c>
      <c r="H817" s="4" t="s">
        <v>2258</v>
      </c>
      <c r="I817">
        <v>714966</v>
      </c>
      <c r="J817" s="8" t="s">
        <v>2348</v>
      </c>
      <c r="K817" t="s">
        <v>107</v>
      </c>
      <c r="L817" t="s">
        <v>108</v>
      </c>
      <c r="M817" t="s">
        <v>71</v>
      </c>
      <c r="N817">
        <f t="shared" si="39"/>
        <v>6</v>
      </c>
      <c r="O817">
        <v>2</v>
      </c>
      <c r="P817" s="6">
        <v>172.33</v>
      </c>
      <c r="Q817">
        <v>0</v>
      </c>
      <c r="R817">
        <v>344.66</v>
      </c>
      <c r="S817">
        <v>17.23</v>
      </c>
      <c r="T817">
        <v>0</v>
      </c>
      <c r="U817">
        <v>15</v>
      </c>
      <c r="V817">
        <v>376.89</v>
      </c>
      <c r="W817" t="s">
        <v>27</v>
      </c>
      <c r="X817">
        <v>21</v>
      </c>
    </row>
    <row r="818" spans="1:24" ht="14.25" customHeight="1">
      <c r="A818" t="s">
        <v>1566</v>
      </c>
      <c r="B818" t="s">
        <v>2307</v>
      </c>
      <c r="C818" s="6" t="str">
        <f t="shared" si="37"/>
        <v>January</v>
      </c>
      <c r="D818" s="6" t="str">
        <f t="shared" si="38"/>
        <v>17</v>
      </c>
      <c r="E818" t="s">
        <v>883</v>
      </c>
      <c r="F818" t="s">
        <v>21</v>
      </c>
      <c r="G818" t="s">
        <v>68</v>
      </c>
      <c r="H818" s="4" t="s">
        <v>2258</v>
      </c>
      <c r="I818">
        <v>465391</v>
      </c>
      <c r="J818" s="8" t="s">
        <v>30</v>
      </c>
      <c r="K818" t="s">
        <v>111</v>
      </c>
      <c r="L818" t="s">
        <v>112</v>
      </c>
      <c r="M818" t="s">
        <v>65</v>
      </c>
      <c r="N818">
        <f t="shared" si="39"/>
        <v>6</v>
      </c>
      <c r="O818">
        <v>2</v>
      </c>
      <c r="P818" s="6">
        <v>64.31</v>
      </c>
      <c r="Q818">
        <v>3.22</v>
      </c>
      <c r="R818">
        <v>125.4</v>
      </c>
      <c r="S818">
        <v>6.27</v>
      </c>
      <c r="T818">
        <v>0</v>
      </c>
      <c r="U818">
        <v>20</v>
      </c>
      <c r="V818">
        <v>151.66999999999999</v>
      </c>
      <c r="W818" t="s">
        <v>27</v>
      </c>
      <c r="X818">
        <v>19</v>
      </c>
    </row>
    <row r="819" spans="1:24" ht="14.25" customHeight="1">
      <c r="A819" t="s">
        <v>1567</v>
      </c>
      <c r="B819" t="s">
        <v>2298</v>
      </c>
      <c r="C819" s="6" t="str">
        <f t="shared" si="37"/>
        <v>January</v>
      </c>
      <c r="D819" s="6" t="str">
        <f t="shared" si="38"/>
        <v>07</v>
      </c>
      <c r="E819" t="s">
        <v>885</v>
      </c>
      <c r="F819" t="s">
        <v>101</v>
      </c>
      <c r="G819" t="s">
        <v>81</v>
      </c>
      <c r="H819" s="4" t="s">
        <v>2258</v>
      </c>
      <c r="I819">
        <v>665148</v>
      </c>
      <c r="J819" s="8" t="s">
        <v>2345</v>
      </c>
      <c r="K819" t="s">
        <v>115</v>
      </c>
      <c r="L819" t="s">
        <v>116</v>
      </c>
      <c r="M819" t="s">
        <v>65</v>
      </c>
      <c r="N819">
        <f t="shared" si="39"/>
        <v>6</v>
      </c>
      <c r="O819">
        <v>2</v>
      </c>
      <c r="P819" s="6">
        <v>183.91</v>
      </c>
      <c r="Q819">
        <v>18.39</v>
      </c>
      <c r="R819">
        <v>349.43</v>
      </c>
      <c r="S819">
        <v>17.47</v>
      </c>
      <c r="T819">
        <v>30</v>
      </c>
      <c r="U819">
        <v>5</v>
      </c>
      <c r="V819">
        <v>401.9</v>
      </c>
      <c r="W819" t="s">
        <v>84</v>
      </c>
      <c r="X819">
        <v>25</v>
      </c>
    </row>
    <row r="820" spans="1:24" ht="14.25" customHeight="1">
      <c r="A820" t="s">
        <v>1568</v>
      </c>
      <c r="B820" t="s">
        <v>2286</v>
      </c>
      <c r="C820" s="6" t="str">
        <f t="shared" si="37"/>
        <v>January</v>
      </c>
      <c r="D820" s="6" t="str">
        <f t="shared" si="38"/>
        <v>25</v>
      </c>
      <c r="E820" t="s">
        <v>887</v>
      </c>
      <c r="F820" t="s">
        <v>21</v>
      </c>
      <c r="G820" t="s">
        <v>22</v>
      </c>
      <c r="H820" s="4" t="s">
        <v>2258</v>
      </c>
      <c r="I820">
        <v>545096</v>
      </c>
      <c r="J820" s="8" t="s">
        <v>2345</v>
      </c>
      <c r="K820" t="s">
        <v>120</v>
      </c>
      <c r="L820" t="s">
        <v>121</v>
      </c>
      <c r="M820" t="s">
        <v>65</v>
      </c>
      <c r="N820">
        <f t="shared" si="39"/>
        <v>6</v>
      </c>
      <c r="O820">
        <v>5</v>
      </c>
      <c r="P820" s="6">
        <v>179.79</v>
      </c>
      <c r="Q820">
        <v>17.98</v>
      </c>
      <c r="R820">
        <v>880.96999999999991</v>
      </c>
      <c r="S820">
        <v>44.05</v>
      </c>
      <c r="T820">
        <v>20</v>
      </c>
      <c r="U820">
        <v>20</v>
      </c>
      <c r="V820">
        <v>965.01999999999987</v>
      </c>
      <c r="W820" t="s">
        <v>27</v>
      </c>
      <c r="X820">
        <v>17</v>
      </c>
    </row>
    <row r="821" spans="1:24" ht="14.25" customHeight="1">
      <c r="A821" t="s">
        <v>1569</v>
      </c>
      <c r="B821" t="s">
        <v>2314</v>
      </c>
      <c r="C821" s="6" t="str">
        <f t="shared" si="37"/>
        <v>February</v>
      </c>
      <c r="D821" s="6" t="str">
        <f t="shared" si="38"/>
        <v>14</v>
      </c>
      <c r="E821" t="s">
        <v>889</v>
      </c>
      <c r="F821" t="s">
        <v>21</v>
      </c>
      <c r="G821" t="s">
        <v>37</v>
      </c>
      <c r="H821" s="4" t="s">
        <v>2258</v>
      </c>
      <c r="I821">
        <v>410272</v>
      </c>
      <c r="J821" s="8" t="s">
        <v>2348</v>
      </c>
      <c r="K821" t="s">
        <v>124</v>
      </c>
      <c r="L821" t="s">
        <v>125</v>
      </c>
      <c r="M821" t="s">
        <v>140</v>
      </c>
      <c r="N821">
        <f t="shared" si="39"/>
        <v>3</v>
      </c>
      <c r="O821">
        <v>3</v>
      </c>
      <c r="P821" s="6">
        <v>122.37</v>
      </c>
      <c r="Q821">
        <v>12.24</v>
      </c>
      <c r="R821">
        <v>354.87</v>
      </c>
      <c r="S821">
        <v>17.739999999999998</v>
      </c>
      <c r="T821">
        <v>10</v>
      </c>
      <c r="U821">
        <v>15</v>
      </c>
      <c r="V821">
        <v>397.61</v>
      </c>
      <c r="W821" t="s">
        <v>27</v>
      </c>
      <c r="X821">
        <v>26</v>
      </c>
    </row>
    <row r="822" spans="1:24" ht="14.25" customHeight="1">
      <c r="A822" t="s">
        <v>1570</v>
      </c>
      <c r="B822" t="s">
        <v>2301</v>
      </c>
      <c r="C822" s="6" t="str">
        <f t="shared" si="37"/>
        <v>January</v>
      </c>
      <c r="D822" s="6" t="str">
        <f t="shared" si="38"/>
        <v>04</v>
      </c>
      <c r="E822" t="s">
        <v>891</v>
      </c>
      <c r="F822" t="s">
        <v>21</v>
      </c>
      <c r="G822" t="s">
        <v>74</v>
      </c>
      <c r="H822" s="4" t="s">
        <v>2258</v>
      </c>
      <c r="I822">
        <v>235393</v>
      </c>
      <c r="J822" s="8" t="s">
        <v>2347</v>
      </c>
      <c r="K822" t="s">
        <v>128</v>
      </c>
      <c r="L822" t="s">
        <v>129</v>
      </c>
      <c r="M822" t="s">
        <v>89</v>
      </c>
      <c r="N822">
        <f t="shared" si="39"/>
        <v>7</v>
      </c>
      <c r="O822">
        <v>1</v>
      </c>
      <c r="P822" s="6">
        <v>111.5</v>
      </c>
      <c r="Q822">
        <v>5.58</v>
      </c>
      <c r="R822">
        <v>105.92</v>
      </c>
      <c r="S822">
        <v>5.3</v>
      </c>
      <c r="T822">
        <v>0</v>
      </c>
      <c r="U822">
        <v>20</v>
      </c>
      <c r="V822">
        <v>131.22</v>
      </c>
      <c r="W822" t="s">
        <v>27</v>
      </c>
      <c r="X822">
        <v>12</v>
      </c>
    </row>
    <row r="823" spans="1:24" ht="14.25" customHeight="1">
      <c r="A823" t="s">
        <v>1571</v>
      </c>
      <c r="B823" t="s">
        <v>2275</v>
      </c>
      <c r="C823" s="6" t="str">
        <f t="shared" si="37"/>
        <v>February</v>
      </c>
      <c r="D823" s="6" t="str">
        <f t="shared" si="38"/>
        <v>05</v>
      </c>
      <c r="E823" t="s">
        <v>893</v>
      </c>
      <c r="F823" t="s">
        <v>21</v>
      </c>
      <c r="G823" t="s">
        <v>37</v>
      </c>
      <c r="H823" s="4" t="s">
        <v>2258</v>
      </c>
      <c r="I823">
        <v>765673</v>
      </c>
      <c r="J823" s="8" t="s">
        <v>2346</v>
      </c>
      <c r="K823" t="s">
        <v>133</v>
      </c>
      <c r="L823" t="s">
        <v>134</v>
      </c>
      <c r="M823" t="s">
        <v>177</v>
      </c>
      <c r="N823">
        <f t="shared" si="39"/>
        <v>5</v>
      </c>
      <c r="O823">
        <v>1</v>
      </c>
      <c r="P823" s="6">
        <v>112.25</v>
      </c>
      <c r="Q823">
        <v>16.84</v>
      </c>
      <c r="R823">
        <v>95.41</v>
      </c>
      <c r="S823">
        <v>4.7699999999999996</v>
      </c>
      <c r="T823">
        <v>10</v>
      </c>
      <c r="U823">
        <v>10</v>
      </c>
      <c r="V823">
        <v>120.18</v>
      </c>
      <c r="W823" t="s">
        <v>84</v>
      </c>
      <c r="X823">
        <v>25</v>
      </c>
    </row>
    <row r="824" spans="1:24" ht="14.25" customHeight="1">
      <c r="A824" t="s">
        <v>1572</v>
      </c>
      <c r="B824" t="s">
        <v>2308</v>
      </c>
      <c r="C824" s="6" t="str">
        <f t="shared" si="37"/>
        <v>January</v>
      </c>
      <c r="D824" s="6" t="str">
        <f t="shared" si="38"/>
        <v>06</v>
      </c>
      <c r="E824" t="s">
        <v>895</v>
      </c>
      <c r="F824" t="s">
        <v>21</v>
      </c>
      <c r="G824" t="s">
        <v>68</v>
      </c>
      <c r="H824" s="4" t="s">
        <v>2258</v>
      </c>
      <c r="I824">
        <v>250056</v>
      </c>
      <c r="J824" s="8" t="s">
        <v>2345</v>
      </c>
      <c r="K824" t="s">
        <v>138</v>
      </c>
      <c r="L824" t="s">
        <v>139</v>
      </c>
      <c r="M824" t="s">
        <v>40</v>
      </c>
      <c r="N824">
        <f t="shared" si="39"/>
        <v>6</v>
      </c>
      <c r="O824">
        <v>3</v>
      </c>
      <c r="P824" s="6">
        <v>86.29</v>
      </c>
      <c r="Q824">
        <v>0</v>
      </c>
      <c r="R824">
        <v>258.87</v>
      </c>
      <c r="S824">
        <v>12.94</v>
      </c>
      <c r="T824">
        <v>0</v>
      </c>
      <c r="U824">
        <v>20</v>
      </c>
      <c r="V824">
        <v>291.81</v>
      </c>
      <c r="W824" t="s">
        <v>27</v>
      </c>
      <c r="X824">
        <v>2</v>
      </c>
    </row>
    <row r="825" spans="1:24" ht="14.25" customHeight="1">
      <c r="A825" t="s">
        <v>1573</v>
      </c>
      <c r="B825" t="s">
        <v>2283</v>
      </c>
      <c r="C825" s="6" t="str">
        <f t="shared" si="37"/>
        <v>March</v>
      </c>
      <c r="D825" s="6" t="str">
        <f t="shared" si="38"/>
        <v>01</v>
      </c>
      <c r="E825" t="s">
        <v>897</v>
      </c>
      <c r="F825" t="s">
        <v>21</v>
      </c>
      <c r="G825" t="s">
        <v>37</v>
      </c>
      <c r="H825" s="4" t="s">
        <v>2258</v>
      </c>
      <c r="I825">
        <v>292319</v>
      </c>
      <c r="J825" s="8" t="s">
        <v>30</v>
      </c>
      <c r="K825" t="s">
        <v>143</v>
      </c>
      <c r="L825" t="s">
        <v>144</v>
      </c>
      <c r="M825" t="s">
        <v>40</v>
      </c>
      <c r="N825">
        <f t="shared" si="39"/>
        <v>6</v>
      </c>
      <c r="O825">
        <v>7</v>
      </c>
      <c r="P825" s="6">
        <v>82.68</v>
      </c>
      <c r="Q825">
        <v>12.4</v>
      </c>
      <c r="R825">
        <v>566.36</v>
      </c>
      <c r="S825">
        <v>28.32</v>
      </c>
      <c r="T825">
        <v>0</v>
      </c>
      <c r="U825">
        <v>10</v>
      </c>
      <c r="V825">
        <v>604.68000000000006</v>
      </c>
      <c r="W825" t="s">
        <v>27</v>
      </c>
      <c r="X825">
        <v>30</v>
      </c>
    </row>
    <row r="826" spans="1:24" ht="14.25" customHeight="1">
      <c r="A826" t="s">
        <v>1574</v>
      </c>
      <c r="B826" t="s">
        <v>2312</v>
      </c>
      <c r="C826" s="6" t="str">
        <f t="shared" si="37"/>
        <v>January</v>
      </c>
      <c r="D826" s="6" t="str">
        <f t="shared" si="38"/>
        <v>31</v>
      </c>
      <c r="E826" t="s">
        <v>899</v>
      </c>
      <c r="F826" t="s">
        <v>21</v>
      </c>
      <c r="G826" t="s">
        <v>106</v>
      </c>
      <c r="H826" s="4" t="s">
        <v>2258</v>
      </c>
      <c r="I826">
        <v>192172</v>
      </c>
      <c r="J826" s="8" t="s">
        <v>30</v>
      </c>
      <c r="K826" t="s">
        <v>147</v>
      </c>
      <c r="L826" t="s">
        <v>148</v>
      </c>
      <c r="M826" t="s">
        <v>71</v>
      </c>
      <c r="N826">
        <f t="shared" si="39"/>
        <v>6</v>
      </c>
      <c r="O826">
        <v>1</v>
      </c>
      <c r="P826" s="6">
        <v>144.19</v>
      </c>
      <c r="Q826">
        <v>14.42</v>
      </c>
      <c r="R826">
        <v>129.77000000000001</v>
      </c>
      <c r="S826">
        <v>6.49</v>
      </c>
      <c r="T826">
        <v>20</v>
      </c>
      <c r="U826">
        <v>15</v>
      </c>
      <c r="V826">
        <v>171.26</v>
      </c>
      <c r="W826" t="s">
        <v>27</v>
      </c>
      <c r="X826">
        <v>33</v>
      </c>
    </row>
    <row r="827" spans="1:24" ht="14.25" customHeight="1">
      <c r="A827" t="s">
        <v>1575</v>
      </c>
      <c r="B827" t="s">
        <v>2270</v>
      </c>
      <c r="C827" s="6" t="str">
        <f t="shared" si="37"/>
        <v>January</v>
      </c>
      <c r="D827" s="6" t="str">
        <f t="shared" si="38"/>
        <v>19</v>
      </c>
      <c r="E827" t="s">
        <v>901</v>
      </c>
      <c r="F827" t="s">
        <v>21</v>
      </c>
      <c r="G827" t="s">
        <v>37</v>
      </c>
      <c r="H827" s="4" t="s">
        <v>2258</v>
      </c>
      <c r="I827">
        <v>148639</v>
      </c>
      <c r="J827" s="8" t="s">
        <v>30</v>
      </c>
      <c r="K827" t="s">
        <v>151</v>
      </c>
      <c r="L827" t="s">
        <v>152</v>
      </c>
      <c r="M827" t="s">
        <v>89</v>
      </c>
      <c r="N827">
        <f t="shared" si="39"/>
        <v>7</v>
      </c>
      <c r="O827">
        <v>1</v>
      </c>
      <c r="P827" s="6">
        <v>193.18</v>
      </c>
      <c r="Q827">
        <v>9.66</v>
      </c>
      <c r="R827">
        <v>183.52</v>
      </c>
      <c r="S827">
        <v>9.18</v>
      </c>
      <c r="T827">
        <v>20</v>
      </c>
      <c r="U827">
        <v>5</v>
      </c>
      <c r="V827">
        <v>217.7</v>
      </c>
      <c r="W827" t="s">
        <v>27</v>
      </c>
      <c r="X827">
        <v>32</v>
      </c>
    </row>
    <row r="828" spans="1:24" ht="14.25" customHeight="1">
      <c r="A828" t="s">
        <v>1576</v>
      </c>
      <c r="B828" t="s">
        <v>2280</v>
      </c>
      <c r="C828" s="6" t="str">
        <f t="shared" si="37"/>
        <v>February</v>
      </c>
      <c r="D828" s="6" t="str">
        <f t="shared" si="38"/>
        <v>13</v>
      </c>
      <c r="E828" t="s">
        <v>903</v>
      </c>
      <c r="F828" t="s">
        <v>21</v>
      </c>
      <c r="G828" t="s">
        <v>74</v>
      </c>
      <c r="H828" s="4" t="s">
        <v>2258</v>
      </c>
      <c r="I828">
        <v>774932</v>
      </c>
      <c r="J828" s="8" t="s">
        <v>30</v>
      </c>
      <c r="K828" t="s">
        <v>155</v>
      </c>
      <c r="L828" t="s">
        <v>156</v>
      </c>
      <c r="M828" t="s">
        <v>71</v>
      </c>
      <c r="N828">
        <f t="shared" si="39"/>
        <v>6</v>
      </c>
      <c r="O828">
        <v>2</v>
      </c>
      <c r="P828" s="6">
        <v>160.85</v>
      </c>
      <c r="Q828">
        <v>8.0399999999999991</v>
      </c>
      <c r="R828">
        <v>313.66000000000003</v>
      </c>
      <c r="S828">
        <v>15.68</v>
      </c>
      <c r="T828">
        <v>20</v>
      </c>
      <c r="U828">
        <v>20</v>
      </c>
      <c r="V828">
        <v>369.34</v>
      </c>
      <c r="W828" t="s">
        <v>27</v>
      </c>
      <c r="X828">
        <v>20</v>
      </c>
    </row>
    <row r="829" spans="1:24" ht="14.25" customHeight="1">
      <c r="A829" t="s">
        <v>1577</v>
      </c>
      <c r="B829" t="s">
        <v>2309</v>
      </c>
      <c r="C829" s="6" t="str">
        <f t="shared" si="37"/>
        <v>February</v>
      </c>
      <c r="D829" s="6" t="str">
        <f t="shared" si="38"/>
        <v>23</v>
      </c>
      <c r="E829" t="s">
        <v>905</v>
      </c>
      <c r="F829" t="s">
        <v>21</v>
      </c>
      <c r="G829" t="s">
        <v>106</v>
      </c>
      <c r="H829" s="4" t="s">
        <v>2258</v>
      </c>
      <c r="I829">
        <v>210957</v>
      </c>
      <c r="J829" s="8" t="s">
        <v>62</v>
      </c>
      <c r="K829" t="s">
        <v>159</v>
      </c>
      <c r="L829" t="s">
        <v>160</v>
      </c>
      <c r="M829" t="s">
        <v>33</v>
      </c>
      <c r="N829">
        <f t="shared" si="39"/>
        <v>10</v>
      </c>
      <c r="O829">
        <v>2</v>
      </c>
      <c r="P829" s="6">
        <v>97.77</v>
      </c>
      <c r="Q829">
        <v>14.67</v>
      </c>
      <c r="R829">
        <v>180.87</v>
      </c>
      <c r="S829">
        <v>9.0399999999999991</v>
      </c>
      <c r="T829">
        <v>0</v>
      </c>
      <c r="U829">
        <v>15</v>
      </c>
      <c r="V829">
        <v>204.91</v>
      </c>
      <c r="W829" t="s">
        <v>27</v>
      </c>
      <c r="X829">
        <v>11</v>
      </c>
    </row>
    <row r="830" spans="1:24" ht="14.25" customHeight="1">
      <c r="A830" t="s">
        <v>1578</v>
      </c>
      <c r="B830" t="s">
        <v>2262</v>
      </c>
      <c r="C830" s="6" t="str">
        <f t="shared" si="37"/>
        <v>February</v>
      </c>
      <c r="D830" s="6" t="str">
        <f t="shared" si="38"/>
        <v>08</v>
      </c>
      <c r="E830" t="s">
        <v>907</v>
      </c>
      <c r="F830" t="s">
        <v>101</v>
      </c>
      <c r="G830" t="s">
        <v>81</v>
      </c>
      <c r="H830" s="4" t="s">
        <v>2258</v>
      </c>
      <c r="I830">
        <v>913051</v>
      </c>
      <c r="J830" s="8" t="s">
        <v>30</v>
      </c>
      <c r="K830" t="s">
        <v>163</v>
      </c>
      <c r="L830" t="s">
        <v>164</v>
      </c>
      <c r="M830" t="s">
        <v>98</v>
      </c>
      <c r="N830">
        <f t="shared" si="39"/>
        <v>4</v>
      </c>
      <c r="O830">
        <v>3</v>
      </c>
      <c r="P830" s="6">
        <v>160.77000000000001</v>
      </c>
      <c r="Q830">
        <v>8.0399999999999991</v>
      </c>
      <c r="R830">
        <v>474.27</v>
      </c>
      <c r="S830">
        <v>23.71</v>
      </c>
      <c r="T830">
        <v>30</v>
      </c>
      <c r="U830">
        <v>15</v>
      </c>
      <c r="V830">
        <v>542.98</v>
      </c>
      <c r="W830" t="s">
        <v>27</v>
      </c>
      <c r="X830">
        <v>33</v>
      </c>
    </row>
    <row r="831" spans="1:24" ht="14.25" customHeight="1">
      <c r="A831" t="s">
        <v>1579</v>
      </c>
      <c r="B831" t="s">
        <v>2288</v>
      </c>
      <c r="C831" s="6" t="str">
        <f t="shared" si="37"/>
        <v>January</v>
      </c>
      <c r="D831" s="6" t="str">
        <f t="shared" si="38"/>
        <v>27</v>
      </c>
      <c r="E831" t="s">
        <v>909</v>
      </c>
      <c r="F831" t="s">
        <v>21</v>
      </c>
      <c r="G831" t="s">
        <v>74</v>
      </c>
      <c r="H831" s="4" t="s">
        <v>2258</v>
      </c>
      <c r="I831">
        <v>785328</v>
      </c>
      <c r="J831" s="8" t="s">
        <v>30</v>
      </c>
      <c r="K831" t="s">
        <v>167</v>
      </c>
      <c r="L831" t="s">
        <v>168</v>
      </c>
      <c r="M831" t="s">
        <v>140</v>
      </c>
      <c r="N831">
        <f t="shared" si="39"/>
        <v>3</v>
      </c>
      <c r="O831">
        <v>4</v>
      </c>
      <c r="P831" s="6">
        <v>64.569999999999993</v>
      </c>
      <c r="Q831">
        <v>3.23</v>
      </c>
      <c r="R831">
        <v>255.05</v>
      </c>
      <c r="S831">
        <v>12.75</v>
      </c>
      <c r="T831">
        <v>30</v>
      </c>
      <c r="U831">
        <v>10</v>
      </c>
      <c r="V831">
        <v>307.8</v>
      </c>
      <c r="W831" t="s">
        <v>84</v>
      </c>
      <c r="X831">
        <v>25</v>
      </c>
    </row>
    <row r="832" spans="1:24" ht="14.25" customHeight="1">
      <c r="A832" t="s">
        <v>1580</v>
      </c>
      <c r="B832" t="s">
        <v>2311</v>
      </c>
      <c r="C832" s="6" t="str">
        <f t="shared" si="37"/>
        <v>January</v>
      </c>
      <c r="D832" s="6" t="str">
        <f t="shared" si="38"/>
        <v>10</v>
      </c>
      <c r="E832" t="s">
        <v>911</v>
      </c>
      <c r="F832" t="s">
        <v>80</v>
      </c>
      <c r="G832" t="s">
        <v>81</v>
      </c>
      <c r="H832" s="4" t="s">
        <v>2258</v>
      </c>
      <c r="I832">
        <v>714985</v>
      </c>
      <c r="J832" s="8" t="s">
        <v>2348</v>
      </c>
      <c r="K832" t="s">
        <v>171</v>
      </c>
      <c r="L832" t="s">
        <v>172</v>
      </c>
      <c r="M832" t="s">
        <v>140</v>
      </c>
      <c r="N832">
        <f t="shared" si="39"/>
        <v>3</v>
      </c>
      <c r="O832">
        <v>4</v>
      </c>
      <c r="P832" s="6">
        <v>56.11</v>
      </c>
      <c r="Q832">
        <v>5.61</v>
      </c>
      <c r="R832">
        <v>218.83</v>
      </c>
      <c r="S832">
        <v>10.94</v>
      </c>
      <c r="T832">
        <v>0</v>
      </c>
      <c r="U832">
        <v>20</v>
      </c>
      <c r="V832">
        <v>249.77</v>
      </c>
      <c r="W832" t="s">
        <v>27</v>
      </c>
      <c r="X832">
        <v>17</v>
      </c>
    </row>
    <row r="833" spans="1:24" ht="14.25" customHeight="1">
      <c r="A833" t="s">
        <v>1581</v>
      </c>
      <c r="B833" t="s">
        <v>2304</v>
      </c>
      <c r="C833" s="6" t="str">
        <f t="shared" si="37"/>
        <v>January</v>
      </c>
      <c r="D833" s="6" t="str">
        <f t="shared" si="38"/>
        <v>26</v>
      </c>
      <c r="E833" t="s">
        <v>913</v>
      </c>
      <c r="F833" t="s">
        <v>21</v>
      </c>
      <c r="G833" t="s">
        <v>74</v>
      </c>
      <c r="H833" s="4" t="s">
        <v>2258</v>
      </c>
      <c r="I833">
        <v>931187</v>
      </c>
      <c r="J833" s="8" t="s">
        <v>30</v>
      </c>
      <c r="K833" t="s">
        <v>175</v>
      </c>
      <c r="L833" t="s">
        <v>176</v>
      </c>
      <c r="M833" t="s">
        <v>71</v>
      </c>
      <c r="N833">
        <f t="shared" si="39"/>
        <v>6</v>
      </c>
      <c r="O833">
        <v>4</v>
      </c>
      <c r="P833" s="6">
        <v>180.09</v>
      </c>
      <c r="Q833">
        <v>27.01</v>
      </c>
      <c r="R833">
        <v>693.35</v>
      </c>
      <c r="S833">
        <v>34.67</v>
      </c>
      <c r="T833">
        <v>30</v>
      </c>
      <c r="U833">
        <v>0</v>
      </c>
      <c r="V833">
        <v>758.02</v>
      </c>
      <c r="W833" t="s">
        <v>27</v>
      </c>
      <c r="X833">
        <v>23</v>
      </c>
    </row>
    <row r="834" spans="1:24" ht="14.25" customHeight="1">
      <c r="A834" t="s">
        <v>1582</v>
      </c>
      <c r="B834" t="s">
        <v>2270</v>
      </c>
      <c r="C834" s="6" t="str">
        <f t="shared" si="37"/>
        <v>January</v>
      </c>
      <c r="D834" s="6" t="str">
        <f t="shared" si="38"/>
        <v>19</v>
      </c>
      <c r="E834" t="s">
        <v>915</v>
      </c>
      <c r="F834" t="s">
        <v>21</v>
      </c>
      <c r="G834" t="s">
        <v>74</v>
      </c>
      <c r="H834" s="4" t="s">
        <v>2258</v>
      </c>
      <c r="I834">
        <v>294824</v>
      </c>
      <c r="J834" s="8" t="s">
        <v>2345</v>
      </c>
      <c r="K834" t="s">
        <v>180</v>
      </c>
      <c r="L834" t="s">
        <v>181</v>
      </c>
      <c r="M834" t="s">
        <v>65</v>
      </c>
      <c r="N834">
        <f t="shared" si="39"/>
        <v>6</v>
      </c>
      <c r="O834">
        <v>2</v>
      </c>
      <c r="P834" s="6">
        <v>219.72</v>
      </c>
      <c r="Q834">
        <v>10.99</v>
      </c>
      <c r="R834">
        <v>428.45</v>
      </c>
      <c r="S834">
        <v>21.42</v>
      </c>
      <c r="T834">
        <v>30</v>
      </c>
      <c r="U834">
        <v>10</v>
      </c>
      <c r="V834">
        <v>489.87</v>
      </c>
      <c r="W834" t="s">
        <v>27</v>
      </c>
      <c r="X834">
        <v>21</v>
      </c>
    </row>
    <row r="835" spans="1:24" ht="14.25" customHeight="1">
      <c r="A835" t="s">
        <v>1583</v>
      </c>
      <c r="B835" t="s">
        <v>2262</v>
      </c>
      <c r="C835" s="6" t="str">
        <f t="shared" ref="C835:C898" si="40">TEXT(B835,"mmmm")</f>
        <v>February</v>
      </c>
      <c r="D835" s="6" t="str">
        <f t="shared" ref="D835:D898" si="41">TEXT(B835,"dd")</f>
        <v>08</v>
      </c>
      <c r="E835" t="s">
        <v>917</v>
      </c>
      <c r="F835" t="s">
        <v>21</v>
      </c>
      <c r="G835" t="s">
        <v>74</v>
      </c>
      <c r="H835" s="4" t="s">
        <v>2258</v>
      </c>
      <c r="I835">
        <v>899448</v>
      </c>
      <c r="J835" s="8" t="s">
        <v>2349</v>
      </c>
      <c r="K835" t="s">
        <v>184</v>
      </c>
      <c r="L835" t="s">
        <v>185</v>
      </c>
      <c r="M835" t="s">
        <v>98</v>
      </c>
      <c r="N835">
        <f t="shared" si="39"/>
        <v>4</v>
      </c>
      <c r="O835">
        <v>3</v>
      </c>
      <c r="P835" s="6">
        <v>129.97</v>
      </c>
      <c r="Q835">
        <v>0</v>
      </c>
      <c r="R835">
        <v>389.91</v>
      </c>
      <c r="S835">
        <v>19.5</v>
      </c>
      <c r="T835">
        <v>20</v>
      </c>
      <c r="U835">
        <v>20</v>
      </c>
      <c r="V835">
        <v>449.41</v>
      </c>
      <c r="W835" t="s">
        <v>27</v>
      </c>
      <c r="X835">
        <v>22</v>
      </c>
    </row>
    <row r="836" spans="1:24" ht="14.25" customHeight="1">
      <c r="A836" t="s">
        <v>1584</v>
      </c>
      <c r="B836" t="s">
        <v>2277</v>
      </c>
      <c r="C836" s="6" t="str">
        <f t="shared" si="40"/>
        <v>January</v>
      </c>
      <c r="D836" s="6" t="str">
        <f t="shared" si="41"/>
        <v>03</v>
      </c>
      <c r="E836" t="s">
        <v>919</v>
      </c>
      <c r="F836" t="s">
        <v>21</v>
      </c>
      <c r="G836" t="s">
        <v>37</v>
      </c>
      <c r="H836" s="4" t="s">
        <v>2258</v>
      </c>
      <c r="I836">
        <v>221169</v>
      </c>
      <c r="J836" s="8" t="s">
        <v>30</v>
      </c>
      <c r="K836" t="s">
        <v>188</v>
      </c>
      <c r="L836" t="s">
        <v>189</v>
      </c>
      <c r="M836" t="s">
        <v>26</v>
      </c>
      <c r="N836">
        <f t="shared" si="39"/>
        <v>3</v>
      </c>
      <c r="O836">
        <v>6</v>
      </c>
      <c r="P836" s="6">
        <v>119.39</v>
      </c>
      <c r="Q836">
        <v>17.91</v>
      </c>
      <c r="R836">
        <v>698.43000000000006</v>
      </c>
      <c r="S836">
        <v>34.92</v>
      </c>
      <c r="T836">
        <v>20</v>
      </c>
      <c r="U836">
        <v>10</v>
      </c>
      <c r="V836">
        <v>763.35</v>
      </c>
      <c r="W836" t="s">
        <v>117</v>
      </c>
      <c r="X836">
        <v>25</v>
      </c>
    </row>
    <row r="837" spans="1:24" ht="14.25" customHeight="1">
      <c r="A837" t="s">
        <v>1585</v>
      </c>
      <c r="B837" t="s">
        <v>2314</v>
      </c>
      <c r="C837" s="6" t="str">
        <f t="shared" si="40"/>
        <v>February</v>
      </c>
      <c r="D837" s="6" t="str">
        <f t="shared" si="41"/>
        <v>14</v>
      </c>
      <c r="E837" t="s">
        <v>921</v>
      </c>
      <c r="F837" t="s">
        <v>21</v>
      </c>
      <c r="G837" t="s">
        <v>68</v>
      </c>
      <c r="H837" s="4" t="s">
        <v>2258</v>
      </c>
      <c r="I837">
        <v>494002</v>
      </c>
      <c r="J837" s="8" t="s">
        <v>2349</v>
      </c>
      <c r="K837" t="s">
        <v>192</v>
      </c>
      <c r="L837" t="s">
        <v>193</v>
      </c>
      <c r="M837" t="s">
        <v>45</v>
      </c>
      <c r="N837">
        <f t="shared" si="39"/>
        <v>6</v>
      </c>
      <c r="O837">
        <v>3</v>
      </c>
      <c r="P837" s="6">
        <v>71.22</v>
      </c>
      <c r="Q837">
        <v>0</v>
      </c>
      <c r="R837">
        <v>213.66</v>
      </c>
      <c r="S837">
        <v>10.68</v>
      </c>
      <c r="T837">
        <v>30</v>
      </c>
      <c r="U837">
        <v>0</v>
      </c>
      <c r="V837">
        <v>254.34</v>
      </c>
      <c r="W837" t="s">
        <v>27</v>
      </c>
      <c r="X837">
        <v>33</v>
      </c>
    </row>
    <row r="838" spans="1:24" ht="14.25" customHeight="1">
      <c r="A838" t="s">
        <v>1586</v>
      </c>
      <c r="B838" t="s">
        <v>2318</v>
      </c>
      <c r="C838" s="6" t="str">
        <f t="shared" si="40"/>
        <v>January</v>
      </c>
      <c r="D838" s="6" t="str">
        <f t="shared" si="41"/>
        <v>13</v>
      </c>
      <c r="E838" t="s">
        <v>923</v>
      </c>
      <c r="F838" t="s">
        <v>21</v>
      </c>
      <c r="G838" t="s">
        <v>37</v>
      </c>
      <c r="H838" s="4" t="s">
        <v>2258</v>
      </c>
      <c r="I838">
        <v>778960</v>
      </c>
      <c r="J838" s="8" t="s">
        <v>2349</v>
      </c>
      <c r="K838" t="s">
        <v>196</v>
      </c>
      <c r="L838" t="s">
        <v>197</v>
      </c>
      <c r="M838" t="s">
        <v>26</v>
      </c>
      <c r="N838">
        <f t="shared" si="39"/>
        <v>3</v>
      </c>
      <c r="O838">
        <v>3</v>
      </c>
      <c r="P838" s="6">
        <v>86.24</v>
      </c>
      <c r="Q838">
        <v>8.6199999999999992</v>
      </c>
      <c r="R838">
        <v>250.1</v>
      </c>
      <c r="S838">
        <v>12.5</v>
      </c>
      <c r="T838">
        <v>10</v>
      </c>
      <c r="U838">
        <v>20</v>
      </c>
      <c r="V838">
        <v>292.60000000000002</v>
      </c>
      <c r="W838" t="s">
        <v>27</v>
      </c>
      <c r="X838">
        <v>20</v>
      </c>
    </row>
    <row r="839" spans="1:24" ht="14.25" customHeight="1">
      <c r="A839" t="s">
        <v>1587</v>
      </c>
      <c r="B839" t="s">
        <v>2303</v>
      </c>
      <c r="C839" s="6" t="str">
        <f t="shared" si="40"/>
        <v>February</v>
      </c>
      <c r="D839" s="6" t="str">
        <f t="shared" si="41"/>
        <v>19</v>
      </c>
      <c r="E839" t="s">
        <v>925</v>
      </c>
      <c r="F839" t="s">
        <v>21</v>
      </c>
      <c r="G839" t="s">
        <v>68</v>
      </c>
      <c r="H839" s="4" t="s">
        <v>2258</v>
      </c>
      <c r="I839">
        <v>205315</v>
      </c>
      <c r="J839" s="8" t="s">
        <v>2346</v>
      </c>
      <c r="K839" t="s">
        <v>200</v>
      </c>
      <c r="L839" t="s">
        <v>201</v>
      </c>
      <c r="M839" t="s">
        <v>55</v>
      </c>
      <c r="N839">
        <f t="shared" si="39"/>
        <v>5</v>
      </c>
      <c r="O839">
        <v>4</v>
      </c>
      <c r="P839" s="6">
        <v>159.88</v>
      </c>
      <c r="Q839">
        <v>0</v>
      </c>
      <c r="R839">
        <v>639.52</v>
      </c>
      <c r="S839">
        <v>31.98</v>
      </c>
      <c r="T839">
        <v>10</v>
      </c>
      <c r="U839">
        <v>15</v>
      </c>
      <c r="V839">
        <v>696.5</v>
      </c>
      <c r="W839" t="s">
        <v>27</v>
      </c>
      <c r="X839">
        <v>19</v>
      </c>
    </row>
    <row r="840" spans="1:24" ht="14.25" customHeight="1">
      <c r="A840" t="s">
        <v>1588</v>
      </c>
      <c r="B840" t="s">
        <v>2291</v>
      </c>
      <c r="C840" s="6" t="str">
        <f t="shared" si="40"/>
        <v>January</v>
      </c>
      <c r="D840" s="6" t="str">
        <f t="shared" si="41"/>
        <v>28</v>
      </c>
      <c r="E840" t="s">
        <v>927</v>
      </c>
      <c r="F840" t="s">
        <v>21</v>
      </c>
      <c r="G840" t="s">
        <v>37</v>
      </c>
      <c r="H840" s="4" t="s">
        <v>2258</v>
      </c>
      <c r="I840">
        <v>795139</v>
      </c>
      <c r="J840" s="8" t="s">
        <v>2348</v>
      </c>
      <c r="K840" t="s">
        <v>204</v>
      </c>
      <c r="L840" t="s">
        <v>205</v>
      </c>
      <c r="M840" t="s">
        <v>26</v>
      </c>
      <c r="N840">
        <f t="shared" si="39"/>
        <v>3</v>
      </c>
      <c r="O840">
        <v>1</v>
      </c>
      <c r="P840" s="6">
        <v>72.61</v>
      </c>
      <c r="Q840">
        <v>10.89</v>
      </c>
      <c r="R840">
        <v>61.72</v>
      </c>
      <c r="S840">
        <v>3.09</v>
      </c>
      <c r="T840">
        <v>20</v>
      </c>
      <c r="U840">
        <v>15</v>
      </c>
      <c r="V840">
        <v>99.81</v>
      </c>
      <c r="W840" t="s">
        <v>27</v>
      </c>
      <c r="X840">
        <v>11</v>
      </c>
    </row>
    <row r="841" spans="1:24" ht="14.25" customHeight="1">
      <c r="A841" t="s">
        <v>1589</v>
      </c>
      <c r="B841" t="s">
        <v>2269</v>
      </c>
      <c r="C841" s="6" t="str">
        <f t="shared" si="40"/>
        <v>February</v>
      </c>
      <c r="D841" s="6" t="str">
        <f t="shared" si="41"/>
        <v>27</v>
      </c>
      <c r="E841" t="s">
        <v>929</v>
      </c>
      <c r="F841" t="s">
        <v>21</v>
      </c>
      <c r="G841" t="s">
        <v>68</v>
      </c>
      <c r="H841" s="4" t="s">
        <v>2258</v>
      </c>
      <c r="I841">
        <v>764704</v>
      </c>
      <c r="J841" s="8" t="s">
        <v>2347</v>
      </c>
      <c r="K841" t="s">
        <v>208</v>
      </c>
      <c r="L841" t="s">
        <v>209</v>
      </c>
      <c r="M841" t="s">
        <v>65</v>
      </c>
      <c r="N841">
        <f t="shared" si="39"/>
        <v>6</v>
      </c>
      <c r="O841">
        <v>3</v>
      </c>
      <c r="P841" s="6">
        <v>13.74</v>
      </c>
      <c r="Q841">
        <v>2.06</v>
      </c>
      <c r="R841">
        <v>39.159999999999997</v>
      </c>
      <c r="S841">
        <v>1.96</v>
      </c>
      <c r="T841">
        <v>0</v>
      </c>
      <c r="U841">
        <v>10</v>
      </c>
      <c r="V841">
        <v>51.12</v>
      </c>
      <c r="W841" t="s">
        <v>27</v>
      </c>
      <c r="X841">
        <v>29</v>
      </c>
    </row>
    <row r="842" spans="1:24" ht="14.25" customHeight="1">
      <c r="A842" t="s">
        <v>1590</v>
      </c>
      <c r="B842" t="s">
        <v>2305</v>
      </c>
      <c r="C842" s="6" t="str">
        <f t="shared" si="40"/>
        <v>January</v>
      </c>
      <c r="D842" s="6" t="str">
        <f t="shared" si="41"/>
        <v>20</v>
      </c>
      <c r="E842" t="s">
        <v>931</v>
      </c>
      <c r="F842" t="s">
        <v>21</v>
      </c>
      <c r="G842" t="s">
        <v>22</v>
      </c>
      <c r="H842" s="4" t="s">
        <v>2258</v>
      </c>
      <c r="I842">
        <v>165679</v>
      </c>
      <c r="J842" s="8" t="s">
        <v>30</v>
      </c>
      <c r="K842" t="s">
        <v>212</v>
      </c>
      <c r="L842" t="s">
        <v>213</v>
      </c>
      <c r="M842" t="s">
        <v>55</v>
      </c>
      <c r="N842">
        <f t="shared" si="39"/>
        <v>5</v>
      </c>
      <c r="O842">
        <v>3</v>
      </c>
      <c r="P842" s="6">
        <v>117.02</v>
      </c>
      <c r="Q842">
        <v>5.85</v>
      </c>
      <c r="R842">
        <v>345.21</v>
      </c>
      <c r="S842">
        <v>17.260000000000002</v>
      </c>
      <c r="T842">
        <v>0</v>
      </c>
      <c r="U842">
        <v>0</v>
      </c>
      <c r="V842">
        <v>362.47</v>
      </c>
      <c r="W842" t="s">
        <v>27</v>
      </c>
      <c r="X842">
        <v>4</v>
      </c>
    </row>
    <row r="843" spans="1:24" ht="14.25" customHeight="1">
      <c r="A843" t="s">
        <v>1591</v>
      </c>
      <c r="B843" t="s">
        <v>2291</v>
      </c>
      <c r="C843" s="6" t="str">
        <f t="shared" si="40"/>
        <v>January</v>
      </c>
      <c r="D843" s="6" t="str">
        <f t="shared" si="41"/>
        <v>28</v>
      </c>
      <c r="E843" t="s">
        <v>933</v>
      </c>
      <c r="F843" t="s">
        <v>80</v>
      </c>
      <c r="G843" t="s">
        <v>81</v>
      </c>
      <c r="H843" s="4" t="s">
        <v>2258</v>
      </c>
      <c r="I843">
        <v>455398</v>
      </c>
      <c r="J843" s="8" t="s">
        <v>30</v>
      </c>
      <c r="K843" t="s">
        <v>216</v>
      </c>
      <c r="L843" t="s">
        <v>217</v>
      </c>
      <c r="M843" t="s">
        <v>140</v>
      </c>
      <c r="N843">
        <f t="shared" si="39"/>
        <v>3</v>
      </c>
      <c r="O843">
        <v>2</v>
      </c>
      <c r="P843" s="6">
        <v>110.98</v>
      </c>
      <c r="Q843">
        <v>5.55</v>
      </c>
      <c r="R843">
        <v>216.41</v>
      </c>
      <c r="S843">
        <v>10.82</v>
      </c>
      <c r="T843">
        <v>10</v>
      </c>
      <c r="U843">
        <v>10</v>
      </c>
      <c r="V843">
        <v>247.23</v>
      </c>
      <c r="W843" t="s">
        <v>117</v>
      </c>
      <c r="X843">
        <v>25</v>
      </c>
    </row>
    <row r="844" spans="1:24" ht="14.25" customHeight="1">
      <c r="A844" t="s">
        <v>1592</v>
      </c>
      <c r="B844" t="s">
        <v>2267</v>
      </c>
      <c r="C844" s="6" t="str">
        <f t="shared" si="40"/>
        <v>January</v>
      </c>
      <c r="D844" s="6" t="str">
        <f t="shared" si="41"/>
        <v>08</v>
      </c>
      <c r="E844" t="s">
        <v>935</v>
      </c>
      <c r="F844" t="s">
        <v>21</v>
      </c>
      <c r="G844" t="s">
        <v>22</v>
      </c>
      <c r="H844" s="4" t="s">
        <v>2258</v>
      </c>
      <c r="I844">
        <v>800614</v>
      </c>
      <c r="J844" s="8" t="s">
        <v>2345</v>
      </c>
      <c r="K844" t="s">
        <v>220</v>
      </c>
      <c r="L844" t="s">
        <v>221</v>
      </c>
      <c r="M844" t="s">
        <v>45</v>
      </c>
      <c r="N844">
        <f t="shared" si="39"/>
        <v>6</v>
      </c>
      <c r="O844">
        <v>2</v>
      </c>
      <c r="P844" s="6">
        <v>64.77</v>
      </c>
      <c r="Q844">
        <v>6.48</v>
      </c>
      <c r="R844">
        <v>123.06</v>
      </c>
      <c r="S844">
        <v>6.15</v>
      </c>
      <c r="T844">
        <v>30</v>
      </c>
      <c r="U844">
        <v>0</v>
      </c>
      <c r="V844">
        <v>159.21</v>
      </c>
      <c r="W844" t="s">
        <v>34</v>
      </c>
      <c r="X844">
        <v>25</v>
      </c>
    </row>
    <row r="845" spans="1:24" ht="14.25" customHeight="1">
      <c r="A845" t="s">
        <v>1593</v>
      </c>
      <c r="B845" t="s">
        <v>2315</v>
      </c>
      <c r="C845" s="6" t="str">
        <f t="shared" si="40"/>
        <v>February</v>
      </c>
      <c r="D845" s="6" t="str">
        <f t="shared" si="41"/>
        <v>10</v>
      </c>
      <c r="E845" t="s">
        <v>937</v>
      </c>
      <c r="F845" t="s">
        <v>21</v>
      </c>
      <c r="G845" t="s">
        <v>106</v>
      </c>
      <c r="H845" s="4" t="s">
        <v>2258</v>
      </c>
      <c r="I845">
        <v>125739</v>
      </c>
      <c r="J845" s="8" t="s">
        <v>62</v>
      </c>
      <c r="K845" t="s">
        <v>224</v>
      </c>
      <c r="L845" t="s">
        <v>225</v>
      </c>
      <c r="M845" t="s">
        <v>98</v>
      </c>
      <c r="N845">
        <f t="shared" ref="N845:N908" si="42">LEN(M845)</f>
        <v>4</v>
      </c>
      <c r="O845">
        <v>2</v>
      </c>
      <c r="P845" s="6">
        <v>138.97999999999999</v>
      </c>
      <c r="Q845">
        <v>13.9</v>
      </c>
      <c r="R845">
        <v>264.06</v>
      </c>
      <c r="S845">
        <v>13.2</v>
      </c>
      <c r="T845">
        <v>0</v>
      </c>
      <c r="U845">
        <v>5</v>
      </c>
      <c r="V845">
        <v>282.26</v>
      </c>
      <c r="W845" t="s">
        <v>27</v>
      </c>
      <c r="X845">
        <v>16</v>
      </c>
    </row>
    <row r="846" spans="1:24" ht="14.25" customHeight="1">
      <c r="A846" t="s">
        <v>1594</v>
      </c>
      <c r="B846" t="s">
        <v>2262</v>
      </c>
      <c r="C846" s="6" t="str">
        <f t="shared" si="40"/>
        <v>February</v>
      </c>
      <c r="D846" s="6" t="str">
        <f t="shared" si="41"/>
        <v>08</v>
      </c>
      <c r="E846" t="s">
        <v>939</v>
      </c>
      <c r="F846" t="s">
        <v>21</v>
      </c>
      <c r="G846" t="s">
        <v>68</v>
      </c>
      <c r="H846" s="4" t="s">
        <v>2258</v>
      </c>
      <c r="I846">
        <v>135709</v>
      </c>
      <c r="J846" s="8" t="s">
        <v>30</v>
      </c>
      <c r="K846" t="s">
        <v>228</v>
      </c>
      <c r="L846" t="s">
        <v>229</v>
      </c>
      <c r="M846" t="s">
        <v>65</v>
      </c>
      <c r="N846">
        <f t="shared" si="42"/>
        <v>6</v>
      </c>
      <c r="O846">
        <v>3</v>
      </c>
      <c r="P846" s="6">
        <v>198.2</v>
      </c>
      <c r="Q846">
        <v>29.73</v>
      </c>
      <c r="R846">
        <v>564.86999999999989</v>
      </c>
      <c r="S846">
        <v>28.24</v>
      </c>
      <c r="T846">
        <v>10</v>
      </c>
      <c r="U846">
        <v>10</v>
      </c>
      <c r="V846">
        <v>613.1099999999999</v>
      </c>
      <c r="W846" t="s">
        <v>27</v>
      </c>
      <c r="X846">
        <v>22</v>
      </c>
    </row>
    <row r="847" spans="1:24" ht="14.25" customHeight="1">
      <c r="A847" t="s">
        <v>1595</v>
      </c>
      <c r="B847" t="s">
        <v>2316</v>
      </c>
      <c r="C847" s="6" t="str">
        <f t="shared" si="40"/>
        <v>January</v>
      </c>
      <c r="D847" s="6" t="str">
        <f t="shared" si="41"/>
        <v>01</v>
      </c>
      <c r="E847" t="s">
        <v>941</v>
      </c>
      <c r="F847" t="s">
        <v>21</v>
      </c>
      <c r="G847" t="s">
        <v>37</v>
      </c>
      <c r="H847" s="4" t="s">
        <v>2258</v>
      </c>
      <c r="I847">
        <v>629787</v>
      </c>
      <c r="J847" s="8" t="s">
        <v>2347</v>
      </c>
      <c r="K847" t="s">
        <v>232</v>
      </c>
      <c r="L847" t="s">
        <v>233</v>
      </c>
      <c r="M847" t="s">
        <v>40</v>
      </c>
      <c r="N847">
        <f t="shared" si="42"/>
        <v>6</v>
      </c>
      <c r="O847">
        <v>3</v>
      </c>
      <c r="P847" s="6">
        <v>31.09</v>
      </c>
      <c r="Q847">
        <v>0</v>
      </c>
      <c r="R847">
        <v>93.27</v>
      </c>
      <c r="S847">
        <v>4.66</v>
      </c>
      <c r="T847">
        <v>10</v>
      </c>
      <c r="U847">
        <v>15</v>
      </c>
      <c r="V847">
        <v>122.93</v>
      </c>
      <c r="W847" t="s">
        <v>27</v>
      </c>
      <c r="X847">
        <v>24</v>
      </c>
    </row>
    <row r="848" spans="1:24" ht="14.25" customHeight="1">
      <c r="A848" t="s">
        <v>1596</v>
      </c>
      <c r="B848" t="s">
        <v>2277</v>
      </c>
      <c r="C848" s="6" t="str">
        <f t="shared" si="40"/>
        <v>January</v>
      </c>
      <c r="D848" s="6" t="str">
        <f t="shared" si="41"/>
        <v>03</v>
      </c>
      <c r="E848" t="s">
        <v>943</v>
      </c>
      <c r="F848" t="s">
        <v>21</v>
      </c>
      <c r="G848" t="s">
        <v>22</v>
      </c>
      <c r="H848" s="4" t="s">
        <v>2258</v>
      </c>
      <c r="I848">
        <v>760354</v>
      </c>
      <c r="J848" s="8" t="s">
        <v>2347</v>
      </c>
      <c r="K848" t="s">
        <v>236</v>
      </c>
      <c r="L848" t="s">
        <v>237</v>
      </c>
      <c r="M848" t="s">
        <v>65</v>
      </c>
      <c r="N848">
        <f t="shared" si="42"/>
        <v>6</v>
      </c>
      <c r="O848">
        <v>2</v>
      </c>
      <c r="P848" s="6">
        <v>132.72999999999999</v>
      </c>
      <c r="Q848">
        <v>19.91</v>
      </c>
      <c r="R848">
        <v>245.55</v>
      </c>
      <c r="S848">
        <v>12.28</v>
      </c>
      <c r="T848">
        <v>0</v>
      </c>
      <c r="U848">
        <v>10</v>
      </c>
      <c r="V848">
        <v>267.83</v>
      </c>
      <c r="W848" t="s">
        <v>27</v>
      </c>
      <c r="X848">
        <v>35</v>
      </c>
    </row>
    <row r="849" spans="1:24" ht="14.25" customHeight="1">
      <c r="A849" t="s">
        <v>1597</v>
      </c>
      <c r="B849" t="s">
        <v>2318</v>
      </c>
      <c r="C849" s="6" t="str">
        <f t="shared" si="40"/>
        <v>January</v>
      </c>
      <c r="D849" s="6" t="str">
        <f t="shared" si="41"/>
        <v>13</v>
      </c>
      <c r="E849" t="s">
        <v>945</v>
      </c>
      <c r="F849" t="s">
        <v>101</v>
      </c>
      <c r="G849" t="s">
        <v>81</v>
      </c>
      <c r="H849" s="4" t="s">
        <v>2258</v>
      </c>
      <c r="I849">
        <v>394499</v>
      </c>
      <c r="J849" s="8" t="s">
        <v>2347</v>
      </c>
      <c r="K849" t="s">
        <v>240</v>
      </c>
      <c r="L849" t="s">
        <v>241</v>
      </c>
      <c r="M849" t="s">
        <v>89</v>
      </c>
      <c r="N849">
        <f t="shared" si="42"/>
        <v>7</v>
      </c>
      <c r="O849">
        <v>3</v>
      </c>
      <c r="P849" s="6">
        <v>175.96</v>
      </c>
      <c r="Q849">
        <v>0</v>
      </c>
      <c r="R849">
        <v>527.88</v>
      </c>
      <c r="S849">
        <v>26.39</v>
      </c>
      <c r="T849">
        <v>30</v>
      </c>
      <c r="U849">
        <v>15</v>
      </c>
      <c r="V849">
        <v>599.27</v>
      </c>
      <c r="W849" t="s">
        <v>34</v>
      </c>
      <c r="X849">
        <v>25</v>
      </c>
    </row>
    <row r="850" spans="1:24" ht="14.25" customHeight="1">
      <c r="A850" t="s">
        <v>1598</v>
      </c>
      <c r="B850" t="s">
        <v>2291</v>
      </c>
      <c r="C850" s="6" t="str">
        <f t="shared" si="40"/>
        <v>January</v>
      </c>
      <c r="D850" s="6" t="str">
        <f t="shared" si="41"/>
        <v>28</v>
      </c>
      <c r="E850" t="s">
        <v>947</v>
      </c>
      <c r="F850" t="s">
        <v>101</v>
      </c>
      <c r="G850" t="s">
        <v>81</v>
      </c>
      <c r="H850" s="4" t="s">
        <v>2258</v>
      </c>
      <c r="I850">
        <v>875359</v>
      </c>
      <c r="J850" s="8" t="s">
        <v>2347</v>
      </c>
      <c r="K850" t="s">
        <v>244</v>
      </c>
      <c r="L850" t="s">
        <v>245</v>
      </c>
      <c r="M850" t="s">
        <v>130</v>
      </c>
      <c r="N850">
        <f t="shared" si="42"/>
        <v>7</v>
      </c>
      <c r="O850">
        <v>1</v>
      </c>
      <c r="P850" s="6">
        <v>66.430000000000007</v>
      </c>
      <c r="Q850">
        <v>6.64</v>
      </c>
      <c r="R850">
        <v>59.790000000000013</v>
      </c>
      <c r="S850">
        <v>2.99</v>
      </c>
      <c r="T850">
        <v>10</v>
      </c>
      <c r="U850">
        <v>0</v>
      </c>
      <c r="V850">
        <v>72.78</v>
      </c>
      <c r="W850" t="s">
        <v>27</v>
      </c>
      <c r="X850">
        <v>30</v>
      </c>
    </row>
    <row r="851" spans="1:24" ht="14.25" customHeight="1">
      <c r="A851" t="s">
        <v>1599</v>
      </c>
      <c r="B851" t="s">
        <v>2296</v>
      </c>
      <c r="C851" s="6" t="str">
        <f t="shared" si="40"/>
        <v>February</v>
      </c>
      <c r="D851" s="6" t="str">
        <f t="shared" si="41"/>
        <v>26</v>
      </c>
      <c r="E851" t="s">
        <v>949</v>
      </c>
      <c r="F851" t="s">
        <v>21</v>
      </c>
      <c r="G851" t="s">
        <v>22</v>
      </c>
      <c r="H851" s="4" t="s">
        <v>2258</v>
      </c>
      <c r="I851">
        <v>447186</v>
      </c>
      <c r="J851" s="8" t="s">
        <v>2346</v>
      </c>
      <c r="K851" t="s">
        <v>248</v>
      </c>
      <c r="L851" t="s">
        <v>249</v>
      </c>
      <c r="M851" t="s">
        <v>140</v>
      </c>
      <c r="N851">
        <f t="shared" si="42"/>
        <v>3</v>
      </c>
      <c r="O851">
        <v>5</v>
      </c>
      <c r="P851" s="6">
        <v>120.98</v>
      </c>
      <c r="Q851">
        <v>6.05</v>
      </c>
      <c r="R851">
        <v>598.85</v>
      </c>
      <c r="S851">
        <v>29.94</v>
      </c>
      <c r="T851">
        <v>10</v>
      </c>
      <c r="U851">
        <v>10</v>
      </c>
      <c r="V851">
        <v>648.79000000000008</v>
      </c>
      <c r="W851" t="s">
        <v>27</v>
      </c>
      <c r="X851">
        <v>42</v>
      </c>
    </row>
    <row r="852" spans="1:24" ht="14.25" customHeight="1">
      <c r="A852" t="s">
        <v>1600</v>
      </c>
      <c r="B852" t="s">
        <v>2283</v>
      </c>
      <c r="C852" s="6" t="str">
        <f t="shared" si="40"/>
        <v>March</v>
      </c>
      <c r="D852" s="6" t="str">
        <f t="shared" si="41"/>
        <v>01</v>
      </c>
      <c r="E852" t="s">
        <v>951</v>
      </c>
      <c r="F852" t="s">
        <v>101</v>
      </c>
      <c r="G852" t="s">
        <v>81</v>
      </c>
      <c r="H852" s="4" t="s">
        <v>2258</v>
      </c>
      <c r="I852">
        <v>253956</v>
      </c>
      <c r="J852" s="8" t="s">
        <v>30</v>
      </c>
      <c r="K852" t="s">
        <v>252</v>
      </c>
      <c r="L852" t="s">
        <v>253</v>
      </c>
      <c r="M852" t="s">
        <v>55</v>
      </c>
      <c r="N852">
        <f t="shared" si="42"/>
        <v>5</v>
      </c>
      <c r="O852">
        <v>1</v>
      </c>
      <c r="P852" s="6">
        <v>68.61</v>
      </c>
      <c r="Q852">
        <v>0</v>
      </c>
      <c r="R852">
        <v>68.61</v>
      </c>
      <c r="S852">
        <v>3.43</v>
      </c>
      <c r="T852">
        <v>0</v>
      </c>
      <c r="U852">
        <v>5</v>
      </c>
      <c r="V852">
        <v>77.040000000000006</v>
      </c>
      <c r="W852" t="s">
        <v>84</v>
      </c>
      <c r="X852">
        <v>25</v>
      </c>
    </row>
    <row r="853" spans="1:24" ht="14.25" customHeight="1">
      <c r="A853" t="s">
        <v>1601</v>
      </c>
      <c r="B853" t="s">
        <v>2287</v>
      </c>
      <c r="C853" s="6" t="str">
        <f t="shared" si="40"/>
        <v>February</v>
      </c>
      <c r="D853" s="6" t="str">
        <f t="shared" si="41"/>
        <v>18</v>
      </c>
      <c r="E853" t="s">
        <v>953</v>
      </c>
      <c r="F853" t="s">
        <v>101</v>
      </c>
      <c r="G853" t="s">
        <v>81</v>
      </c>
      <c r="H853" s="4" t="s">
        <v>2258</v>
      </c>
      <c r="I853">
        <v>935726</v>
      </c>
      <c r="J853" s="8" t="s">
        <v>30</v>
      </c>
      <c r="K853" t="s">
        <v>256</v>
      </c>
      <c r="L853" t="s">
        <v>257</v>
      </c>
      <c r="M853" t="s">
        <v>140</v>
      </c>
      <c r="N853">
        <f t="shared" si="42"/>
        <v>3</v>
      </c>
      <c r="O853">
        <v>3</v>
      </c>
      <c r="P853" s="6">
        <v>97.03</v>
      </c>
      <c r="Q853">
        <v>4.8499999999999996</v>
      </c>
      <c r="R853">
        <v>286.24</v>
      </c>
      <c r="S853">
        <v>14.31</v>
      </c>
      <c r="T853">
        <v>0</v>
      </c>
      <c r="U853">
        <v>10</v>
      </c>
      <c r="V853">
        <v>310.55</v>
      </c>
      <c r="W853" t="s">
        <v>27</v>
      </c>
      <c r="X853">
        <v>23</v>
      </c>
    </row>
    <row r="854" spans="1:24" ht="14.25" customHeight="1">
      <c r="A854" t="s">
        <v>1602</v>
      </c>
      <c r="B854" t="s">
        <v>2286</v>
      </c>
      <c r="C854" s="6" t="str">
        <f t="shared" si="40"/>
        <v>January</v>
      </c>
      <c r="D854" s="6" t="str">
        <f t="shared" si="41"/>
        <v>25</v>
      </c>
      <c r="E854" t="s">
        <v>955</v>
      </c>
      <c r="F854" t="s">
        <v>101</v>
      </c>
      <c r="G854" t="s">
        <v>81</v>
      </c>
      <c r="H854" s="4" t="s">
        <v>2258</v>
      </c>
      <c r="I854">
        <v>978260</v>
      </c>
      <c r="J854" s="8" t="s">
        <v>2347</v>
      </c>
      <c r="K854" t="s">
        <v>260</v>
      </c>
      <c r="L854" t="s">
        <v>261</v>
      </c>
      <c r="M854" t="s">
        <v>140</v>
      </c>
      <c r="N854">
        <f t="shared" si="42"/>
        <v>3</v>
      </c>
      <c r="O854">
        <v>4</v>
      </c>
      <c r="P854" s="6">
        <v>111.95</v>
      </c>
      <c r="Q854">
        <v>0</v>
      </c>
      <c r="R854">
        <v>447.8</v>
      </c>
      <c r="S854">
        <v>22.39</v>
      </c>
      <c r="T854">
        <v>20</v>
      </c>
      <c r="U854">
        <v>20</v>
      </c>
      <c r="V854">
        <v>510.19</v>
      </c>
      <c r="W854" t="s">
        <v>27</v>
      </c>
      <c r="X854">
        <v>37</v>
      </c>
    </row>
    <row r="855" spans="1:24" ht="14.25" customHeight="1">
      <c r="A855" t="s">
        <v>1603</v>
      </c>
      <c r="B855" t="s">
        <v>2320</v>
      </c>
      <c r="C855" s="6" t="str">
        <f t="shared" si="40"/>
        <v>February</v>
      </c>
      <c r="D855" s="6" t="str">
        <f t="shared" si="41"/>
        <v>25</v>
      </c>
      <c r="E855" t="s">
        <v>957</v>
      </c>
      <c r="F855" t="s">
        <v>21</v>
      </c>
      <c r="G855" t="s">
        <v>74</v>
      </c>
      <c r="H855" s="4" t="s">
        <v>2258</v>
      </c>
      <c r="I855">
        <v>515685</v>
      </c>
      <c r="J855" s="8" t="s">
        <v>2349</v>
      </c>
      <c r="K855" t="s">
        <v>264</v>
      </c>
      <c r="L855" t="s">
        <v>265</v>
      </c>
      <c r="M855" t="s">
        <v>71</v>
      </c>
      <c r="N855">
        <f t="shared" si="42"/>
        <v>6</v>
      </c>
      <c r="O855">
        <v>3</v>
      </c>
      <c r="P855" s="6">
        <v>117.31</v>
      </c>
      <c r="Q855">
        <v>0</v>
      </c>
      <c r="R855">
        <v>351.93</v>
      </c>
      <c r="S855">
        <v>17.600000000000001</v>
      </c>
      <c r="T855">
        <v>30</v>
      </c>
      <c r="U855">
        <v>10</v>
      </c>
      <c r="V855">
        <v>409.53</v>
      </c>
      <c r="W855" t="s">
        <v>27</v>
      </c>
      <c r="X855">
        <v>26</v>
      </c>
    </row>
    <row r="856" spans="1:24" ht="14.25" customHeight="1">
      <c r="A856" t="s">
        <v>1604</v>
      </c>
      <c r="B856" t="s">
        <v>2284</v>
      </c>
      <c r="C856" s="6" t="str">
        <f t="shared" si="40"/>
        <v>February</v>
      </c>
      <c r="D856" s="6" t="str">
        <f t="shared" si="41"/>
        <v>02</v>
      </c>
      <c r="E856" t="s">
        <v>959</v>
      </c>
      <c r="F856" t="s">
        <v>21</v>
      </c>
      <c r="G856" t="s">
        <v>37</v>
      </c>
      <c r="H856" s="4" t="s">
        <v>2258</v>
      </c>
      <c r="I856">
        <v>596246</v>
      </c>
      <c r="J856" s="8" t="s">
        <v>30</v>
      </c>
      <c r="K856" t="s">
        <v>268</v>
      </c>
      <c r="L856" t="s">
        <v>269</v>
      </c>
      <c r="M856" t="s">
        <v>71</v>
      </c>
      <c r="N856">
        <f t="shared" si="42"/>
        <v>6</v>
      </c>
      <c r="O856">
        <v>5</v>
      </c>
      <c r="P856" s="6">
        <v>31.44</v>
      </c>
      <c r="Q856">
        <v>0</v>
      </c>
      <c r="R856">
        <v>157.19999999999999</v>
      </c>
      <c r="S856">
        <v>7.86</v>
      </c>
      <c r="T856">
        <v>0</v>
      </c>
      <c r="U856">
        <v>15</v>
      </c>
      <c r="V856">
        <v>180.06</v>
      </c>
      <c r="W856" t="s">
        <v>27</v>
      </c>
      <c r="X856">
        <v>17</v>
      </c>
    </row>
    <row r="857" spans="1:24" ht="14.25" customHeight="1">
      <c r="A857" t="s">
        <v>1605</v>
      </c>
      <c r="B857" t="s">
        <v>2282</v>
      </c>
      <c r="C857" s="6" t="str">
        <f t="shared" si="40"/>
        <v>February</v>
      </c>
      <c r="D857" s="6" t="str">
        <f t="shared" si="41"/>
        <v>07</v>
      </c>
      <c r="E857" t="s">
        <v>961</v>
      </c>
      <c r="F857" t="s">
        <v>21</v>
      </c>
      <c r="G857" t="s">
        <v>22</v>
      </c>
      <c r="H857" s="4" t="s">
        <v>2258</v>
      </c>
      <c r="I857">
        <v>496456</v>
      </c>
      <c r="J857" s="8" t="s">
        <v>2348</v>
      </c>
      <c r="K857" t="s">
        <v>272</v>
      </c>
      <c r="L857" t="s">
        <v>273</v>
      </c>
      <c r="M857" t="s">
        <v>140</v>
      </c>
      <c r="N857">
        <f t="shared" si="42"/>
        <v>3</v>
      </c>
      <c r="O857">
        <v>7</v>
      </c>
      <c r="P857" s="6">
        <v>190.91</v>
      </c>
      <c r="Q857">
        <v>19.09</v>
      </c>
      <c r="R857">
        <v>1317.28</v>
      </c>
      <c r="S857">
        <v>65.86</v>
      </c>
      <c r="T857">
        <v>10</v>
      </c>
      <c r="U857">
        <v>20</v>
      </c>
      <c r="V857">
        <v>1413.14</v>
      </c>
      <c r="W857" t="s">
        <v>27</v>
      </c>
      <c r="X857">
        <v>29</v>
      </c>
    </row>
    <row r="858" spans="1:24" ht="14.25" customHeight="1">
      <c r="A858" t="s">
        <v>1606</v>
      </c>
      <c r="B858" t="s">
        <v>2274</v>
      </c>
      <c r="C858" s="6" t="str">
        <f t="shared" si="40"/>
        <v>February</v>
      </c>
      <c r="D858" s="6" t="str">
        <f t="shared" si="41"/>
        <v>22</v>
      </c>
      <c r="E858" t="s">
        <v>963</v>
      </c>
      <c r="F858" t="s">
        <v>21</v>
      </c>
      <c r="G858" t="s">
        <v>22</v>
      </c>
      <c r="H858" s="4" t="s">
        <v>2258</v>
      </c>
      <c r="I858">
        <v>748033</v>
      </c>
      <c r="J858" s="8" t="s">
        <v>2345</v>
      </c>
      <c r="K858" t="s">
        <v>276</v>
      </c>
      <c r="L858" t="s">
        <v>277</v>
      </c>
      <c r="M858" t="s">
        <v>140</v>
      </c>
      <c r="N858">
        <f t="shared" si="42"/>
        <v>3</v>
      </c>
      <c r="O858">
        <v>6</v>
      </c>
      <c r="P858" s="6">
        <v>160.93</v>
      </c>
      <c r="Q858">
        <v>16.09</v>
      </c>
      <c r="R858">
        <v>949.49</v>
      </c>
      <c r="S858">
        <v>47.47</v>
      </c>
      <c r="T858">
        <v>30</v>
      </c>
      <c r="U858">
        <v>10</v>
      </c>
      <c r="V858">
        <v>1036.96</v>
      </c>
      <c r="W858" t="s">
        <v>27</v>
      </c>
      <c r="X858">
        <v>15</v>
      </c>
    </row>
    <row r="859" spans="1:24" ht="14.25" customHeight="1">
      <c r="A859" t="s">
        <v>1607</v>
      </c>
      <c r="B859" t="s">
        <v>2308</v>
      </c>
      <c r="C859" s="6" t="str">
        <f t="shared" si="40"/>
        <v>January</v>
      </c>
      <c r="D859" s="6" t="str">
        <f t="shared" si="41"/>
        <v>06</v>
      </c>
      <c r="E859" t="s">
        <v>965</v>
      </c>
      <c r="F859" t="s">
        <v>80</v>
      </c>
      <c r="G859" t="s">
        <v>81</v>
      </c>
      <c r="H859" s="4" t="s">
        <v>2258</v>
      </c>
      <c r="I859">
        <v>815601</v>
      </c>
      <c r="J859" s="8" t="s">
        <v>2345</v>
      </c>
      <c r="K859" t="s">
        <v>280</v>
      </c>
      <c r="L859" t="s">
        <v>281</v>
      </c>
      <c r="M859" t="s">
        <v>22</v>
      </c>
      <c r="N859">
        <f t="shared" si="42"/>
        <v>6</v>
      </c>
      <c r="O859">
        <v>2</v>
      </c>
      <c r="P859" s="6">
        <v>150.81</v>
      </c>
      <c r="Q859">
        <v>0</v>
      </c>
      <c r="R859">
        <v>301.62</v>
      </c>
      <c r="S859">
        <v>15.08</v>
      </c>
      <c r="T859">
        <v>30</v>
      </c>
      <c r="U859">
        <v>20</v>
      </c>
      <c r="V859">
        <v>366.7</v>
      </c>
      <c r="W859" t="s">
        <v>27</v>
      </c>
      <c r="X859">
        <v>43</v>
      </c>
    </row>
    <row r="860" spans="1:24" ht="14.25" customHeight="1">
      <c r="A860" t="s">
        <v>1608</v>
      </c>
      <c r="B860" t="s">
        <v>2269</v>
      </c>
      <c r="C860" s="6" t="str">
        <f t="shared" si="40"/>
        <v>February</v>
      </c>
      <c r="D860" s="6" t="str">
        <f t="shared" si="41"/>
        <v>27</v>
      </c>
      <c r="E860" t="s">
        <v>967</v>
      </c>
      <c r="F860" t="s">
        <v>80</v>
      </c>
      <c r="G860" t="s">
        <v>81</v>
      </c>
      <c r="H860" s="4" t="s">
        <v>2258</v>
      </c>
      <c r="I860">
        <v>170268</v>
      </c>
      <c r="J860" s="8" t="s">
        <v>2347</v>
      </c>
      <c r="K860" t="s">
        <v>284</v>
      </c>
      <c r="L860" t="s">
        <v>285</v>
      </c>
      <c r="M860" t="s">
        <v>22</v>
      </c>
      <c r="N860">
        <f t="shared" si="42"/>
        <v>6</v>
      </c>
      <c r="O860">
        <v>3</v>
      </c>
      <c r="P860" s="6">
        <v>132.87</v>
      </c>
      <c r="Q860">
        <v>13.29</v>
      </c>
      <c r="R860">
        <v>385.32</v>
      </c>
      <c r="S860">
        <v>19.27</v>
      </c>
      <c r="T860">
        <v>10</v>
      </c>
      <c r="U860">
        <v>20</v>
      </c>
      <c r="V860">
        <v>434.59</v>
      </c>
      <c r="W860" t="s">
        <v>27</v>
      </c>
      <c r="X860">
        <v>36</v>
      </c>
    </row>
    <row r="861" spans="1:24" ht="14.25" customHeight="1">
      <c r="A861" t="s">
        <v>1609</v>
      </c>
      <c r="B861" t="s">
        <v>2280</v>
      </c>
      <c r="C861" s="6" t="str">
        <f t="shared" si="40"/>
        <v>February</v>
      </c>
      <c r="D861" s="6" t="str">
        <f t="shared" si="41"/>
        <v>13</v>
      </c>
      <c r="E861" t="s">
        <v>969</v>
      </c>
      <c r="F861" t="s">
        <v>21</v>
      </c>
      <c r="G861" t="s">
        <v>22</v>
      </c>
      <c r="H861" s="4" t="s">
        <v>2258</v>
      </c>
      <c r="I861">
        <v>270635</v>
      </c>
      <c r="J861" s="8" t="s">
        <v>2348</v>
      </c>
      <c r="K861" t="s">
        <v>288</v>
      </c>
      <c r="L861" t="s">
        <v>289</v>
      </c>
      <c r="M861" t="s">
        <v>177</v>
      </c>
      <c r="N861">
        <f t="shared" si="42"/>
        <v>5</v>
      </c>
      <c r="O861">
        <v>6</v>
      </c>
      <c r="P861" s="6">
        <v>216.38</v>
      </c>
      <c r="Q861">
        <v>21.64</v>
      </c>
      <c r="R861">
        <v>1276.6400000000001</v>
      </c>
      <c r="S861">
        <v>63.83</v>
      </c>
      <c r="T861">
        <v>30</v>
      </c>
      <c r="U861">
        <v>0</v>
      </c>
      <c r="V861">
        <v>1370.47</v>
      </c>
      <c r="W861" t="s">
        <v>27</v>
      </c>
      <c r="X861">
        <v>26</v>
      </c>
    </row>
    <row r="862" spans="1:24" ht="14.25" customHeight="1">
      <c r="A862" t="s">
        <v>1610</v>
      </c>
      <c r="B862" t="s">
        <v>2314</v>
      </c>
      <c r="C862" s="6" t="str">
        <f t="shared" si="40"/>
        <v>February</v>
      </c>
      <c r="D862" s="6" t="str">
        <f t="shared" si="41"/>
        <v>14</v>
      </c>
      <c r="E862" t="s">
        <v>971</v>
      </c>
      <c r="F862" t="s">
        <v>21</v>
      </c>
      <c r="G862" t="s">
        <v>106</v>
      </c>
      <c r="H862" s="4" t="s">
        <v>2258</v>
      </c>
      <c r="I862">
        <v>700699</v>
      </c>
      <c r="J862" s="8" t="s">
        <v>2348</v>
      </c>
      <c r="K862" t="s">
        <v>292</v>
      </c>
      <c r="L862" t="s">
        <v>293</v>
      </c>
      <c r="M862" t="s">
        <v>130</v>
      </c>
      <c r="N862">
        <f t="shared" si="42"/>
        <v>7</v>
      </c>
      <c r="O862">
        <v>5</v>
      </c>
      <c r="P862" s="6">
        <v>111.3</v>
      </c>
      <c r="Q862">
        <v>5.57</v>
      </c>
      <c r="R862">
        <v>550.92999999999995</v>
      </c>
      <c r="S862">
        <v>27.55</v>
      </c>
      <c r="T862">
        <v>30</v>
      </c>
      <c r="U862">
        <v>5</v>
      </c>
      <c r="V862">
        <v>613.4799999999999</v>
      </c>
      <c r="W862" t="s">
        <v>27</v>
      </c>
      <c r="X862">
        <v>28</v>
      </c>
    </row>
    <row r="863" spans="1:24" ht="14.25" customHeight="1">
      <c r="A863" t="s">
        <v>1611</v>
      </c>
      <c r="B863" t="s">
        <v>2319</v>
      </c>
      <c r="C863" s="6" t="str">
        <f t="shared" si="40"/>
        <v>February</v>
      </c>
      <c r="D863" s="6" t="str">
        <f t="shared" si="41"/>
        <v>01</v>
      </c>
      <c r="E863" t="s">
        <v>973</v>
      </c>
      <c r="F863" t="s">
        <v>21</v>
      </c>
      <c r="G863" t="s">
        <v>106</v>
      </c>
      <c r="H863" s="4" t="s">
        <v>2258</v>
      </c>
      <c r="I863">
        <v>338441</v>
      </c>
      <c r="J863" s="8" t="s">
        <v>2346</v>
      </c>
      <c r="K863" t="s">
        <v>296</v>
      </c>
      <c r="L863" t="s">
        <v>297</v>
      </c>
      <c r="M863" t="s">
        <v>33</v>
      </c>
      <c r="N863">
        <f t="shared" si="42"/>
        <v>10</v>
      </c>
      <c r="O863">
        <v>1</v>
      </c>
      <c r="P863" s="6">
        <v>197.76</v>
      </c>
      <c r="Q863">
        <v>19.78</v>
      </c>
      <c r="R863">
        <v>177.98</v>
      </c>
      <c r="S863">
        <v>8.9</v>
      </c>
      <c r="T863">
        <v>10</v>
      </c>
      <c r="U863">
        <v>10</v>
      </c>
      <c r="V863">
        <v>206.88</v>
      </c>
      <c r="W863" t="s">
        <v>27</v>
      </c>
      <c r="X863">
        <v>13</v>
      </c>
    </row>
    <row r="864" spans="1:24" ht="14.25" customHeight="1">
      <c r="A864" t="s">
        <v>1612</v>
      </c>
      <c r="B864" t="s">
        <v>2314</v>
      </c>
      <c r="C864" s="6" t="str">
        <f t="shared" si="40"/>
        <v>February</v>
      </c>
      <c r="D864" s="6" t="str">
        <f t="shared" si="41"/>
        <v>14</v>
      </c>
      <c r="E864" t="s">
        <v>975</v>
      </c>
      <c r="F864" t="s">
        <v>21</v>
      </c>
      <c r="G864" t="s">
        <v>37</v>
      </c>
      <c r="H864" s="4" t="s">
        <v>2258</v>
      </c>
      <c r="I864">
        <v>949649</v>
      </c>
      <c r="J864" s="8" t="s">
        <v>2347</v>
      </c>
      <c r="K864" t="s">
        <v>300</v>
      </c>
      <c r="L864" t="s">
        <v>301</v>
      </c>
      <c r="M864" t="s">
        <v>65</v>
      </c>
      <c r="N864">
        <f t="shared" si="42"/>
        <v>6</v>
      </c>
      <c r="O864">
        <v>1</v>
      </c>
      <c r="P864" s="6">
        <v>188.82</v>
      </c>
      <c r="Q864">
        <v>18.88</v>
      </c>
      <c r="R864">
        <v>169.94</v>
      </c>
      <c r="S864">
        <v>8.5</v>
      </c>
      <c r="T864">
        <v>30</v>
      </c>
      <c r="U864">
        <v>15</v>
      </c>
      <c r="V864">
        <v>223.44</v>
      </c>
      <c r="W864" t="s">
        <v>27</v>
      </c>
      <c r="X864">
        <v>16</v>
      </c>
    </row>
    <row r="865" spans="1:24" ht="14.25" customHeight="1">
      <c r="A865" t="s">
        <v>1613</v>
      </c>
      <c r="B865" t="s">
        <v>2293</v>
      </c>
      <c r="C865" s="6" t="str">
        <f t="shared" si="40"/>
        <v>February</v>
      </c>
      <c r="D865" s="6" t="str">
        <f t="shared" si="41"/>
        <v>16</v>
      </c>
      <c r="E865" t="s">
        <v>977</v>
      </c>
      <c r="F865" t="s">
        <v>21</v>
      </c>
      <c r="G865" t="s">
        <v>74</v>
      </c>
      <c r="H865" s="4" t="s">
        <v>2258</v>
      </c>
      <c r="I865">
        <v>473145</v>
      </c>
      <c r="J865" s="8" t="s">
        <v>30</v>
      </c>
      <c r="K865" t="s">
        <v>304</v>
      </c>
      <c r="L865" t="s">
        <v>305</v>
      </c>
      <c r="M865" t="s">
        <v>140</v>
      </c>
      <c r="N865">
        <f t="shared" si="42"/>
        <v>3</v>
      </c>
      <c r="O865">
        <v>5</v>
      </c>
      <c r="P865" s="6">
        <v>76.56</v>
      </c>
      <c r="Q865">
        <v>11.48</v>
      </c>
      <c r="R865">
        <v>371.32</v>
      </c>
      <c r="S865">
        <v>18.57</v>
      </c>
      <c r="T865">
        <v>0</v>
      </c>
      <c r="U865">
        <v>10</v>
      </c>
      <c r="V865">
        <v>399.89</v>
      </c>
      <c r="W865" t="s">
        <v>27</v>
      </c>
      <c r="X865">
        <v>23</v>
      </c>
    </row>
    <row r="866" spans="1:24" ht="14.25" customHeight="1">
      <c r="A866" t="s">
        <v>1614</v>
      </c>
      <c r="B866" t="s">
        <v>2268</v>
      </c>
      <c r="C866" s="6" t="str">
        <f t="shared" si="40"/>
        <v>January</v>
      </c>
      <c r="D866" s="6" t="str">
        <f t="shared" si="41"/>
        <v>21</v>
      </c>
      <c r="E866" t="s">
        <v>979</v>
      </c>
      <c r="F866" t="s">
        <v>80</v>
      </c>
      <c r="G866" t="s">
        <v>81</v>
      </c>
      <c r="H866" s="4" t="s">
        <v>2258</v>
      </c>
      <c r="I866">
        <v>797789</v>
      </c>
      <c r="J866" s="8" t="s">
        <v>2349</v>
      </c>
      <c r="K866" t="s">
        <v>308</v>
      </c>
      <c r="L866" t="s">
        <v>309</v>
      </c>
      <c r="M866" t="s">
        <v>130</v>
      </c>
      <c r="N866">
        <f t="shared" si="42"/>
        <v>7</v>
      </c>
      <c r="O866">
        <v>1</v>
      </c>
      <c r="P866" s="6">
        <v>104.16</v>
      </c>
      <c r="Q866">
        <v>15.62</v>
      </c>
      <c r="R866">
        <v>88.539999999999992</v>
      </c>
      <c r="S866">
        <v>4.43</v>
      </c>
      <c r="T866">
        <v>10</v>
      </c>
      <c r="U866">
        <v>20</v>
      </c>
      <c r="V866">
        <v>122.97</v>
      </c>
      <c r="W866" t="s">
        <v>27</v>
      </c>
      <c r="X866">
        <v>21</v>
      </c>
    </row>
    <row r="867" spans="1:24" ht="14.25" customHeight="1">
      <c r="A867" t="s">
        <v>1615</v>
      </c>
      <c r="B867" t="s">
        <v>2292</v>
      </c>
      <c r="C867" s="6" t="str">
        <f t="shared" si="40"/>
        <v>January</v>
      </c>
      <c r="D867" s="6" t="str">
        <f t="shared" si="41"/>
        <v>16</v>
      </c>
      <c r="E867" t="s">
        <v>981</v>
      </c>
      <c r="F867" t="s">
        <v>21</v>
      </c>
      <c r="G867" t="s">
        <v>68</v>
      </c>
      <c r="H867" s="4" t="s">
        <v>2258</v>
      </c>
      <c r="I867">
        <v>738071</v>
      </c>
      <c r="J867" s="8" t="s">
        <v>2348</v>
      </c>
      <c r="K867" t="s">
        <v>312</v>
      </c>
      <c r="L867" t="s">
        <v>313</v>
      </c>
      <c r="M867" t="s">
        <v>89</v>
      </c>
      <c r="N867">
        <f t="shared" si="42"/>
        <v>7</v>
      </c>
      <c r="O867">
        <v>5</v>
      </c>
      <c r="P867" s="6">
        <v>97.69</v>
      </c>
      <c r="Q867">
        <v>9.77</v>
      </c>
      <c r="R867">
        <v>478.68</v>
      </c>
      <c r="S867">
        <v>23.93</v>
      </c>
      <c r="T867">
        <v>0</v>
      </c>
      <c r="U867">
        <v>5</v>
      </c>
      <c r="V867">
        <v>507.61</v>
      </c>
      <c r="W867" t="s">
        <v>27</v>
      </c>
      <c r="X867">
        <v>17</v>
      </c>
    </row>
    <row r="868" spans="1:24" ht="14.25" customHeight="1">
      <c r="A868" t="s">
        <v>1616</v>
      </c>
      <c r="B868" t="s">
        <v>2309</v>
      </c>
      <c r="C868" s="6" t="str">
        <f t="shared" si="40"/>
        <v>February</v>
      </c>
      <c r="D868" s="6" t="str">
        <f t="shared" si="41"/>
        <v>23</v>
      </c>
      <c r="E868" t="s">
        <v>983</v>
      </c>
      <c r="F868" t="s">
        <v>21</v>
      </c>
      <c r="G868" t="s">
        <v>37</v>
      </c>
      <c r="H868" s="4" t="s">
        <v>2258</v>
      </c>
      <c r="I868">
        <v>532184</v>
      </c>
      <c r="J868" s="8" t="s">
        <v>2348</v>
      </c>
      <c r="K868" t="s">
        <v>316</v>
      </c>
      <c r="L868" t="s">
        <v>317</v>
      </c>
      <c r="M868" t="s">
        <v>40</v>
      </c>
      <c r="N868">
        <f t="shared" si="42"/>
        <v>6</v>
      </c>
      <c r="O868">
        <v>4</v>
      </c>
      <c r="P868" s="6">
        <v>71.569999999999993</v>
      </c>
      <c r="Q868">
        <v>3.58</v>
      </c>
      <c r="R868">
        <v>282.7</v>
      </c>
      <c r="S868">
        <v>14.13</v>
      </c>
      <c r="T868">
        <v>20</v>
      </c>
      <c r="U868">
        <v>5</v>
      </c>
      <c r="V868">
        <v>321.83</v>
      </c>
      <c r="W868" t="s">
        <v>27</v>
      </c>
      <c r="X868">
        <v>7</v>
      </c>
    </row>
    <row r="869" spans="1:24" ht="14.25" customHeight="1">
      <c r="A869" t="s">
        <v>1617</v>
      </c>
      <c r="B869" t="s">
        <v>2268</v>
      </c>
      <c r="C869" s="6" t="str">
        <f t="shared" si="40"/>
        <v>January</v>
      </c>
      <c r="D869" s="6" t="str">
        <f t="shared" si="41"/>
        <v>21</v>
      </c>
      <c r="E869" t="s">
        <v>985</v>
      </c>
      <c r="F869" t="s">
        <v>21</v>
      </c>
      <c r="G869" t="s">
        <v>22</v>
      </c>
      <c r="H869" s="4" t="s">
        <v>2258</v>
      </c>
      <c r="I869">
        <v>231827</v>
      </c>
      <c r="J869" s="8" t="s">
        <v>30</v>
      </c>
      <c r="K869" t="s">
        <v>320</v>
      </c>
      <c r="L869" t="s">
        <v>321</v>
      </c>
      <c r="M869" t="s">
        <v>140</v>
      </c>
      <c r="N869">
        <f t="shared" si="42"/>
        <v>3</v>
      </c>
      <c r="O869">
        <v>2</v>
      </c>
      <c r="P869" s="6">
        <v>36.590000000000003</v>
      </c>
      <c r="Q869">
        <v>1.83</v>
      </c>
      <c r="R869">
        <v>71.350000000000009</v>
      </c>
      <c r="S869">
        <v>3.57</v>
      </c>
      <c r="T869">
        <v>20</v>
      </c>
      <c r="U869">
        <v>0</v>
      </c>
      <c r="V869">
        <v>94.92</v>
      </c>
      <c r="W869" t="s">
        <v>27</v>
      </c>
      <c r="X869">
        <v>26</v>
      </c>
    </row>
    <row r="870" spans="1:24" ht="14.25" customHeight="1">
      <c r="A870" t="s">
        <v>1618</v>
      </c>
      <c r="B870" t="s">
        <v>2272</v>
      </c>
      <c r="C870" s="6" t="str">
        <f t="shared" si="40"/>
        <v>January</v>
      </c>
      <c r="D870" s="6" t="str">
        <f t="shared" si="41"/>
        <v>11</v>
      </c>
      <c r="E870" t="s">
        <v>987</v>
      </c>
      <c r="F870" t="s">
        <v>21</v>
      </c>
      <c r="G870" t="s">
        <v>22</v>
      </c>
      <c r="H870" s="4" t="s">
        <v>2258</v>
      </c>
      <c r="I870">
        <v>222989</v>
      </c>
      <c r="J870" s="8" t="s">
        <v>30</v>
      </c>
      <c r="K870" t="s">
        <v>324</v>
      </c>
      <c r="L870" t="s">
        <v>325</v>
      </c>
      <c r="M870" t="s">
        <v>177</v>
      </c>
      <c r="N870">
        <f t="shared" si="42"/>
        <v>5</v>
      </c>
      <c r="O870">
        <v>2</v>
      </c>
      <c r="P870" s="6">
        <v>155.74</v>
      </c>
      <c r="Q870">
        <v>15.57</v>
      </c>
      <c r="R870">
        <v>295.91000000000003</v>
      </c>
      <c r="S870">
        <v>14.8</v>
      </c>
      <c r="T870">
        <v>30</v>
      </c>
      <c r="U870">
        <v>0</v>
      </c>
      <c r="V870">
        <v>340.71</v>
      </c>
      <c r="W870" t="s">
        <v>27</v>
      </c>
      <c r="X870">
        <v>25</v>
      </c>
    </row>
    <row r="871" spans="1:24" ht="14.25" customHeight="1">
      <c r="A871" t="s">
        <v>1619</v>
      </c>
      <c r="B871" t="s">
        <v>2283</v>
      </c>
      <c r="C871" s="6" t="str">
        <f t="shared" si="40"/>
        <v>March</v>
      </c>
      <c r="D871" s="6" t="str">
        <f t="shared" si="41"/>
        <v>01</v>
      </c>
      <c r="E871" t="s">
        <v>989</v>
      </c>
      <c r="F871" t="s">
        <v>21</v>
      </c>
      <c r="G871" t="s">
        <v>74</v>
      </c>
      <c r="H871" s="4" t="s">
        <v>2258</v>
      </c>
      <c r="I871">
        <v>461185</v>
      </c>
      <c r="J871" s="8" t="s">
        <v>62</v>
      </c>
      <c r="K871" t="s">
        <v>328</v>
      </c>
      <c r="L871" t="s">
        <v>329</v>
      </c>
      <c r="M871" t="s">
        <v>71</v>
      </c>
      <c r="N871">
        <f t="shared" si="42"/>
        <v>6</v>
      </c>
      <c r="O871">
        <v>2</v>
      </c>
      <c r="P871" s="6">
        <v>220.29</v>
      </c>
      <c r="Q871">
        <v>22.03</v>
      </c>
      <c r="R871">
        <v>418.55</v>
      </c>
      <c r="S871">
        <v>20.93</v>
      </c>
      <c r="T871">
        <v>30</v>
      </c>
      <c r="U871">
        <v>5</v>
      </c>
      <c r="V871">
        <v>474.48</v>
      </c>
      <c r="W871" t="s">
        <v>27</v>
      </c>
      <c r="X871">
        <v>42</v>
      </c>
    </row>
    <row r="872" spans="1:24" ht="14.25" customHeight="1">
      <c r="A872" t="s">
        <v>1620</v>
      </c>
      <c r="B872" t="s">
        <v>2297</v>
      </c>
      <c r="C872" s="6" t="str">
        <f t="shared" si="40"/>
        <v>February</v>
      </c>
      <c r="D872" s="6" t="str">
        <f t="shared" si="41"/>
        <v>06</v>
      </c>
      <c r="E872" t="s">
        <v>991</v>
      </c>
      <c r="F872" t="s">
        <v>21</v>
      </c>
      <c r="G872" t="s">
        <v>106</v>
      </c>
      <c r="H872" s="4" t="s">
        <v>2258</v>
      </c>
      <c r="I872">
        <v>325756</v>
      </c>
      <c r="J872" s="8" t="s">
        <v>2346</v>
      </c>
      <c r="K872" t="s">
        <v>332</v>
      </c>
      <c r="L872" t="s">
        <v>333</v>
      </c>
      <c r="M872" t="s">
        <v>65</v>
      </c>
      <c r="N872">
        <f t="shared" si="42"/>
        <v>6</v>
      </c>
      <c r="O872">
        <v>2</v>
      </c>
      <c r="P872" s="6">
        <v>0.66</v>
      </c>
      <c r="Q872">
        <v>0.1</v>
      </c>
      <c r="R872">
        <v>1.22</v>
      </c>
      <c r="S872">
        <v>0.06</v>
      </c>
      <c r="T872">
        <v>30</v>
      </c>
      <c r="U872">
        <v>5</v>
      </c>
      <c r="V872">
        <v>36.28</v>
      </c>
      <c r="W872" t="s">
        <v>27</v>
      </c>
      <c r="X872">
        <v>28</v>
      </c>
    </row>
    <row r="873" spans="1:24" ht="14.25" customHeight="1">
      <c r="A873" t="s">
        <v>1621</v>
      </c>
      <c r="B873" t="s">
        <v>2275</v>
      </c>
      <c r="C873" s="6" t="str">
        <f t="shared" si="40"/>
        <v>February</v>
      </c>
      <c r="D873" s="6" t="str">
        <f t="shared" si="41"/>
        <v>05</v>
      </c>
      <c r="E873" t="s">
        <v>993</v>
      </c>
      <c r="F873" t="s">
        <v>21</v>
      </c>
      <c r="G873" t="s">
        <v>106</v>
      </c>
      <c r="H873" s="4" t="s">
        <v>2258</v>
      </c>
      <c r="I873">
        <v>972882</v>
      </c>
      <c r="J873" s="8" t="s">
        <v>30</v>
      </c>
      <c r="K873" t="s">
        <v>336</v>
      </c>
      <c r="L873" t="s">
        <v>337</v>
      </c>
      <c r="M873" t="s">
        <v>55</v>
      </c>
      <c r="N873">
        <f t="shared" si="42"/>
        <v>5</v>
      </c>
      <c r="O873">
        <v>3</v>
      </c>
      <c r="P873" s="6">
        <v>54.37</v>
      </c>
      <c r="Q873">
        <v>8.16</v>
      </c>
      <c r="R873">
        <v>154.94999999999999</v>
      </c>
      <c r="S873">
        <v>7.75</v>
      </c>
      <c r="T873">
        <v>20</v>
      </c>
      <c r="U873">
        <v>15</v>
      </c>
      <c r="V873">
        <v>197.7</v>
      </c>
      <c r="W873" t="s">
        <v>34</v>
      </c>
      <c r="X873">
        <v>25</v>
      </c>
    </row>
    <row r="874" spans="1:24" ht="14.25" customHeight="1">
      <c r="A874" t="s">
        <v>1622</v>
      </c>
      <c r="B874" t="s">
        <v>2306</v>
      </c>
      <c r="C874" s="6" t="str">
        <f t="shared" si="40"/>
        <v>February</v>
      </c>
      <c r="D874" s="6" t="str">
        <f t="shared" si="41"/>
        <v>04</v>
      </c>
      <c r="E874" t="s">
        <v>995</v>
      </c>
      <c r="F874" t="s">
        <v>21</v>
      </c>
      <c r="G874" t="s">
        <v>106</v>
      </c>
      <c r="H874" s="4" t="s">
        <v>2258</v>
      </c>
      <c r="I874">
        <v>534352</v>
      </c>
      <c r="J874" s="8" t="s">
        <v>62</v>
      </c>
      <c r="K874" t="s">
        <v>340</v>
      </c>
      <c r="L874" t="s">
        <v>341</v>
      </c>
      <c r="M874" t="s">
        <v>40</v>
      </c>
      <c r="N874">
        <f t="shared" si="42"/>
        <v>6</v>
      </c>
      <c r="O874">
        <v>4</v>
      </c>
      <c r="P874" s="6">
        <v>93.91</v>
      </c>
      <c r="Q874">
        <v>0</v>
      </c>
      <c r="R874">
        <v>375.64</v>
      </c>
      <c r="S874">
        <v>18.78</v>
      </c>
      <c r="T874">
        <v>30</v>
      </c>
      <c r="U874">
        <v>20</v>
      </c>
      <c r="V874">
        <v>444.42</v>
      </c>
      <c r="W874" t="s">
        <v>27</v>
      </c>
      <c r="X874">
        <v>29</v>
      </c>
    </row>
    <row r="875" spans="1:24" ht="14.25" customHeight="1">
      <c r="A875" t="s">
        <v>1623</v>
      </c>
      <c r="B875" t="s">
        <v>2270</v>
      </c>
      <c r="C875" s="6" t="str">
        <f t="shared" si="40"/>
        <v>January</v>
      </c>
      <c r="D875" s="6" t="str">
        <f t="shared" si="41"/>
        <v>19</v>
      </c>
      <c r="E875" t="s">
        <v>997</v>
      </c>
      <c r="F875" t="s">
        <v>21</v>
      </c>
      <c r="G875" t="s">
        <v>106</v>
      </c>
      <c r="H875" s="4" t="s">
        <v>2258</v>
      </c>
      <c r="I875">
        <v>597873</v>
      </c>
      <c r="J875" s="8" t="s">
        <v>30</v>
      </c>
      <c r="K875" t="s">
        <v>344</v>
      </c>
      <c r="L875" t="s">
        <v>345</v>
      </c>
      <c r="M875" t="s">
        <v>89</v>
      </c>
      <c r="N875">
        <f t="shared" si="42"/>
        <v>7</v>
      </c>
      <c r="O875">
        <v>6</v>
      </c>
      <c r="P875" s="6">
        <v>143.88</v>
      </c>
      <c r="Q875">
        <v>7.19</v>
      </c>
      <c r="R875">
        <v>856.08999999999992</v>
      </c>
      <c r="S875">
        <v>42.8</v>
      </c>
      <c r="T875">
        <v>20</v>
      </c>
      <c r="U875">
        <v>20</v>
      </c>
      <c r="V875">
        <v>938.88999999999987</v>
      </c>
      <c r="W875" t="s">
        <v>27</v>
      </c>
      <c r="X875">
        <v>36</v>
      </c>
    </row>
    <row r="876" spans="1:24" ht="14.25" customHeight="1">
      <c r="A876" t="s">
        <v>1624</v>
      </c>
      <c r="B876" t="s">
        <v>2305</v>
      </c>
      <c r="C876" s="6" t="str">
        <f t="shared" si="40"/>
        <v>January</v>
      </c>
      <c r="D876" s="6" t="str">
        <f t="shared" si="41"/>
        <v>20</v>
      </c>
      <c r="E876" t="s">
        <v>999</v>
      </c>
      <c r="F876" t="s">
        <v>21</v>
      </c>
      <c r="G876" t="s">
        <v>74</v>
      </c>
      <c r="H876" s="4" t="s">
        <v>2258</v>
      </c>
      <c r="I876">
        <v>149156</v>
      </c>
      <c r="J876" s="8" t="s">
        <v>2346</v>
      </c>
      <c r="K876" t="s">
        <v>348</v>
      </c>
      <c r="L876" t="s">
        <v>349</v>
      </c>
      <c r="M876" t="s">
        <v>89</v>
      </c>
      <c r="N876">
        <f t="shared" si="42"/>
        <v>7</v>
      </c>
      <c r="O876">
        <v>1</v>
      </c>
      <c r="P876" s="6">
        <v>96.42</v>
      </c>
      <c r="Q876">
        <v>14.46</v>
      </c>
      <c r="R876">
        <v>81.960000000000008</v>
      </c>
      <c r="S876">
        <v>4.0999999999999996</v>
      </c>
      <c r="T876">
        <v>0</v>
      </c>
      <c r="U876">
        <v>0</v>
      </c>
      <c r="V876">
        <v>86.06</v>
      </c>
      <c r="W876" t="s">
        <v>117</v>
      </c>
      <c r="X876">
        <v>25</v>
      </c>
    </row>
    <row r="877" spans="1:24" ht="14.25" customHeight="1">
      <c r="A877" t="s">
        <v>1625</v>
      </c>
      <c r="B877" t="s">
        <v>2296</v>
      </c>
      <c r="C877" s="6" t="str">
        <f t="shared" si="40"/>
        <v>February</v>
      </c>
      <c r="D877" s="6" t="str">
        <f t="shared" si="41"/>
        <v>26</v>
      </c>
      <c r="E877" t="s">
        <v>1001</v>
      </c>
      <c r="F877" t="s">
        <v>80</v>
      </c>
      <c r="G877" t="s">
        <v>81</v>
      </c>
      <c r="H877" s="4" t="s">
        <v>2258</v>
      </c>
      <c r="I877">
        <v>684570</v>
      </c>
      <c r="J877" s="8" t="s">
        <v>2347</v>
      </c>
      <c r="K877" t="s">
        <v>352</v>
      </c>
      <c r="L877" t="s">
        <v>353</v>
      </c>
      <c r="M877" t="s">
        <v>77</v>
      </c>
      <c r="N877">
        <f t="shared" si="42"/>
        <v>5</v>
      </c>
      <c r="O877">
        <v>5</v>
      </c>
      <c r="P877" s="6">
        <v>129.58000000000001</v>
      </c>
      <c r="Q877">
        <v>6.48</v>
      </c>
      <c r="R877">
        <v>641.42000000000007</v>
      </c>
      <c r="S877">
        <v>32.07</v>
      </c>
      <c r="T877">
        <v>0</v>
      </c>
      <c r="U877">
        <v>10</v>
      </c>
      <c r="V877">
        <v>683.49000000000012</v>
      </c>
      <c r="W877" t="s">
        <v>117</v>
      </c>
      <c r="X877">
        <v>25</v>
      </c>
    </row>
    <row r="878" spans="1:24" ht="14.25" customHeight="1">
      <c r="A878" t="s">
        <v>1626</v>
      </c>
      <c r="B878" t="s">
        <v>2300</v>
      </c>
      <c r="C878" s="6" t="str">
        <f t="shared" si="40"/>
        <v>January</v>
      </c>
      <c r="D878" s="6" t="str">
        <f t="shared" si="41"/>
        <v>18</v>
      </c>
      <c r="E878" t="s">
        <v>1003</v>
      </c>
      <c r="F878" t="s">
        <v>21</v>
      </c>
      <c r="G878" t="s">
        <v>106</v>
      </c>
      <c r="H878" s="4" t="s">
        <v>2258</v>
      </c>
      <c r="I878">
        <v>782954</v>
      </c>
      <c r="J878" s="8" t="s">
        <v>2349</v>
      </c>
      <c r="K878" t="s">
        <v>356</v>
      </c>
      <c r="L878" t="s">
        <v>357</v>
      </c>
      <c r="M878" t="s">
        <v>98</v>
      </c>
      <c r="N878">
        <f t="shared" si="42"/>
        <v>4</v>
      </c>
      <c r="O878">
        <v>4</v>
      </c>
      <c r="P878" s="6">
        <v>145.76</v>
      </c>
      <c r="Q878">
        <v>14.58</v>
      </c>
      <c r="R878">
        <v>568.45999999999992</v>
      </c>
      <c r="S878">
        <v>28.42</v>
      </c>
      <c r="T878">
        <v>30</v>
      </c>
      <c r="U878">
        <v>5</v>
      </c>
      <c r="V878">
        <v>631.87999999999988</v>
      </c>
      <c r="W878" t="s">
        <v>84</v>
      </c>
      <c r="X878">
        <v>25</v>
      </c>
    </row>
    <row r="879" spans="1:24" ht="14.25" customHeight="1">
      <c r="A879" t="s">
        <v>1627</v>
      </c>
      <c r="B879" t="s">
        <v>2293</v>
      </c>
      <c r="C879" s="6" t="str">
        <f t="shared" si="40"/>
        <v>February</v>
      </c>
      <c r="D879" s="6" t="str">
        <f t="shared" si="41"/>
        <v>16</v>
      </c>
      <c r="E879" t="s">
        <v>1005</v>
      </c>
      <c r="F879" t="s">
        <v>21</v>
      </c>
      <c r="G879" t="s">
        <v>74</v>
      </c>
      <c r="H879" s="4" t="s">
        <v>2258</v>
      </c>
      <c r="I879">
        <v>137860</v>
      </c>
      <c r="J879" s="8" t="s">
        <v>62</v>
      </c>
      <c r="K879" t="s">
        <v>360</v>
      </c>
      <c r="L879" t="s">
        <v>361</v>
      </c>
      <c r="M879" t="s">
        <v>22</v>
      </c>
      <c r="N879">
        <f t="shared" si="42"/>
        <v>6</v>
      </c>
      <c r="O879">
        <v>3</v>
      </c>
      <c r="P879" s="6">
        <v>112.53</v>
      </c>
      <c r="Q879">
        <v>16.88</v>
      </c>
      <c r="R879">
        <v>320.70999999999998</v>
      </c>
      <c r="S879">
        <v>16.04</v>
      </c>
      <c r="T879">
        <v>30</v>
      </c>
      <c r="U879">
        <v>15</v>
      </c>
      <c r="V879">
        <v>381.75000000000011</v>
      </c>
      <c r="W879" t="s">
        <v>27</v>
      </c>
      <c r="X879">
        <v>19</v>
      </c>
    </row>
    <row r="880" spans="1:24" ht="14.25" customHeight="1">
      <c r="A880" t="s">
        <v>1628</v>
      </c>
      <c r="B880" t="s">
        <v>2315</v>
      </c>
      <c r="C880" s="6" t="str">
        <f t="shared" si="40"/>
        <v>February</v>
      </c>
      <c r="D880" s="6" t="str">
        <f t="shared" si="41"/>
        <v>10</v>
      </c>
      <c r="E880" t="s">
        <v>1007</v>
      </c>
      <c r="F880" t="s">
        <v>21</v>
      </c>
      <c r="G880" t="s">
        <v>68</v>
      </c>
      <c r="H880" s="4" t="s">
        <v>2258</v>
      </c>
      <c r="I880">
        <v>695983</v>
      </c>
      <c r="J880" s="8" t="s">
        <v>2348</v>
      </c>
      <c r="K880" t="s">
        <v>364</v>
      </c>
      <c r="L880" t="s">
        <v>365</v>
      </c>
      <c r="M880" t="s">
        <v>33</v>
      </c>
      <c r="N880">
        <f t="shared" si="42"/>
        <v>10</v>
      </c>
      <c r="O880">
        <v>6</v>
      </c>
      <c r="P880" s="6">
        <v>100.68</v>
      </c>
      <c r="Q880">
        <v>15.1</v>
      </c>
      <c r="R880">
        <v>588.98</v>
      </c>
      <c r="S880">
        <v>29.45</v>
      </c>
      <c r="T880">
        <v>0</v>
      </c>
      <c r="U880">
        <v>5</v>
      </c>
      <c r="V880">
        <v>623.43000000000006</v>
      </c>
      <c r="W880" t="s">
        <v>27</v>
      </c>
      <c r="X880">
        <v>21</v>
      </c>
    </row>
    <row r="881" spans="1:24" ht="14.25" customHeight="1">
      <c r="A881" t="s">
        <v>1629</v>
      </c>
      <c r="B881" t="s">
        <v>2287</v>
      </c>
      <c r="C881" s="6" t="str">
        <f t="shared" si="40"/>
        <v>February</v>
      </c>
      <c r="D881" s="6" t="str">
        <f t="shared" si="41"/>
        <v>18</v>
      </c>
      <c r="E881" t="s">
        <v>1009</v>
      </c>
      <c r="F881" t="s">
        <v>21</v>
      </c>
      <c r="G881" t="s">
        <v>37</v>
      </c>
      <c r="H881" s="4" t="s">
        <v>2258</v>
      </c>
      <c r="I881">
        <v>105636</v>
      </c>
      <c r="J881" s="8" t="s">
        <v>2348</v>
      </c>
      <c r="K881" t="s">
        <v>368</v>
      </c>
      <c r="L881" t="s">
        <v>369</v>
      </c>
      <c r="M881" t="s">
        <v>177</v>
      </c>
      <c r="N881">
        <f t="shared" si="42"/>
        <v>5</v>
      </c>
      <c r="O881">
        <v>7</v>
      </c>
      <c r="P881" s="6">
        <v>137.83000000000001</v>
      </c>
      <c r="Q881">
        <v>6.89</v>
      </c>
      <c r="R881">
        <v>957.92000000000007</v>
      </c>
      <c r="S881">
        <v>47.9</v>
      </c>
      <c r="T881">
        <v>30</v>
      </c>
      <c r="U881">
        <v>10</v>
      </c>
      <c r="V881">
        <v>1045.82</v>
      </c>
      <c r="W881" t="s">
        <v>27</v>
      </c>
      <c r="X881">
        <v>41</v>
      </c>
    </row>
    <row r="882" spans="1:24" ht="14.25" customHeight="1">
      <c r="A882" t="s">
        <v>1630</v>
      </c>
      <c r="B882" t="s">
        <v>2302</v>
      </c>
      <c r="C882" s="6" t="str">
        <f t="shared" si="40"/>
        <v>January</v>
      </c>
      <c r="D882" s="6" t="str">
        <f t="shared" si="41"/>
        <v>14</v>
      </c>
      <c r="E882" t="s">
        <v>1011</v>
      </c>
      <c r="F882" t="s">
        <v>21</v>
      </c>
      <c r="G882" t="s">
        <v>68</v>
      </c>
      <c r="H882" s="4" t="s">
        <v>2258</v>
      </c>
      <c r="I882">
        <v>678921</v>
      </c>
      <c r="J882" s="8" t="s">
        <v>30</v>
      </c>
      <c r="K882" t="s">
        <v>372</v>
      </c>
      <c r="L882" t="s">
        <v>373</v>
      </c>
      <c r="M882" t="s">
        <v>65</v>
      </c>
      <c r="N882">
        <f t="shared" si="42"/>
        <v>6</v>
      </c>
      <c r="O882">
        <v>2</v>
      </c>
      <c r="P882" s="6">
        <v>119.09</v>
      </c>
      <c r="Q882">
        <v>17.86</v>
      </c>
      <c r="R882">
        <v>220.32</v>
      </c>
      <c r="S882">
        <v>11.02</v>
      </c>
      <c r="T882">
        <v>30</v>
      </c>
      <c r="U882">
        <v>0</v>
      </c>
      <c r="V882">
        <v>261.33999999999997</v>
      </c>
      <c r="W882" t="s">
        <v>27</v>
      </c>
      <c r="X882">
        <v>16</v>
      </c>
    </row>
    <row r="883" spans="1:24" ht="14.25" customHeight="1">
      <c r="A883" t="s">
        <v>1631</v>
      </c>
      <c r="B883" t="s">
        <v>2265</v>
      </c>
      <c r="C883" s="6" t="str">
        <f t="shared" si="40"/>
        <v>January</v>
      </c>
      <c r="D883" s="6" t="str">
        <f t="shared" si="41"/>
        <v>15</v>
      </c>
      <c r="E883" t="s">
        <v>1013</v>
      </c>
      <c r="F883" t="s">
        <v>21</v>
      </c>
      <c r="G883" t="s">
        <v>68</v>
      </c>
      <c r="H883" s="4" t="s">
        <v>2258</v>
      </c>
      <c r="I883">
        <v>766978</v>
      </c>
      <c r="J883" s="8" t="s">
        <v>2348</v>
      </c>
      <c r="K883" t="s">
        <v>376</v>
      </c>
      <c r="L883" t="s">
        <v>377</v>
      </c>
      <c r="M883" t="s">
        <v>26</v>
      </c>
      <c r="N883">
        <f t="shared" si="42"/>
        <v>3</v>
      </c>
      <c r="O883">
        <v>1</v>
      </c>
      <c r="P883" s="6">
        <v>122.54</v>
      </c>
      <c r="Q883">
        <v>6.13</v>
      </c>
      <c r="R883">
        <v>116.41</v>
      </c>
      <c r="S883">
        <v>5.82</v>
      </c>
      <c r="T883">
        <v>10</v>
      </c>
      <c r="U883">
        <v>20</v>
      </c>
      <c r="V883">
        <v>152.22999999999999</v>
      </c>
      <c r="W883" t="s">
        <v>27</v>
      </c>
      <c r="X883">
        <v>30</v>
      </c>
    </row>
    <row r="884" spans="1:24" ht="14.25" customHeight="1">
      <c r="A884" t="s">
        <v>1632</v>
      </c>
      <c r="B884" t="s">
        <v>2312</v>
      </c>
      <c r="C884" s="6" t="str">
        <f t="shared" si="40"/>
        <v>January</v>
      </c>
      <c r="D884" s="6" t="str">
        <f t="shared" si="41"/>
        <v>31</v>
      </c>
      <c r="E884" t="s">
        <v>1015</v>
      </c>
      <c r="F884" t="s">
        <v>21</v>
      </c>
      <c r="G884" t="s">
        <v>68</v>
      </c>
      <c r="H884" s="4" t="s">
        <v>2258</v>
      </c>
      <c r="I884">
        <v>816825</v>
      </c>
      <c r="J884" s="8" t="s">
        <v>2346</v>
      </c>
      <c r="K884" t="s">
        <v>380</v>
      </c>
      <c r="L884" t="s">
        <v>381</v>
      </c>
      <c r="M884" t="s">
        <v>177</v>
      </c>
      <c r="N884">
        <f t="shared" si="42"/>
        <v>5</v>
      </c>
      <c r="O884">
        <v>1</v>
      </c>
      <c r="P884" s="6">
        <v>111.21</v>
      </c>
      <c r="Q884">
        <v>16.68</v>
      </c>
      <c r="R884">
        <v>94.53</v>
      </c>
      <c r="S884">
        <v>4.7300000000000004</v>
      </c>
      <c r="T884">
        <v>30</v>
      </c>
      <c r="U884">
        <v>5</v>
      </c>
      <c r="V884">
        <v>134.26</v>
      </c>
      <c r="W884" t="s">
        <v>27</v>
      </c>
      <c r="X884">
        <v>34</v>
      </c>
    </row>
    <row r="885" spans="1:24" ht="14.25" customHeight="1">
      <c r="A885" t="s">
        <v>1633</v>
      </c>
      <c r="B885" t="s">
        <v>2316</v>
      </c>
      <c r="C885" s="6" t="str">
        <f t="shared" si="40"/>
        <v>January</v>
      </c>
      <c r="D885" s="6" t="str">
        <f t="shared" si="41"/>
        <v>01</v>
      </c>
      <c r="E885" t="s">
        <v>1017</v>
      </c>
      <c r="F885" t="s">
        <v>21</v>
      </c>
      <c r="G885" t="s">
        <v>37</v>
      </c>
      <c r="H885" s="4" t="s">
        <v>2258</v>
      </c>
      <c r="I885">
        <v>535686</v>
      </c>
      <c r="J885" s="8" t="s">
        <v>2346</v>
      </c>
      <c r="K885" t="s">
        <v>384</v>
      </c>
      <c r="L885" t="s">
        <v>385</v>
      </c>
      <c r="M885" t="s">
        <v>89</v>
      </c>
      <c r="N885">
        <f t="shared" si="42"/>
        <v>7</v>
      </c>
      <c r="O885">
        <v>3</v>
      </c>
      <c r="P885" s="6">
        <v>159.03</v>
      </c>
      <c r="Q885">
        <v>0</v>
      </c>
      <c r="R885">
        <v>477.09</v>
      </c>
      <c r="S885">
        <v>23.85</v>
      </c>
      <c r="T885">
        <v>20</v>
      </c>
      <c r="U885">
        <v>10</v>
      </c>
      <c r="V885">
        <v>530.94000000000005</v>
      </c>
      <c r="W885" t="s">
        <v>27</v>
      </c>
      <c r="X885">
        <v>29</v>
      </c>
    </row>
    <row r="886" spans="1:24" ht="14.25" customHeight="1">
      <c r="A886" t="s">
        <v>1634</v>
      </c>
      <c r="B886" t="s">
        <v>2274</v>
      </c>
      <c r="C886" s="6" t="str">
        <f t="shared" si="40"/>
        <v>February</v>
      </c>
      <c r="D886" s="6" t="str">
        <f t="shared" si="41"/>
        <v>22</v>
      </c>
      <c r="E886" t="s">
        <v>1019</v>
      </c>
      <c r="F886" t="s">
        <v>21</v>
      </c>
      <c r="G886" t="s">
        <v>22</v>
      </c>
      <c r="H886" s="4" t="s">
        <v>2258</v>
      </c>
      <c r="I886">
        <v>244233</v>
      </c>
      <c r="J886" s="8" t="s">
        <v>2345</v>
      </c>
      <c r="K886" t="s">
        <v>388</v>
      </c>
      <c r="L886" t="s">
        <v>389</v>
      </c>
      <c r="M886" t="s">
        <v>22</v>
      </c>
      <c r="N886">
        <f t="shared" si="42"/>
        <v>6</v>
      </c>
      <c r="O886">
        <v>6</v>
      </c>
      <c r="P886" s="6">
        <v>115.65</v>
      </c>
      <c r="Q886">
        <v>5.78</v>
      </c>
      <c r="R886">
        <v>688.12000000000012</v>
      </c>
      <c r="S886">
        <v>34.409999999999997</v>
      </c>
      <c r="T886">
        <v>30</v>
      </c>
      <c r="U886">
        <v>5</v>
      </c>
      <c r="V886">
        <v>757.53000000000009</v>
      </c>
      <c r="W886" t="s">
        <v>84</v>
      </c>
      <c r="X886">
        <v>25</v>
      </c>
    </row>
    <row r="887" spans="1:24" ht="14.25" customHeight="1">
      <c r="A887" t="s">
        <v>1635</v>
      </c>
      <c r="B887" t="s">
        <v>2309</v>
      </c>
      <c r="C887" s="6" t="str">
        <f t="shared" si="40"/>
        <v>February</v>
      </c>
      <c r="D887" s="6" t="str">
        <f t="shared" si="41"/>
        <v>23</v>
      </c>
      <c r="E887" t="s">
        <v>1021</v>
      </c>
      <c r="F887" t="s">
        <v>21</v>
      </c>
      <c r="G887" t="s">
        <v>106</v>
      </c>
      <c r="H887" s="4" t="s">
        <v>2258</v>
      </c>
      <c r="I887">
        <v>321439</v>
      </c>
      <c r="J887" s="8" t="s">
        <v>2348</v>
      </c>
      <c r="K887" t="s">
        <v>392</v>
      </c>
      <c r="L887" t="s">
        <v>393</v>
      </c>
      <c r="M887" t="s">
        <v>33</v>
      </c>
      <c r="N887">
        <f t="shared" si="42"/>
        <v>10</v>
      </c>
      <c r="O887">
        <v>1</v>
      </c>
      <c r="P887" s="6">
        <v>75.64</v>
      </c>
      <c r="Q887">
        <v>11.35</v>
      </c>
      <c r="R887">
        <v>64.290000000000006</v>
      </c>
      <c r="S887">
        <v>3.21</v>
      </c>
      <c r="T887">
        <v>0</v>
      </c>
      <c r="U887">
        <v>10</v>
      </c>
      <c r="V887">
        <v>77.5</v>
      </c>
      <c r="W887" t="s">
        <v>27</v>
      </c>
      <c r="X887">
        <v>19</v>
      </c>
    </row>
    <row r="888" spans="1:24" ht="14.25" customHeight="1">
      <c r="A888" t="s">
        <v>1636</v>
      </c>
      <c r="B888" t="s">
        <v>2309</v>
      </c>
      <c r="C888" s="6" t="str">
        <f t="shared" si="40"/>
        <v>February</v>
      </c>
      <c r="D888" s="6" t="str">
        <f t="shared" si="41"/>
        <v>23</v>
      </c>
      <c r="E888" t="s">
        <v>1023</v>
      </c>
      <c r="F888" t="s">
        <v>21</v>
      </c>
      <c r="G888" t="s">
        <v>74</v>
      </c>
      <c r="H888" s="4" t="s">
        <v>2258</v>
      </c>
      <c r="I888">
        <v>497595</v>
      </c>
      <c r="J888" s="8" t="s">
        <v>2346</v>
      </c>
      <c r="K888" t="s">
        <v>396</v>
      </c>
      <c r="L888" t="s">
        <v>397</v>
      </c>
      <c r="M888" t="s">
        <v>135</v>
      </c>
      <c r="N888">
        <f t="shared" si="42"/>
        <v>9</v>
      </c>
      <c r="O888">
        <v>3</v>
      </c>
      <c r="P888" s="6">
        <v>141.71</v>
      </c>
      <c r="Q888">
        <v>0</v>
      </c>
      <c r="R888">
        <v>425.13</v>
      </c>
      <c r="S888">
        <v>21.26</v>
      </c>
      <c r="T888">
        <v>30</v>
      </c>
      <c r="U888">
        <v>20</v>
      </c>
      <c r="V888">
        <v>496.39</v>
      </c>
      <c r="W888" t="s">
        <v>27</v>
      </c>
      <c r="X888">
        <v>35</v>
      </c>
    </row>
    <row r="889" spans="1:24" ht="14.25" customHeight="1">
      <c r="A889" t="s">
        <v>1637</v>
      </c>
      <c r="B889" t="s">
        <v>2277</v>
      </c>
      <c r="C889" s="6" t="str">
        <f t="shared" si="40"/>
        <v>January</v>
      </c>
      <c r="D889" s="6" t="str">
        <f t="shared" si="41"/>
        <v>03</v>
      </c>
      <c r="E889" t="s">
        <v>1025</v>
      </c>
      <c r="F889" t="s">
        <v>21</v>
      </c>
      <c r="G889" t="s">
        <v>22</v>
      </c>
      <c r="H889" s="4" t="s">
        <v>2258</v>
      </c>
      <c r="I889">
        <v>445452</v>
      </c>
      <c r="J889" s="8" t="s">
        <v>62</v>
      </c>
      <c r="K889" t="s">
        <v>400</v>
      </c>
      <c r="L889" t="s">
        <v>401</v>
      </c>
      <c r="M889" t="s">
        <v>40</v>
      </c>
      <c r="N889">
        <f t="shared" si="42"/>
        <v>6</v>
      </c>
      <c r="O889">
        <v>3</v>
      </c>
      <c r="P889" s="6">
        <v>39.229999999999997</v>
      </c>
      <c r="Q889">
        <v>3.92</v>
      </c>
      <c r="R889">
        <v>113.77</v>
      </c>
      <c r="S889">
        <v>5.69</v>
      </c>
      <c r="T889">
        <v>20</v>
      </c>
      <c r="U889">
        <v>10</v>
      </c>
      <c r="V889">
        <v>149.46</v>
      </c>
      <c r="W889" t="s">
        <v>27</v>
      </c>
      <c r="X889">
        <v>33</v>
      </c>
    </row>
    <row r="890" spans="1:24" ht="14.25" customHeight="1">
      <c r="A890" t="s">
        <v>1638</v>
      </c>
      <c r="B890" t="s">
        <v>2292</v>
      </c>
      <c r="C890" s="6" t="str">
        <f t="shared" si="40"/>
        <v>January</v>
      </c>
      <c r="D890" s="6" t="str">
        <f t="shared" si="41"/>
        <v>16</v>
      </c>
      <c r="E890" t="s">
        <v>1027</v>
      </c>
      <c r="F890" t="s">
        <v>21</v>
      </c>
      <c r="G890" t="s">
        <v>68</v>
      </c>
      <c r="H890" s="4" t="s">
        <v>2258</v>
      </c>
      <c r="I890">
        <v>862277</v>
      </c>
      <c r="J890" s="8" t="s">
        <v>2346</v>
      </c>
      <c r="K890" t="s">
        <v>404</v>
      </c>
      <c r="L890" t="s">
        <v>405</v>
      </c>
      <c r="M890" t="s">
        <v>98</v>
      </c>
      <c r="N890">
        <f t="shared" si="42"/>
        <v>4</v>
      </c>
      <c r="O890">
        <v>2</v>
      </c>
      <c r="P890" s="6">
        <v>152.26</v>
      </c>
      <c r="Q890">
        <v>7.61</v>
      </c>
      <c r="R890">
        <v>296.91000000000003</v>
      </c>
      <c r="S890">
        <v>14.85</v>
      </c>
      <c r="T890">
        <v>20</v>
      </c>
      <c r="U890">
        <v>20</v>
      </c>
      <c r="V890">
        <v>351.76</v>
      </c>
      <c r="W890" t="s">
        <v>27</v>
      </c>
      <c r="X890">
        <v>29</v>
      </c>
    </row>
    <row r="891" spans="1:24" ht="14.25" customHeight="1">
      <c r="A891" t="s">
        <v>1639</v>
      </c>
      <c r="B891" t="s">
        <v>2271</v>
      </c>
      <c r="C891" s="6" t="str">
        <f t="shared" si="40"/>
        <v>January</v>
      </c>
      <c r="D891" s="6" t="str">
        <f t="shared" si="41"/>
        <v>23</v>
      </c>
      <c r="E891" t="s">
        <v>1029</v>
      </c>
      <c r="F891" t="s">
        <v>80</v>
      </c>
      <c r="G891" t="s">
        <v>81</v>
      </c>
      <c r="H891" s="4" t="s">
        <v>2258</v>
      </c>
      <c r="I891">
        <v>974802</v>
      </c>
      <c r="J891" s="8" t="s">
        <v>2346</v>
      </c>
      <c r="K891" t="s">
        <v>408</v>
      </c>
      <c r="L891" t="s">
        <v>409</v>
      </c>
      <c r="M891" t="s">
        <v>71</v>
      </c>
      <c r="N891">
        <f t="shared" si="42"/>
        <v>6</v>
      </c>
      <c r="O891">
        <v>1</v>
      </c>
      <c r="P891" s="6">
        <v>104.91</v>
      </c>
      <c r="Q891">
        <v>0</v>
      </c>
      <c r="R891">
        <v>104.91</v>
      </c>
      <c r="S891">
        <v>5.25</v>
      </c>
      <c r="T891">
        <v>20</v>
      </c>
      <c r="U891">
        <v>0</v>
      </c>
      <c r="V891">
        <v>130.16</v>
      </c>
      <c r="W891" t="s">
        <v>34</v>
      </c>
      <c r="X891">
        <v>25</v>
      </c>
    </row>
    <row r="892" spans="1:24" ht="14.25" customHeight="1">
      <c r="A892" t="s">
        <v>1640</v>
      </c>
      <c r="B892" t="s">
        <v>2296</v>
      </c>
      <c r="C892" s="6" t="str">
        <f t="shared" si="40"/>
        <v>February</v>
      </c>
      <c r="D892" s="6" t="str">
        <f t="shared" si="41"/>
        <v>26</v>
      </c>
      <c r="E892" t="s">
        <v>1031</v>
      </c>
      <c r="F892" t="s">
        <v>21</v>
      </c>
      <c r="G892" t="s">
        <v>37</v>
      </c>
      <c r="H892" s="4" t="s">
        <v>2258</v>
      </c>
      <c r="I892">
        <v>118830</v>
      </c>
      <c r="J892" s="8" t="s">
        <v>2347</v>
      </c>
      <c r="K892" t="s">
        <v>412</v>
      </c>
      <c r="L892" t="s">
        <v>413</v>
      </c>
      <c r="M892" t="s">
        <v>140</v>
      </c>
      <c r="N892">
        <f t="shared" si="42"/>
        <v>3</v>
      </c>
      <c r="O892">
        <v>7</v>
      </c>
      <c r="P892" s="6">
        <v>154.22999999999999</v>
      </c>
      <c r="Q892">
        <v>7.71</v>
      </c>
      <c r="R892">
        <v>1071.9000000000001</v>
      </c>
      <c r="S892">
        <v>53.59</v>
      </c>
      <c r="T892">
        <v>20</v>
      </c>
      <c r="U892">
        <v>15</v>
      </c>
      <c r="V892">
        <v>1160.49</v>
      </c>
      <c r="W892" t="s">
        <v>84</v>
      </c>
      <c r="X892">
        <v>25</v>
      </c>
    </row>
    <row r="893" spans="1:24" ht="14.25" customHeight="1">
      <c r="A893" t="s">
        <v>1641</v>
      </c>
      <c r="B893" t="s">
        <v>2272</v>
      </c>
      <c r="C893" s="6" t="str">
        <f t="shared" si="40"/>
        <v>January</v>
      </c>
      <c r="D893" s="6" t="str">
        <f t="shared" si="41"/>
        <v>11</v>
      </c>
      <c r="E893" t="s">
        <v>1033</v>
      </c>
      <c r="F893" t="s">
        <v>21</v>
      </c>
      <c r="G893" t="s">
        <v>74</v>
      </c>
      <c r="H893" s="4" t="s">
        <v>2258</v>
      </c>
      <c r="I893">
        <v>103681</v>
      </c>
      <c r="J893" s="8" t="s">
        <v>2345</v>
      </c>
      <c r="K893" t="s">
        <v>416</v>
      </c>
      <c r="L893" t="s">
        <v>417</v>
      </c>
      <c r="M893" t="s">
        <v>55</v>
      </c>
      <c r="N893">
        <f t="shared" si="42"/>
        <v>5</v>
      </c>
      <c r="O893">
        <v>4</v>
      </c>
      <c r="P893" s="6">
        <v>7.4</v>
      </c>
      <c r="Q893">
        <v>0.37</v>
      </c>
      <c r="R893">
        <v>29.23</v>
      </c>
      <c r="S893">
        <v>1.46</v>
      </c>
      <c r="T893">
        <v>20</v>
      </c>
      <c r="U893">
        <v>10</v>
      </c>
      <c r="V893">
        <v>60.69</v>
      </c>
      <c r="W893" t="s">
        <v>27</v>
      </c>
      <c r="X893">
        <v>26</v>
      </c>
    </row>
    <row r="894" spans="1:24" ht="14.25" customHeight="1">
      <c r="A894" t="s">
        <v>1642</v>
      </c>
      <c r="B894" t="s">
        <v>2285</v>
      </c>
      <c r="C894" s="6" t="str">
        <f t="shared" si="40"/>
        <v>January</v>
      </c>
      <c r="D894" s="6" t="str">
        <f t="shared" si="41"/>
        <v>12</v>
      </c>
      <c r="E894" t="s">
        <v>1035</v>
      </c>
      <c r="F894" t="s">
        <v>21</v>
      </c>
      <c r="G894" t="s">
        <v>37</v>
      </c>
      <c r="H894" s="4" t="s">
        <v>2258</v>
      </c>
      <c r="I894">
        <v>193246</v>
      </c>
      <c r="J894" s="8" t="s">
        <v>2348</v>
      </c>
      <c r="K894" t="s">
        <v>420</v>
      </c>
      <c r="L894" t="s">
        <v>421</v>
      </c>
      <c r="M894" t="s">
        <v>33</v>
      </c>
      <c r="N894">
        <f t="shared" si="42"/>
        <v>10</v>
      </c>
      <c r="O894">
        <v>3</v>
      </c>
      <c r="P894" s="6">
        <v>122.96</v>
      </c>
      <c r="Q894">
        <v>18.440000000000001</v>
      </c>
      <c r="R894">
        <v>350.44</v>
      </c>
      <c r="S894">
        <v>17.52</v>
      </c>
      <c r="T894">
        <v>10</v>
      </c>
      <c r="U894">
        <v>0</v>
      </c>
      <c r="V894">
        <v>377.96</v>
      </c>
      <c r="W894" t="s">
        <v>27</v>
      </c>
      <c r="X894">
        <v>32</v>
      </c>
    </row>
    <row r="895" spans="1:24" ht="14.25" customHeight="1">
      <c r="A895" t="s">
        <v>1643</v>
      </c>
      <c r="B895" t="s">
        <v>2311</v>
      </c>
      <c r="C895" s="6" t="str">
        <f t="shared" si="40"/>
        <v>January</v>
      </c>
      <c r="D895" s="6" t="str">
        <f t="shared" si="41"/>
        <v>10</v>
      </c>
      <c r="E895" t="s">
        <v>1037</v>
      </c>
      <c r="F895" t="s">
        <v>21</v>
      </c>
      <c r="G895" t="s">
        <v>68</v>
      </c>
      <c r="H895" s="4" t="s">
        <v>2258</v>
      </c>
      <c r="I895">
        <v>345160</v>
      </c>
      <c r="J895" s="8" t="s">
        <v>2347</v>
      </c>
      <c r="K895" t="s">
        <v>424</v>
      </c>
      <c r="L895" t="s">
        <v>425</v>
      </c>
      <c r="M895" t="s">
        <v>135</v>
      </c>
      <c r="N895">
        <f t="shared" si="42"/>
        <v>9</v>
      </c>
      <c r="O895">
        <v>4</v>
      </c>
      <c r="P895" s="6">
        <v>152.61000000000001</v>
      </c>
      <c r="Q895">
        <v>0</v>
      </c>
      <c r="R895">
        <v>610.44000000000005</v>
      </c>
      <c r="S895">
        <v>30.52</v>
      </c>
      <c r="T895">
        <v>10</v>
      </c>
      <c r="U895">
        <v>15</v>
      </c>
      <c r="V895">
        <v>665.96</v>
      </c>
      <c r="W895" t="s">
        <v>27</v>
      </c>
      <c r="X895">
        <v>45</v>
      </c>
    </row>
    <row r="896" spans="1:24" ht="14.25" customHeight="1">
      <c r="A896" t="s">
        <v>1644</v>
      </c>
      <c r="B896" t="s">
        <v>2319</v>
      </c>
      <c r="C896" s="6" t="str">
        <f t="shared" si="40"/>
        <v>February</v>
      </c>
      <c r="D896" s="6" t="str">
        <f t="shared" si="41"/>
        <v>01</v>
      </c>
      <c r="E896" t="s">
        <v>1039</v>
      </c>
      <c r="F896" t="s">
        <v>21</v>
      </c>
      <c r="G896" t="s">
        <v>37</v>
      </c>
      <c r="H896" s="4" t="s">
        <v>2258</v>
      </c>
      <c r="I896">
        <v>320326</v>
      </c>
      <c r="J896" s="8" t="s">
        <v>30</v>
      </c>
      <c r="K896" t="s">
        <v>428</v>
      </c>
      <c r="L896" t="s">
        <v>429</v>
      </c>
      <c r="M896" t="s">
        <v>177</v>
      </c>
      <c r="N896">
        <f t="shared" si="42"/>
        <v>5</v>
      </c>
      <c r="O896">
        <v>5</v>
      </c>
      <c r="P896" s="6">
        <v>207.48</v>
      </c>
      <c r="Q896">
        <v>20.75</v>
      </c>
      <c r="R896">
        <v>1016.65</v>
      </c>
      <c r="S896">
        <v>50.83</v>
      </c>
      <c r="T896">
        <v>30</v>
      </c>
      <c r="U896">
        <v>0</v>
      </c>
      <c r="V896">
        <v>1097.48</v>
      </c>
      <c r="W896" t="s">
        <v>27</v>
      </c>
      <c r="X896">
        <v>10</v>
      </c>
    </row>
    <row r="897" spans="1:24" ht="14.25" customHeight="1">
      <c r="A897" t="s">
        <v>1645</v>
      </c>
      <c r="B897" t="s">
        <v>2292</v>
      </c>
      <c r="C897" s="6" t="str">
        <f t="shared" si="40"/>
        <v>January</v>
      </c>
      <c r="D897" s="6" t="str">
        <f t="shared" si="41"/>
        <v>16</v>
      </c>
      <c r="E897" t="s">
        <v>1041</v>
      </c>
      <c r="F897" t="s">
        <v>21</v>
      </c>
      <c r="G897" t="s">
        <v>106</v>
      </c>
      <c r="H897" s="4" t="s">
        <v>2258</v>
      </c>
      <c r="I897">
        <v>180730</v>
      </c>
      <c r="J897" s="8" t="s">
        <v>2348</v>
      </c>
      <c r="K897" t="s">
        <v>432</v>
      </c>
      <c r="L897" t="s">
        <v>433</v>
      </c>
      <c r="M897" t="s">
        <v>50</v>
      </c>
      <c r="N897">
        <f t="shared" si="42"/>
        <v>5</v>
      </c>
      <c r="O897">
        <v>3</v>
      </c>
      <c r="P897" s="6">
        <v>131.49</v>
      </c>
      <c r="Q897">
        <v>13.15</v>
      </c>
      <c r="R897">
        <v>381.32000000000011</v>
      </c>
      <c r="S897">
        <v>19.07</v>
      </c>
      <c r="T897">
        <v>10</v>
      </c>
      <c r="U897">
        <v>15</v>
      </c>
      <c r="V897">
        <v>425.39</v>
      </c>
      <c r="W897" t="s">
        <v>27</v>
      </c>
      <c r="X897">
        <v>16</v>
      </c>
    </row>
    <row r="898" spans="1:24" ht="14.25" customHeight="1">
      <c r="A898" t="s">
        <v>1646</v>
      </c>
      <c r="B898" t="s">
        <v>2267</v>
      </c>
      <c r="C898" s="6" t="str">
        <f t="shared" si="40"/>
        <v>January</v>
      </c>
      <c r="D898" s="6" t="str">
        <f t="shared" si="41"/>
        <v>08</v>
      </c>
      <c r="E898" t="s">
        <v>1043</v>
      </c>
      <c r="F898" t="s">
        <v>21</v>
      </c>
      <c r="G898" t="s">
        <v>106</v>
      </c>
      <c r="H898" s="4" t="s">
        <v>2258</v>
      </c>
      <c r="I898">
        <v>909253</v>
      </c>
      <c r="J898" s="8" t="s">
        <v>2347</v>
      </c>
      <c r="K898" t="s">
        <v>436</v>
      </c>
      <c r="L898" t="s">
        <v>437</v>
      </c>
      <c r="M898" t="s">
        <v>140</v>
      </c>
      <c r="N898">
        <f t="shared" si="42"/>
        <v>3</v>
      </c>
      <c r="O898">
        <v>4</v>
      </c>
      <c r="P898" s="6">
        <v>186.97</v>
      </c>
      <c r="Q898">
        <v>9.35</v>
      </c>
      <c r="R898">
        <v>738.53</v>
      </c>
      <c r="S898">
        <v>36.93</v>
      </c>
      <c r="T898">
        <v>0</v>
      </c>
      <c r="U898">
        <v>5</v>
      </c>
      <c r="V898">
        <v>780.45999999999992</v>
      </c>
      <c r="W898" t="s">
        <v>27</v>
      </c>
      <c r="X898">
        <v>40</v>
      </c>
    </row>
    <row r="899" spans="1:24" ht="14.25" customHeight="1">
      <c r="A899" t="s">
        <v>1647</v>
      </c>
      <c r="B899" t="s">
        <v>2282</v>
      </c>
      <c r="C899" s="6" t="str">
        <f t="shared" ref="C899:C962" si="43">TEXT(B899,"mmmm")</f>
        <v>February</v>
      </c>
      <c r="D899" s="6" t="str">
        <f t="shared" ref="D899:D962" si="44">TEXT(B899,"dd")</f>
        <v>07</v>
      </c>
      <c r="E899" t="s">
        <v>1045</v>
      </c>
      <c r="F899" t="s">
        <v>21</v>
      </c>
      <c r="G899" t="s">
        <v>106</v>
      </c>
      <c r="H899" s="4" t="s">
        <v>2258</v>
      </c>
      <c r="I899">
        <v>223777</v>
      </c>
      <c r="J899" s="8" t="s">
        <v>30</v>
      </c>
      <c r="K899" t="s">
        <v>440</v>
      </c>
      <c r="L899" t="s">
        <v>441</v>
      </c>
      <c r="M899" t="s">
        <v>177</v>
      </c>
      <c r="N899">
        <f t="shared" si="42"/>
        <v>5</v>
      </c>
      <c r="O899">
        <v>9</v>
      </c>
      <c r="P899" s="6">
        <v>52.59</v>
      </c>
      <c r="Q899">
        <v>0</v>
      </c>
      <c r="R899">
        <v>473.31000000000012</v>
      </c>
      <c r="S899">
        <v>23.67</v>
      </c>
      <c r="T899">
        <v>30</v>
      </c>
      <c r="U899">
        <v>20</v>
      </c>
      <c r="V899">
        <v>546.98</v>
      </c>
      <c r="W899" t="s">
        <v>34</v>
      </c>
      <c r="X899">
        <v>25</v>
      </c>
    </row>
    <row r="900" spans="1:24" ht="14.25" customHeight="1">
      <c r="A900" t="s">
        <v>1648</v>
      </c>
      <c r="B900" t="s">
        <v>2285</v>
      </c>
      <c r="C900" s="6" t="str">
        <f t="shared" si="43"/>
        <v>January</v>
      </c>
      <c r="D900" s="6" t="str">
        <f t="shared" si="44"/>
        <v>12</v>
      </c>
      <c r="E900" t="s">
        <v>1047</v>
      </c>
      <c r="F900" t="s">
        <v>101</v>
      </c>
      <c r="G900" t="s">
        <v>81</v>
      </c>
      <c r="H900" s="4" t="s">
        <v>2258</v>
      </c>
      <c r="I900">
        <v>726614</v>
      </c>
      <c r="J900" s="8" t="s">
        <v>30</v>
      </c>
      <c r="K900" t="s">
        <v>444</v>
      </c>
      <c r="L900" t="s">
        <v>445</v>
      </c>
      <c r="M900" t="s">
        <v>135</v>
      </c>
      <c r="N900">
        <f t="shared" si="42"/>
        <v>9</v>
      </c>
      <c r="O900">
        <v>1</v>
      </c>
      <c r="P900" s="6">
        <v>125.41</v>
      </c>
      <c r="Q900">
        <v>18.809999999999999</v>
      </c>
      <c r="R900">
        <v>106.6</v>
      </c>
      <c r="S900">
        <v>5.33</v>
      </c>
      <c r="T900">
        <v>30</v>
      </c>
      <c r="U900">
        <v>10</v>
      </c>
      <c r="V900">
        <v>151.93</v>
      </c>
      <c r="W900" t="s">
        <v>27</v>
      </c>
      <c r="X900">
        <v>33</v>
      </c>
    </row>
    <row r="901" spans="1:24" ht="14.25" customHeight="1">
      <c r="A901" t="s">
        <v>1649</v>
      </c>
      <c r="B901" t="s">
        <v>2273</v>
      </c>
      <c r="C901" s="6" t="str">
        <f t="shared" si="43"/>
        <v>January</v>
      </c>
      <c r="D901" s="6" t="str">
        <f t="shared" si="44"/>
        <v>24</v>
      </c>
      <c r="E901" t="s">
        <v>1049</v>
      </c>
      <c r="F901" t="s">
        <v>21</v>
      </c>
      <c r="G901" t="s">
        <v>74</v>
      </c>
      <c r="H901" s="4" t="s">
        <v>2258</v>
      </c>
      <c r="I901">
        <v>196952</v>
      </c>
      <c r="J901" s="8" t="s">
        <v>30</v>
      </c>
      <c r="K901" t="s">
        <v>448</v>
      </c>
      <c r="L901" t="s">
        <v>449</v>
      </c>
      <c r="M901" t="s">
        <v>22</v>
      </c>
      <c r="N901">
        <f t="shared" si="42"/>
        <v>6</v>
      </c>
      <c r="O901">
        <v>1</v>
      </c>
      <c r="P901" s="6">
        <v>235.41</v>
      </c>
      <c r="Q901">
        <v>0</v>
      </c>
      <c r="R901">
        <v>235.41</v>
      </c>
      <c r="S901">
        <v>11.77</v>
      </c>
      <c r="T901">
        <v>0</v>
      </c>
      <c r="U901">
        <v>0</v>
      </c>
      <c r="V901">
        <v>247.18</v>
      </c>
      <c r="W901" t="s">
        <v>27</v>
      </c>
      <c r="X901">
        <v>17</v>
      </c>
    </row>
    <row r="902" spans="1:24" ht="14.25" customHeight="1">
      <c r="A902" t="s">
        <v>1650</v>
      </c>
      <c r="B902" t="s">
        <v>2291</v>
      </c>
      <c r="C902" s="6" t="str">
        <f t="shared" si="43"/>
        <v>January</v>
      </c>
      <c r="D902" s="6" t="str">
        <f t="shared" si="44"/>
        <v>28</v>
      </c>
      <c r="E902" t="s">
        <v>20</v>
      </c>
      <c r="F902" t="s">
        <v>21</v>
      </c>
      <c r="G902" t="s">
        <v>74</v>
      </c>
      <c r="H902" s="4" t="s">
        <v>2258</v>
      </c>
      <c r="I902">
        <v>623165</v>
      </c>
      <c r="J902" s="8" t="s">
        <v>2348</v>
      </c>
      <c r="K902" t="s">
        <v>452</v>
      </c>
      <c r="L902" t="s">
        <v>453</v>
      </c>
      <c r="M902" t="s">
        <v>89</v>
      </c>
      <c r="N902">
        <f t="shared" si="42"/>
        <v>7</v>
      </c>
      <c r="O902">
        <v>3</v>
      </c>
      <c r="P902" s="6">
        <v>17.87</v>
      </c>
      <c r="Q902">
        <v>0.89</v>
      </c>
      <c r="R902">
        <v>52.72</v>
      </c>
      <c r="S902">
        <v>2.64</v>
      </c>
      <c r="T902">
        <v>10</v>
      </c>
      <c r="U902">
        <v>10</v>
      </c>
      <c r="V902">
        <v>75.36</v>
      </c>
      <c r="W902" t="s">
        <v>27</v>
      </c>
      <c r="X902">
        <v>9</v>
      </c>
    </row>
    <row r="903" spans="1:24" ht="14.25" customHeight="1">
      <c r="A903" t="s">
        <v>1651</v>
      </c>
      <c r="B903" t="s">
        <v>2274</v>
      </c>
      <c r="C903" s="6" t="str">
        <f t="shared" si="43"/>
        <v>February</v>
      </c>
      <c r="D903" s="6" t="str">
        <f t="shared" si="44"/>
        <v>22</v>
      </c>
      <c r="E903" t="s">
        <v>29</v>
      </c>
      <c r="F903" t="s">
        <v>21</v>
      </c>
      <c r="G903" t="s">
        <v>106</v>
      </c>
      <c r="H903" s="4" t="s">
        <v>2258</v>
      </c>
      <c r="I903">
        <v>711796</v>
      </c>
      <c r="J903" s="8" t="s">
        <v>30</v>
      </c>
      <c r="K903" t="s">
        <v>456</v>
      </c>
      <c r="L903" t="s">
        <v>457</v>
      </c>
      <c r="M903" t="s">
        <v>33</v>
      </c>
      <c r="N903">
        <f t="shared" si="42"/>
        <v>10</v>
      </c>
      <c r="O903">
        <v>1</v>
      </c>
      <c r="P903" s="6">
        <v>4.67</v>
      </c>
      <c r="Q903">
        <v>0.23</v>
      </c>
      <c r="R903">
        <v>4.4400000000000004</v>
      </c>
      <c r="S903">
        <v>0.22</v>
      </c>
      <c r="T903">
        <v>20</v>
      </c>
      <c r="U903">
        <v>15</v>
      </c>
      <c r="V903">
        <v>39.659999999999997</v>
      </c>
      <c r="W903" t="s">
        <v>27</v>
      </c>
      <c r="X903">
        <v>21</v>
      </c>
    </row>
    <row r="904" spans="1:24" ht="14.25" customHeight="1">
      <c r="A904" t="s">
        <v>1652</v>
      </c>
      <c r="B904" t="s">
        <v>2267</v>
      </c>
      <c r="C904" s="6" t="str">
        <f t="shared" si="43"/>
        <v>January</v>
      </c>
      <c r="D904" s="6" t="str">
        <f t="shared" si="44"/>
        <v>08</v>
      </c>
      <c r="E904" t="s">
        <v>36</v>
      </c>
      <c r="F904" t="s">
        <v>101</v>
      </c>
      <c r="G904" t="s">
        <v>81</v>
      </c>
      <c r="H904" s="4" t="s">
        <v>2258</v>
      </c>
      <c r="I904">
        <v>930547</v>
      </c>
      <c r="J904" s="8" t="s">
        <v>30</v>
      </c>
      <c r="K904" t="s">
        <v>460</v>
      </c>
      <c r="L904" t="s">
        <v>461</v>
      </c>
      <c r="M904" t="s">
        <v>77</v>
      </c>
      <c r="N904">
        <f t="shared" si="42"/>
        <v>5</v>
      </c>
      <c r="O904">
        <v>3</v>
      </c>
      <c r="P904" s="6">
        <v>103.78</v>
      </c>
      <c r="Q904">
        <v>0</v>
      </c>
      <c r="R904">
        <v>311.33999999999997</v>
      </c>
      <c r="S904">
        <v>15.57</v>
      </c>
      <c r="T904">
        <v>0</v>
      </c>
      <c r="U904">
        <v>10</v>
      </c>
      <c r="V904">
        <v>336.91</v>
      </c>
      <c r="W904" t="s">
        <v>27</v>
      </c>
      <c r="X904">
        <v>23</v>
      </c>
    </row>
    <row r="905" spans="1:24" ht="14.25" customHeight="1">
      <c r="A905" t="s">
        <v>1653</v>
      </c>
      <c r="B905" t="s">
        <v>2269</v>
      </c>
      <c r="C905" s="6" t="str">
        <f t="shared" si="43"/>
        <v>February</v>
      </c>
      <c r="D905" s="6" t="str">
        <f t="shared" si="44"/>
        <v>27</v>
      </c>
      <c r="E905" t="s">
        <v>42</v>
      </c>
      <c r="F905" t="s">
        <v>21</v>
      </c>
      <c r="G905" t="s">
        <v>22</v>
      </c>
      <c r="H905" s="4" t="s">
        <v>2258</v>
      </c>
      <c r="I905">
        <v>923628</v>
      </c>
      <c r="J905" s="8" t="s">
        <v>2349</v>
      </c>
      <c r="K905" t="s">
        <v>464</v>
      </c>
      <c r="L905" t="s">
        <v>465</v>
      </c>
      <c r="M905" t="s">
        <v>98</v>
      </c>
      <c r="N905">
        <f t="shared" si="42"/>
        <v>4</v>
      </c>
      <c r="O905">
        <v>2</v>
      </c>
      <c r="P905" s="6">
        <v>121.08</v>
      </c>
      <c r="Q905">
        <v>12.11</v>
      </c>
      <c r="R905">
        <v>230.05</v>
      </c>
      <c r="S905">
        <v>11.5</v>
      </c>
      <c r="T905">
        <v>30</v>
      </c>
      <c r="U905">
        <v>15</v>
      </c>
      <c r="V905">
        <v>286.55</v>
      </c>
      <c r="W905" t="s">
        <v>27</v>
      </c>
      <c r="X905">
        <v>29</v>
      </c>
    </row>
    <row r="906" spans="1:24" ht="14.25" customHeight="1">
      <c r="A906" t="s">
        <v>1654</v>
      </c>
      <c r="B906" t="s">
        <v>2291</v>
      </c>
      <c r="C906" s="6" t="str">
        <f t="shared" si="43"/>
        <v>January</v>
      </c>
      <c r="D906" s="6" t="str">
        <f t="shared" si="44"/>
        <v>28</v>
      </c>
      <c r="E906" t="s">
        <v>47</v>
      </c>
      <c r="F906" t="s">
        <v>21</v>
      </c>
      <c r="G906" t="s">
        <v>68</v>
      </c>
      <c r="H906" s="4" t="s">
        <v>2258</v>
      </c>
      <c r="I906">
        <v>808669</v>
      </c>
      <c r="J906" s="8" t="s">
        <v>30</v>
      </c>
      <c r="K906" t="s">
        <v>468</v>
      </c>
      <c r="L906" t="s">
        <v>469</v>
      </c>
      <c r="M906" t="s">
        <v>89</v>
      </c>
      <c r="N906">
        <f t="shared" si="42"/>
        <v>7</v>
      </c>
      <c r="O906">
        <v>2</v>
      </c>
      <c r="P906" s="6">
        <v>24.26</v>
      </c>
      <c r="Q906">
        <v>2.4300000000000002</v>
      </c>
      <c r="R906">
        <v>46.09</v>
      </c>
      <c r="S906">
        <v>2.2999999999999998</v>
      </c>
      <c r="T906">
        <v>30</v>
      </c>
      <c r="U906">
        <v>15</v>
      </c>
      <c r="V906">
        <v>93.39</v>
      </c>
      <c r="W906" t="s">
        <v>27</v>
      </c>
      <c r="X906">
        <v>32</v>
      </c>
    </row>
    <row r="907" spans="1:24" ht="14.25" customHeight="1">
      <c r="A907" t="s">
        <v>1655</v>
      </c>
      <c r="B907" t="s">
        <v>2275</v>
      </c>
      <c r="C907" s="6" t="str">
        <f t="shared" si="43"/>
        <v>February</v>
      </c>
      <c r="D907" s="6" t="str">
        <f t="shared" si="44"/>
        <v>05</v>
      </c>
      <c r="E907" t="s">
        <v>52</v>
      </c>
      <c r="F907" t="s">
        <v>21</v>
      </c>
      <c r="G907" t="s">
        <v>37</v>
      </c>
      <c r="H907" s="4" t="s">
        <v>2258</v>
      </c>
      <c r="I907">
        <v>827467</v>
      </c>
      <c r="J907" s="8" t="s">
        <v>30</v>
      </c>
      <c r="K907" t="s">
        <v>472</v>
      </c>
      <c r="L907" t="s">
        <v>473</v>
      </c>
      <c r="M907" t="s">
        <v>89</v>
      </c>
      <c r="N907">
        <f t="shared" si="42"/>
        <v>7</v>
      </c>
      <c r="O907">
        <v>4</v>
      </c>
      <c r="P907" s="6">
        <v>90.7</v>
      </c>
      <c r="Q907">
        <v>13.61</v>
      </c>
      <c r="R907">
        <v>349.19</v>
      </c>
      <c r="S907">
        <v>17.46</v>
      </c>
      <c r="T907">
        <v>10</v>
      </c>
      <c r="U907">
        <v>0</v>
      </c>
      <c r="V907">
        <v>376.65</v>
      </c>
      <c r="W907" t="s">
        <v>27</v>
      </c>
      <c r="X907">
        <v>31</v>
      </c>
    </row>
    <row r="908" spans="1:24" ht="14.25" customHeight="1">
      <c r="A908" t="s">
        <v>1656</v>
      </c>
      <c r="B908" t="s">
        <v>2304</v>
      </c>
      <c r="C908" s="6" t="str">
        <f t="shared" si="43"/>
        <v>January</v>
      </c>
      <c r="D908" s="6" t="str">
        <f t="shared" si="44"/>
        <v>26</v>
      </c>
      <c r="E908" t="s">
        <v>57</v>
      </c>
      <c r="F908" t="s">
        <v>21</v>
      </c>
      <c r="G908" t="s">
        <v>22</v>
      </c>
      <c r="H908" s="4" t="s">
        <v>2258</v>
      </c>
      <c r="I908">
        <v>139236</v>
      </c>
      <c r="J908" s="8" t="s">
        <v>2347</v>
      </c>
      <c r="K908" t="s">
        <v>476</v>
      </c>
      <c r="L908" t="s">
        <v>477</v>
      </c>
      <c r="M908" t="s">
        <v>71</v>
      </c>
      <c r="N908">
        <f t="shared" si="42"/>
        <v>6</v>
      </c>
      <c r="O908">
        <v>2</v>
      </c>
      <c r="P908" s="6">
        <v>187.19</v>
      </c>
      <c r="Q908">
        <v>18.72</v>
      </c>
      <c r="R908">
        <v>355.66</v>
      </c>
      <c r="S908">
        <v>17.78</v>
      </c>
      <c r="T908">
        <v>30</v>
      </c>
      <c r="U908">
        <v>5</v>
      </c>
      <c r="V908">
        <v>408.43999999999988</v>
      </c>
      <c r="W908" t="s">
        <v>27</v>
      </c>
      <c r="X908">
        <v>15</v>
      </c>
    </row>
    <row r="909" spans="1:24" ht="14.25" customHeight="1">
      <c r="A909" t="s">
        <v>1657</v>
      </c>
      <c r="B909" t="s">
        <v>2267</v>
      </c>
      <c r="C909" s="6" t="str">
        <f t="shared" si="43"/>
        <v>January</v>
      </c>
      <c r="D909" s="6" t="str">
        <f t="shared" si="44"/>
        <v>08</v>
      </c>
      <c r="E909" t="s">
        <v>61</v>
      </c>
      <c r="F909" t="s">
        <v>21</v>
      </c>
      <c r="G909" t="s">
        <v>68</v>
      </c>
      <c r="H909" s="4" t="s">
        <v>2258</v>
      </c>
      <c r="I909">
        <v>396379</v>
      </c>
      <c r="J909" s="8" t="s">
        <v>30</v>
      </c>
      <c r="K909" t="s">
        <v>480</v>
      </c>
      <c r="L909" t="s">
        <v>481</v>
      </c>
      <c r="M909" t="s">
        <v>135</v>
      </c>
      <c r="N909">
        <f t="shared" ref="N909:N972" si="45">LEN(M909)</f>
        <v>9</v>
      </c>
      <c r="O909">
        <v>3</v>
      </c>
      <c r="P909" s="6">
        <v>33.479999999999997</v>
      </c>
      <c r="Q909">
        <v>1.67</v>
      </c>
      <c r="R909">
        <v>98.77</v>
      </c>
      <c r="S909">
        <v>4.9400000000000004</v>
      </c>
      <c r="T909">
        <v>30</v>
      </c>
      <c r="U909">
        <v>10</v>
      </c>
      <c r="V909">
        <v>143.71</v>
      </c>
      <c r="W909" t="s">
        <v>27</v>
      </c>
      <c r="X909">
        <v>6</v>
      </c>
    </row>
    <row r="910" spans="1:24" ht="14.25" customHeight="1">
      <c r="A910" t="s">
        <v>1658</v>
      </c>
      <c r="B910" t="s">
        <v>2269</v>
      </c>
      <c r="C910" s="6" t="str">
        <f t="shared" si="43"/>
        <v>February</v>
      </c>
      <c r="D910" s="6" t="str">
        <f t="shared" si="44"/>
        <v>27</v>
      </c>
      <c r="E910" t="s">
        <v>67</v>
      </c>
      <c r="F910" t="s">
        <v>21</v>
      </c>
      <c r="G910" t="s">
        <v>74</v>
      </c>
      <c r="H910" s="4" t="s">
        <v>2258</v>
      </c>
      <c r="I910">
        <v>472454</v>
      </c>
      <c r="J910" s="8" t="s">
        <v>30</v>
      </c>
      <c r="K910" t="s">
        <v>484</v>
      </c>
      <c r="L910" t="s">
        <v>485</v>
      </c>
      <c r="M910" t="s">
        <v>77</v>
      </c>
      <c r="N910">
        <f t="shared" si="45"/>
        <v>5</v>
      </c>
      <c r="O910">
        <v>3</v>
      </c>
      <c r="P910" s="6">
        <v>225.04</v>
      </c>
      <c r="Q910">
        <v>33.76</v>
      </c>
      <c r="R910">
        <v>641.36</v>
      </c>
      <c r="S910">
        <v>32.07</v>
      </c>
      <c r="T910">
        <v>30</v>
      </c>
      <c r="U910">
        <v>0</v>
      </c>
      <c r="V910">
        <v>703.43000000000006</v>
      </c>
      <c r="W910" t="s">
        <v>27</v>
      </c>
      <c r="X910">
        <v>20</v>
      </c>
    </row>
    <row r="911" spans="1:24" ht="14.25" customHeight="1">
      <c r="A911" t="s">
        <v>1659</v>
      </c>
      <c r="B911" t="s">
        <v>2283</v>
      </c>
      <c r="C911" s="6" t="str">
        <f t="shared" si="43"/>
        <v>March</v>
      </c>
      <c r="D911" s="6" t="str">
        <f t="shared" si="44"/>
        <v>01</v>
      </c>
      <c r="E911" t="s">
        <v>73</v>
      </c>
      <c r="F911" t="s">
        <v>21</v>
      </c>
      <c r="G911" t="s">
        <v>106</v>
      </c>
      <c r="H911" s="4" t="s">
        <v>2258</v>
      </c>
      <c r="I911">
        <v>889948</v>
      </c>
      <c r="J911" s="8" t="s">
        <v>2346</v>
      </c>
      <c r="K911" t="s">
        <v>488</v>
      </c>
      <c r="L911" t="s">
        <v>489</v>
      </c>
      <c r="M911" t="s">
        <v>130</v>
      </c>
      <c r="N911">
        <f t="shared" si="45"/>
        <v>7</v>
      </c>
      <c r="O911">
        <v>4</v>
      </c>
      <c r="P911" s="6">
        <v>88.94</v>
      </c>
      <c r="Q911">
        <v>0</v>
      </c>
      <c r="R911">
        <v>355.76</v>
      </c>
      <c r="S911">
        <v>17.79</v>
      </c>
      <c r="T911">
        <v>10</v>
      </c>
      <c r="U911">
        <v>0</v>
      </c>
      <c r="V911">
        <v>383.55</v>
      </c>
      <c r="W911" t="s">
        <v>27</v>
      </c>
      <c r="X911">
        <v>24</v>
      </c>
    </row>
    <row r="912" spans="1:24" ht="14.25" customHeight="1">
      <c r="A912" t="s">
        <v>1660</v>
      </c>
      <c r="B912" t="s">
        <v>2303</v>
      </c>
      <c r="C912" s="6" t="str">
        <f t="shared" si="43"/>
        <v>February</v>
      </c>
      <c r="D912" s="6" t="str">
        <f t="shared" si="44"/>
        <v>19</v>
      </c>
      <c r="E912" t="s">
        <v>79</v>
      </c>
      <c r="F912" t="s">
        <v>21</v>
      </c>
      <c r="G912" t="s">
        <v>37</v>
      </c>
      <c r="H912" s="4" t="s">
        <v>2258</v>
      </c>
      <c r="I912">
        <v>332931</v>
      </c>
      <c r="J912" s="8" t="s">
        <v>30</v>
      </c>
      <c r="K912" t="s">
        <v>492</v>
      </c>
      <c r="L912" t="s">
        <v>493</v>
      </c>
      <c r="M912" t="s">
        <v>50</v>
      </c>
      <c r="N912">
        <f t="shared" si="45"/>
        <v>5</v>
      </c>
      <c r="O912">
        <v>6</v>
      </c>
      <c r="P912" s="6">
        <v>230.63</v>
      </c>
      <c r="Q912">
        <v>23.06</v>
      </c>
      <c r="R912">
        <v>1360.72</v>
      </c>
      <c r="S912">
        <v>68.040000000000006</v>
      </c>
      <c r="T912">
        <v>0</v>
      </c>
      <c r="U912">
        <v>20</v>
      </c>
      <c r="V912">
        <v>1448.76</v>
      </c>
      <c r="W912" t="s">
        <v>27</v>
      </c>
      <c r="X912">
        <v>37</v>
      </c>
    </row>
    <row r="913" spans="1:24" ht="14.25" customHeight="1">
      <c r="A913" t="s">
        <v>1661</v>
      </c>
      <c r="B913" t="s">
        <v>2291</v>
      </c>
      <c r="C913" s="6" t="str">
        <f t="shared" si="43"/>
        <v>January</v>
      </c>
      <c r="D913" s="6" t="str">
        <f t="shared" si="44"/>
        <v>28</v>
      </c>
      <c r="E913" t="s">
        <v>86</v>
      </c>
      <c r="F913" t="s">
        <v>21</v>
      </c>
      <c r="G913" t="s">
        <v>106</v>
      </c>
      <c r="H913" s="4" t="s">
        <v>2258</v>
      </c>
      <c r="I913">
        <v>411741</v>
      </c>
      <c r="J913" s="8" t="s">
        <v>2345</v>
      </c>
      <c r="K913" t="s">
        <v>496</v>
      </c>
      <c r="L913" t="s">
        <v>497</v>
      </c>
      <c r="M913" t="s">
        <v>71</v>
      </c>
      <c r="N913">
        <f t="shared" si="45"/>
        <v>6</v>
      </c>
      <c r="O913">
        <v>1</v>
      </c>
      <c r="P913" s="6">
        <v>102.71</v>
      </c>
      <c r="Q913">
        <v>15.41</v>
      </c>
      <c r="R913">
        <v>87.3</v>
      </c>
      <c r="S913">
        <v>4.37</v>
      </c>
      <c r="T913">
        <v>0</v>
      </c>
      <c r="U913">
        <v>10</v>
      </c>
      <c r="V913">
        <v>101.67</v>
      </c>
      <c r="W913" t="s">
        <v>27</v>
      </c>
      <c r="X913">
        <v>29</v>
      </c>
    </row>
    <row r="914" spans="1:24" ht="14.25" customHeight="1">
      <c r="A914" t="s">
        <v>1662</v>
      </c>
      <c r="B914" t="s">
        <v>2291</v>
      </c>
      <c r="C914" s="6" t="str">
        <f t="shared" si="43"/>
        <v>January</v>
      </c>
      <c r="D914" s="6" t="str">
        <f t="shared" si="44"/>
        <v>28</v>
      </c>
      <c r="E914" t="s">
        <v>91</v>
      </c>
      <c r="F914" t="s">
        <v>21</v>
      </c>
      <c r="G914" t="s">
        <v>68</v>
      </c>
      <c r="H914" s="4" t="s">
        <v>2258</v>
      </c>
      <c r="I914">
        <v>847320</v>
      </c>
      <c r="J914" s="8" t="s">
        <v>30</v>
      </c>
      <c r="K914" t="s">
        <v>500</v>
      </c>
      <c r="L914" t="s">
        <v>501</v>
      </c>
      <c r="M914" t="s">
        <v>40</v>
      </c>
      <c r="N914">
        <f t="shared" si="45"/>
        <v>6</v>
      </c>
      <c r="O914">
        <v>3</v>
      </c>
      <c r="P914" s="6">
        <v>180.97</v>
      </c>
      <c r="Q914">
        <v>9.0500000000000007</v>
      </c>
      <c r="R914">
        <v>533.86</v>
      </c>
      <c r="S914">
        <v>26.69</v>
      </c>
      <c r="T914">
        <v>30</v>
      </c>
      <c r="U914">
        <v>10</v>
      </c>
      <c r="V914">
        <v>600.55000000000007</v>
      </c>
      <c r="W914" t="s">
        <v>27</v>
      </c>
      <c r="X914">
        <v>36</v>
      </c>
    </row>
    <row r="915" spans="1:24" ht="14.25" customHeight="1">
      <c r="A915" t="s">
        <v>1663</v>
      </c>
      <c r="B915" t="s">
        <v>2297</v>
      </c>
      <c r="C915" s="6" t="str">
        <f t="shared" si="43"/>
        <v>February</v>
      </c>
      <c r="D915" s="6" t="str">
        <f t="shared" si="44"/>
        <v>06</v>
      </c>
      <c r="E915" t="s">
        <v>95</v>
      </c>
      <c r="F915" t="s">
        <v>21</v>
      </c>
      <c r="G915" t="s">
        <v>74</v>
      </c>
      <c r="H915" s="4" t="s">
        <v>2258</v>
      </c>
      <c r="I915">
        <v>354043</v>
      </c>
      <c r="J915" s="8" t="s">
        <v>30</v>
      </c>
      <c r="K915" t="s">
        <v>504</v>
      </c>
      <c r="L915" t="s">
        <v>505</v>
      </c>
      <c r="M915" t="s">
        <v>55</v>
      </c>
      <c r="N915">
        <f t="shared" si="45"/>
        <v>5</v>
      </c>
      <c r="O915">
        <v>3</v>
      </c>
      <c r="P915" s="6">
        <v>50.93</v>
      </c>
      <c r="Q915">
        <v>5.09</v>
      </c>
      <c r="R915">
        <v>147.69999999999999</v>
      </c>
      <c r="S915">
        <v>7.38</v>
      </c>
      <c r="T915">
        <v>10</v>
      </c>
      <c r="U915">
        <v>5</v>
      </c>
      <c r="V915">
        <v>170.08</v>
      </c>
      <c r="W915" t="s">
        <v>27</v>
      </c>
      <c r="X915">
        <v>3</v>
      </c>
    </row>
    <row r="916" spans="1:24" ht="14.25" customHeight="1">
      <c r="A916" t="s">
        <v>1664</v>
      </c>
      <c r="B916" t="s">
        <v>2315</v>
      </c>
      <c r="C916" s="6" t="str">
        <f t="shared" si="43"/>
        <v>February</v>
      </c>
      <c r="D916" s="6" t="str">
        <f t="shared" si="44"/>
        <v>10</v>
      </c>
      <c r="E916" t="s">
        <v>100</v>
      </c>
      <c r="F916" t="s">
        <v>21</v>
      </c>
      <c r="G916" t="s">
        <v>37</v>
      </c>
      <c r="H916" s="4" t="s">
        <v>2258</v>
      </c>
      <c r="I916">
        <v>445876</v>
      </c>
      <c r="J916" s="8" t="s">
        <v>2348</v>
      </c>
      <c r="K916" t="s">
        <v>508</v>
      </c>
      <c r="L916" t="s">
        <v>509</v>
      </c>
      <c r="M916" t="s">
        <v>65</v>
      </c>
      <c r="N916">
        <f t="shared" si="45"/>
        <v>6</v>
      </c>
      <c r="O916">
        <v>1</v>
      </c>
      <c r="P916" s="6">
        <v>88.12</v>
      </c>
      <c r="Q916">
        <v>13.22</v>
      </c>
      <c r="R916">
        <v>74.900000000000006</v>
      </c>
      <c r="S916">
        <v>3.75</v>
      </c>
      <c r="T916">
        <v>10</v>
      </c>
      <c r="U916">
        <v>20</v>
      </c>
      <c r="V916">
        <v>108.65</v>
      </c>
      <c r="W916" t="s">
        <v>27</v>
      </c>
      <c r="X916">
        <v>33</v>
      </c>
    </row>
    <row r="917" spans="1:24" ht="14.25" customHeight="1">
      <c r="A917" t="s">
        <v>1665</v>
      </c>
      <c r="B917" t="s">
        <v>2275</v>
      </c>
      <c r="C917" s="6" t="str">
        <f t="shared" si="43"/>
        <v>February</v>
      </c>
      <c r="D917" s="6" t="str">
        <f t="shared" si="44"/>
        <v>05</v>
      </c>
      <c r="E917" t="s">
        <v>105</v>
      </c>
      <c r="F917" t="s">
        <v>21</v>
      </c>
      <c r="G917" t="s">
        <v>37</v>
      </c>
      <c r="H917" s="4" t="s">
        <v>2258</v>
      </c>
      <c r="I917">
        <v>784050</v>
      </c>
      <c r="J917" s="8" t="s">
        <v>30</v>
      </c>
      <c r="K917" t="s">
        <v>512</v>
      </c>
      <c r="L917" t="s">
        <v>513</v>
      </c>
      <c r="M917" t="s">
        <v>26</v>
      </c>
      <c r="N917">
        <f t="shared" si="45"/>
        <v>3</v>
      </c>
      <c r="O917">
        <v>2</v>
      </c>
      <c r="P917" s="6">
        <v>56.18</v>
      </c>
      <c r="Q917">
        <v>8.43</v>
      </c>
      <c r="R917">
        <v>103.93</v>
      </c>
      <c r="S917">
        <v>5.2</v>
      </c>
      <c r="T917">
        <v>10</v>
      </c>
      <c r="U917">
        <v>10</v>
      </c>
      <c r="V917">
        <v>129.13</v>
      </c>
      <c r="W917" t="s">
        <v>27</v>
      </c>
      <c r="X917">
        <v>18</v>
      </c>
    </row>
    <row r="918" spans="1:24" ht="14.25" customHeight="1">
      <c r="A918" t="s">
        <v>1666</v>
      </c>
      <c r="B918" t="s">
        <v>2288</v>
      </c>
      <c r="C918" s="6" t="str">
        <f t="shared" si="43"/>
        <v>January</v>
      </c>
      <c r="D918" s="6" t="str">
        <f t="shared" si="44"/>
        <v>27</v>
      </c>
      <c r="E918" t="s">
        <v>110</v>
      </c>
      <c r="F918" t="s">
        <v>21</v>
      </c>
      <c r="G918" t="s">
        <v>74</v>
      </c>
      <c r="H918" s="4" t="s">
        <v>2258</v>
      </c>
      <c r="I918">
        <v>280775</v>
      </c>
      <c r="J918" s="8" t="s">
        <v>2347</v>
      </c>
      <c r="K918" t="s">
        <v>516</v>
      </c>
      <c r="L918" t="s">
        <v>517</v>
      </c>
      <c r="M918" t="s">
        <v>26</v>
      </c>
      <c r="N918">
        <f t="shared" si="45"/>
        <v>3</v>
      </c>
      <c r="O918">
        <v>3</v>
      </c>
      <c r="P918" s="6">
        <v>95.06</v>
      </c>
      <c r="Q918">
        <v>0</v>
      </c>
      <c r="R918">
        <v>285.18</v>
      </c>
      <c r="S918">
        <v>14.26</v>
      </c>
      <c r="T918">
        <v>0</v>
      </c>
      <c r="U918">
        <v>20</v>
      </c>
      <c r="V918">
        <v>319.44</v>
      </c>
      <c r="W918" t="s">
        <v>34</v>
      </c>
      <c r="X918">
        <v>25</v>
      </c>
    </row>
    <row r="919" spans="1:24" ht="14.25" customHeight="1">
      <c r="A919" t="s">
        <v>1667</v>
      </c>
      <c r="B919" t="s">
        <v>2309</v>
      </c>
      <c r="C919" s="6" t="str">
        <f t="shared" si="43"/>
        <v>February</v>
      </c>
      <c r="D919" s="6" t="str">
        <f t="shared" si="44"/>
        <v>23</v>
      </c>
      <c r="E919" t="s">
        <v>114</v>
      </c>
      <c r="F919" t="s">
        <v>80</v>
      </c>
      <c r="G919" t="s">
        <v>81</v>
      </c>
      <c r="H919" s="4" t="s">
        <v>2258</v>
      </c>
      <c r="I919">
        <v>646774</v>
      </c>
      <c r="J919" s="8" t="s">
        <v>2348</v>
      </c>
      <c r="K919" t="s">
        <v>520</v>
      </c>
      <c r="L919" t="s">
        <v>521</v>
      </c>
      <c r="M919" t="s">
        <v>130</v>
      </c>
      <c r="N919">
        <f t="shared" si="45"/>
        <v>7</v>
      </c>
      <c r="O919">
        <v>3</v>
      </c>
      <c r="P919" s="6">
        <v>220.26</v>
      </c>
      <c r="Q919">
        <v>11.01</v>
      </c>
      <c r="R919">
        <v>649.77</v>
      </c>
      <c r="S919">
        <v>32.49</v>
      </c>
      <c r="T919">
        <v>30</v>
      </c>
      <c r="U919">
        <v>10</v>
      </c>
      <c r="V919">
        <v>722.26</v>
      </c>
      <c r="W919" t="s">
        <v>27</v>
      </c>
      <c r="X919">
        <v>17</v>
      </c>
    </row>
    <row r="920" spans="1:24" ht="14.25" customHeight="1">
      <c r="A920" t="s">
        <v>1668</v>
      </c>
      <c r="B920" t="s">
        <v>2307</v>
      </c>
      <c r="C920" s="6" t="str">
        <f t="shared" si="43"/>
        <v>January</v>
      </c>
      <c r="D920" s="6" t="str">
        <f t="shared" si="44"/>
        <v>17</v>
      </c>
      <c r="E920" t="s">
        <v>119</v>
      </c>
      <c r="F920" t="s">
        <v>21</v>
      </c>
      <c r="G920" t="s">
        <v>106</v>
      </c>
      <c r="H920" s="4" t="s">
        <v>2258</v>
      </c>
      <c r="I920">
        <v>836854</v>
      </c>
      <c r="J920" s="8" t="s">
        <v>2346</v>
      </c>
      <c r="K920" t="s">
        <v>524</v>
      </c>
      <c r="L920" t="s">
        <v>525</v>
      </c>
      <c r="M920" t="s">
        <v>130</v>
      </c>
      <c r="N920">
        <f t="shared" si="45"/>
        <v>7</v>
      </c>
      <c r="O920">
        <v>3</v>
      </c>
      <c r="P920" s="6">
        <v>184</v>
      </c>
      <c r="Q920">
        <v>0</v>
      </c>
      <c r="R920">
        <v>552</v>
      </c>
      <c r="S920">
        <v>27.6</v>
      </c>
      <c r="T920">
        <v>20</v>
      </c>
      <c r="U920">
        <v>5</v>
      </c>
      <c r="V920">
        <v>604.6</v>
      </c>
      <c r="W920" t="s">
        <v>27</v>
      </c>
      <c r="X920">
        <v>21</v>
      </c>
    </row>
    <row r="921" spans="1:24" ht="14.25" customHeight="1">
      <c r="A921" t="s">
        <v>1669</v>
      </c>
      <c r="B921" t="s">
        <v>2299</v>
      </c>
      <c r="C921" s="6" t="str">
        <f t="shared" si="43"/>
        <v>January</v>
      </c>
      <c r="D921" s="6" t="str">
        <f t="shared" si="44"/>
        <v>09</v>
      </c>
      <c r="E921" t="s">
        <v>123</v>
      </c>
      <c r="F921" t="s">
        <v>21</v>
      </c>
      <c r="G921" t="s">
        <v>106</v>
      </c>
      <c r="H921" s="4" t="s">
        <v>2258</v>
      </c>
      <c r="I921">
        <v>647026</v>
      </c>
      <c r="J921" s="8" t="s">
        <v>2345</v>
      </c>
      <c r="K921" t="s">
        <v>528</v>
      </c>
      <c r="L921" t="s">
        <v>529</v>
      </c>
      <c r="M921" t="s">
        <v>33</v>
      </c>
      <c r="N921">
        <f t="shared" si="45"/>
        <v>10</v>
      </c>
      <c r="O921">
        <v>2</v>
      </c>
      <c r="P921" s="6">
        <v>144.69</v>
      </c>
      <c r="Q921">
        <v>14.47</v>
      </c>
      <c r="R921">
        <v>274.91000000000003</v>
      </c>
      <c r="S921">
        <v>13.75</v>
      </c>
      <c r="T921">
        <v>10</v>
      </c>
      <c r="U921">
        <v>0</v>
      </c>
      <c r="V921">
        <v>298.66000000000003</v>
      </c>
      <c r="W921" t="s">
        <v>117</v>
      </c>
      <c r="X921">
        <v>25</v>
      </c>
    </row>
    <row r="922" spans="1:24" ht="14.25" customHeight="1">
      <c r="A922" t="s">
        <v>1670</v>
      </c>
      <c r="B922" t="s">
        <v>2284</v>
      </c>
      <c r="C922" s="6" t="str">
        <f t="shared" si="43"/>
        <v>February</v>
      </c>
      <c r="D922" s="6" t="str">
        <f t="shared" si="44"/>
        <v>02</v>
      </c>
      <c r="E922" t="s">
        <v>127</v>
      </c>
      <c r="F922" t="s">
        <v>80</v>
      </c>
      <c r="G922" t="s">
        <v>81</v>
      </c>
      <c r="H922" s="4" t="s">
        <v>2258</v>
      </c>
      <c r="I922">
        <v>256688</v>
      </c>
      <c r="J922" s="8" t="s">
        <v>30</v>
      </c>
      <c r="K922" t="s">
        <v>532</v>
      </c>
      <c r="L922" t="s">
        <v>533</v>
      </c>
      <c r="M922" t="s">
        <v>65</v>
      </c>
      <c r="N922">
        <f t="shared" si="45"/>
        <v>6</v>
      </c>
      <c r="O922">
        <v>4</v>
      </c>
      <c r="P922" s="6">
        <v>68.319999999999993</v>
      </c>
      <c r="Q922">
        <v>10.25</v>
      </c>
      <c r="R922">
        <v>263.02999999999997</v>
      </c>
      <c r="S922">
        <v>13.15</v>
      </c>
      <c r="T922">
        <v>30</v>
      </c>
      <c r="U922">
        <v>15</v>
      </c>
      <c r="V922">
        <v>321.17999999999989</v>
      </c>
      <c r="W922" t="s">
        <v>27</v>
      </c>
      <c r="X922">
        <v>21</v>
      </c>
    </row>
    <row r="923" spans="1:24" ht="14.25" customHeight="1">
      <c r="A923" t="s">
        <v>1671</v>
      </c>
      <c r="B923" t="s">
        <v>2274</v>
      </c>
      <c r="C923" s="6" t="str">
        <f t="shared" si="43"/>
        <v>February</v>
      </c>
      <c r="D923" s="6" t="str">
        <f t="shared" si="44"/>
        <v>22</v>
      </c>
      <c r="E923" t="s">
        <v>132</v>
      </c>
      <c r="F923" t="s">
        <v>21</v>
      </c>
      <c r="G923" t="s">
        <v>68</v>
      </c>
      <c r="H923" s="4" t="s">
        <v>2258</v>
      </c>
      <c r="I923">
        <v>262403</v>
      </c>
      <c r="J923" s="8" t="s">
        <v>30</v>
      </c>
      <c r="K923" t="s">
        <v>536</v>
      </c>
      <c r="L923" t="s">
        <v>537</v>
      </c>
      <c r="M923" t="s">
        <v>140</v>
      </c>
      <c r="N923">
        <f t="shared" si="45"/>
        <v>3</v>
      </c>
      <c r="O923">
        <v>1</v>
      </c>
      <c r="P923" s="6">
        <v>242.97</v>
      </c>
      <c r="Q923">
        <v>0</v>
      </c>
      <c r="R923">
        <v>242.97</v>
      </c>
      <c r="S923">
        <v>12.15</v>
      </c>
      <c r="T923">
        <v>30</v>
      </c>
      <c r="U923">
        <v>20</v>
      </c>
      <c r="V923">
        <v>305.12</v>
      </c>
      <c r="W923" t="s">
        <v>27</v>
      </c>
      <c r="X923">
        <v>22</v>
      </c>
    </row>
    <row r="924" spans="1:24" ht="14.25" customHeight="1">
      <c r="A924" t="s">
        <v>1672</v>
      </c>
      <c r="B924" t="s">
        <v>2305</v>
      </c>
      <c r="C924" s="6" t="str">
        <f t="shared" si="43"/>
        <v>January</v>
      </c>
      <c r="D924" s="6" t="str">
        <f t="shared" si="44"/>
        <v>20</v>
      </c>
      <c r="E924" t="s">
        <v>137</v>
      </c>
      <c r="F924" t="s">
        <v>21</v>
      </c>
      <c r="G924" t="s">
        <v>106</v>
      </c>
      <c r="H924" s="4" t="s">
        <v>2258</v>
      </c>
      <c r="I924">
        <v>617200</v>
      </c>
      <c r="J924" s="8" t="s">
        <v>30</v>
      </c>
      <c r="K924" t="s">
        <v>540</v>
      </c>
      <c r="L924" t="s">
        <v>541</v>
      </c>
      <c r="M924" t="s">
        <v>55</v>
      </c>
      <c r="N924">
        <f t="shared" si="45"/>
        <v>5</v>
      </c>
      <c r="O924">
        <v>1</v>
      </c>
      <c r="P924" s="6">
        <v>85.44</v>
      </c>
      <c r="Q924">
        <v>4.2699999999999996</v>
      </c>
      <c r="R924">
        <v>81.17</v>
      </c>
      <c r="S924">
        <v>4.0599999999999996</v>
      </c>
      <c r="T924">
        <v>0</v>
      </c>
      <c r="U924">
        <v>10</v>
      </c>
      <c r="V924">
        <v>95.23</v>
      </c>
      <c r="W924" t="s">
        <v>27</v>
      </c>
      <c r="X924">
        <v>12</v>
      </c>
    </row>
    <row r="925" spans="1:24" ht="14.25" customHeight="1">
      <c r="A925" t="s">
        <v>1673</v>
      </c>
      <c r="B925" t="s">
        <v>2318</v>
      </c>
      <c r="C925" s="6" t="str">
        <f t="shared" si="43"/>
        <v>January</v>
      </c>
      <c r="D925" s="6" t="str">
        <f t="shared" si="44"/>
        <v>13</v>
      </c>
      <c r="E925" t="s">
        <v>142</v>
      </c>
      <c r="F925" t="s">
        <v>21</v>
      </c>
      <c r="G925" t="s">
        <v>68</v>
      </c>
      <c r="H925" s="4" t="s">
        <v>2258</v>
      </c>
      <c r="I925">
        <v>268733</v>
      </c>
      <c r="J925" s="8" t="s">
        <v>30</v>
      </c>
      <c r="K925" t="s">
        <v>544</v>
      </c>
      <c r="L925" t="s">
        <v>545</v>
      </c>
      <c r="M925" t="s">
        <v>55</v>
      </c>
      <c r="N925">
        <f t="shared" si="45"/>
        <v>5</v>
      </c>
      <c r="O925">
        <v>1</v>
      </c>
      <c r="P925" s="6">
        <v>22.73</v>
      </c>
      <c r="Q925">
        <v>1.1399999999999999</v>
      </c>
      <c r="R925">
        <v>21.59</v>
      </c>
      <c r="S925">
        <v>1.08</v>
      </c>
      <c r="T925">
        <v>30</v>
      </c>
      <c r="U925">
        <v>5</v>
      </c>
      <c r="V925">
        <v>57.67</v>
      </c>
      <c r="W925" t="s">
        <v>27</v>
      </c>
      <c r="X925">
        <v>21</v>
      </c>
    </row>
    <row r="926" spans="1:24" ht="14.25" customHeight="1">
      <c r="A926" t="s">
        <v>1674</v>
      </c>
      <c r="B926" t="s">
        <v>2291</v>
      </c>
      <c r="C926" s="6" t="str">
        <f t="shared" si="43"/>
        <v>January</v>
      </c>
      <c r="D926" s="6" t="str">
        <f t="shared" si="44"/>
        <v>28</v>
      </c>
      <c r="E926" t="s">
        <v>146</v>
      </c>
      <c r="F926" t="s">
        <v>21</v>
      </c>
      <c r="G926" t="s">
        <v>68</v>
      </c>
      <c r="H926" s="4" t="s">
        <v>2258</v>
      </c>
      <c r="I926">
        <v>250862</v>
      </c>
      <c r="J926" s="8" t="s">
        <v>62</v>
      </c>
      <c r="K926" t="s">
        <v>548</v>
      </c>
      <c r="L926" t="s">
        <v>549</v>
      </c>
      <c r="M926" t="s">
        <v>140</v>
      </c>
      <c r="N926">
        <f t="shared" si="45"/>
        <v>3</v>
      </c>
      <c r="O926">
        <v>2</v>
      </c>
      <c r="P926" s="6">
        <v>101.66</v>
      </c>
      <c r="Q926">
        <v>0</v>
      </c>
      <c r="R926">
        <v>203.32</v>
      </c>
      <c r="S926">
        <v>10.17</v>
      </c>
      <c r="T926">
        <v>30</v>
      </c>
      <c r="U926">
        <v>15</v>
      </c>
      <c r="V926">
        <v>258.49</v>
      </c>
      <c r="W926" t="s">
        <v>27</v>
      </c>
      <c r="X926">
        <v>28</v>
      </c>
    </row>
    <row r="927" spans="1:24" ht="14.25" customHeight="1">
      <c r="A927" t="s">
        <v>1675</v>
      </c>
      <c r="B927" t="s">
        <v>2313</v>
      </c>
      <c r="C927" s="6" t="str">
        <f t="shared" si="43"/>
        <v>February</v>
      </c>
      <c r="D927" s="6" t="str">
        <f t="shared" si="44"/>
        <v>17</v>
      </c>
      <c r="E927" t="s">
        <v>150</v>
      </c>
      <c r="F927" t="s">
        <v>21</v>
      </c>
      <c r="G927" t="s">
        <v>37</v>
      </c>
      <c r="H927" s="4" t="s">
        <v>2258</v>
      </c>
      <c r="I927">
        <v>805611</v>
      </c>
      <c r="J927" s="8" t="s">
        <v>30</v>
      </c>
      <c r="K927" t="s">
        <v>552</v>
      </c>
      <c r="L927" t="s">
        <v>553</v>
      </c>
      <c r="M927" t="s">
        <v>65</v>
      </c>
      <c r="N927">
        <f t="shared" si="45"/>
        <v>6</v>
      </c>
      <c r="O927">
        <v>3</v>
      </c>
      <c r="P927" s="6">
        <v>116.47</v>
      </c>
      <c r="Q927">
        <v>17.47</v>
      </c>
      <c r="R927">
        <v>331.93999999999988</v>
      </c>
      <c r="S927">
        <v>16.600000000000001</v>
      </c>
      <c r="T927">
        <v>30</v>
      </c>
      <c r="U927">
        <v>10</v>
      </c>
      <c r="V927">
        <v>388.54</v>
      </c>
      <c r="W927" t="s">
        <v>27</v>
      </c>
      <c r="X927">
        <v>19</v>
      </c>
    </row>
    <row r="928" spans="1:24" ht="14.25" customHeight="1">
      <c r="A928" t="s">
        <v>1676</v>
      </c>
      <c r="B928" t="s">
        <v>2264</v>
      </c>
      <c r="C928" s="6" t="str">
        <f t="shared" si="43"/>
        <v>January</v>
      </c>
      <c r="D928" s="6" t="str">
        <f t="shared" si="44"/>
        <v>29</v>
      </c>
      <c r="E928" t="s">
        <v>154</v>
      </c>
      <c r="F928" t="s">
        <v>21</v>
      </c>
      <c r="G928" t="s">
        <v>68</v>
      </c>
      <c r="H928" s="4" t="s">
        <v>2258</v>
      </c>
      <c r="I928">
        <v>565536</v>
      </c>
      <c r="J928" s="8" t="s">
        <v>2346</v>
      </c>
      <c r="K928" t="s">
        <v>556</v>
      </c>
      <c r="L928" t="s">
        <v>557</v>
      </c>
      <c r="M928" t="s">
        <v>71</v>
      </c>
      <c r="N928">
        <f t="shared" si="45"/>
        <v>6</v>
      </c>
      <c r="O928">
        <v>4</v>
      </c>
      <c r="P928" s="6">
        <v>124.79</v>
      </c>
      <c r="Q928">
        <v>12.48</v>
      </c>
      <c r="R928">
        <v>486.68</v>
      </c>
      <c r="S928">
        <v>24.33</v>
      </c>
      <c r="T928">
        <v>20</v>
      </c>
      <c r="U928">
        <v>15</v>
      </c>
      <c r="V928">
        <v>546.01</v>
      </c>
      <c r="W928" t="s">
        <v>34</v>
      </c>
      <c r="X928">
        <v>25</v>
      </c>
    </row>
    <row r="929" spans="1:24" ht="14.25" customHeight="1">
      <c r="A929" t="s">
        <v>1677</v>
      </c>
      <c r="B929" t="s">
        <v>2318</v>
      </c>
      <c r="C929" s="6" t="str">
        <f t="shared" si="43"/>
        <v>January</v>
      </c>
      <c r="D929" s="6" t="str">
        <f t="shared" si="44"/>
        <v>13</v>
      </c>
      <c r="E929" t="s">
        <v>158</v>
      </c>
      <c r="F929" t="s">
        <v>21</v>
      </c>
      <c r="G929" t="s">
        <v>37</v>
      </c>
      <c r="H929" s="4" t="s">
        <v>2258</v>
      </c>
      <c r="I929">
        <v>981809</v>
      </c>
      <c r="J929" s="8" t="s">
        <v>2346</v>
      </c>
      <c r="K929" t="s">
        <v>560</v>
      </c>
      <c r="L929" t="s">
        <v>561</v>
      </c>
      <c r="M929" t="s">
        <v>65</v>
      </c>
      <c r="N929">
        <f t="shared" si="45"/>
        <v>6</v>
      </c>
      <c r="O929">
        <v>2</v>
      </c>
      <c r="P929" s="6">
        <v>129.71</v>
      </c>
      <c r="Q929">
        <v>0</v>
      </c>
      <c r="R929">
        <v>259.42</v>
      </c>
      <c r="S929">
        <v>12.97</v>
      </c>
      <c r="T929">
        <v>20</v>
      </c>
      <c r="U929">
        <v>20</v>
      </c>
      <c r="V929">
        <v>312.39</v>
      </c>
      <c r="W929" t="s">
        <v>27</v>
      </c>
      <c r="X929">
        <v>22</v>
      </c>
    </row>
    <row r="930" spans="1:24" ht="14.25" customHeight="1">
      <c r="A930" t="s">
        <v>1678</v>
      </c>
      <c r="B930" t="s">
        <v>2321</v>
      </c>
      <c r="C930" s="6" t="str">
        <f t="shared" si="43"/>
        <v>February</v>
      </c>
      <c r="D930" s="6" t="str">
        <f t="shared" si="44"/>
        <v>15</v>
      </c>
      <c r="E930" t="s">
        <v>162</v>
      </c>
      <c r="F930" t="s">
        <v>21</v>
      </c>
      <c r="G930" t="s">
        <v>37</v>
      </c>
      <c r="H930" s="4" t="s">
        <v>2258</v>
      </c>
      <c r="I930">
        <v>356427</v>
      </c>
      <c r="J930" s="8" t="s">
        <v>30</v>
      </c>
      <c r="K930" t="s">
        <v>564</v>
      </c>
      <c r="L930" t="s">
        <v>565</v>
      </c>
      <c r="M930" t="s">
        <v>55</v>
      </c>
      <c r="N930">
        <f t="shared" si="45"/>
        <v>5</v>
      </c>
      <c r="O930">
        <v>1</v>
      </c>
      <c r="P930" s="6">
        <v>54.08</v>
      </c>
      <c r="Q930">
        <v>5.41</v>
      </c>
      <c r="R930">
        <v>48.67</v>
      </c>
      <c r="S930">
        <v>2.4300000000000002</v>
      </c>
      <c r="T930">
        <v>0</v>
      </c>
      <c r="U930">
        <v>0</v>
      </c>
      <c r="V930">
        <v>51.1</v>
      </c>
      <c r="W930" t="s">
        <v>27</v>
      </c>
      <c r="X930">
        <v>39</v>
      </c>
    </row>
    <row r="931" spans="1:24" ht="14.25" customHeight="1">
      <c r="A931" t="s">
        <v>1679</v>
      </c>
      <c r="B931" t="s">
        <v>2306</v>
      </c>
      <c r="C931" s="6" t="str">
        <f t="shared" si="43"/>
        <v>February</v>
      </c>
      <c r="D931" s="6" t="str">
        <f t="shared" si="44"/>
        <v>04</v>
      </c>
      <c r="E931" t="s">
        <v>166</v>
      </c>
      <c r="F931" t="s">
        <v>80</v>
      </c>
      <c r="G931" t="s">
        <v>81</v>
      </c>
      <c r="H931" s="4" t="s">
        <v>2258</v>
      </c>
      <c r="I931">
        <v>686789</v>
      </c>
      <c r="J931" s="8" t="s">
        <v>2345</v>
      </c>
      <c r="K931" t="s">
        <v>568</v>
      </c>
      <c r="L931" t="s">
        <v>569</v>
      </c>
      <c r="M931" t="s">
        <v>33</v>
      </c>
      <c r="N931">
        <f t="shared" si="45"/>
        <v>10</v>
      </c>
      <c r="O931">
        <v>1</v>
      </c>
      <c r="P931" s="6">
        <v>46.88</v>
      </c>
      <c r="Q931">
        <v>4.6900000000000004</v>
      </c>
      <c r="R931">
        <v>42.19</v>
      </c>
      <c r="S931">
        <v>2.11</v>
      </c>
      <c r="T931">
        <v>30</v>
      </c>
      <c r="U931">
        <v>10</v>
      </c>
      <c r="V931">
        <v>84.300000000000011</v>
      </c>
      <c r="W931" t="s">
        <v>27</v>
      </c>
      <c r="X931">
        <v>31</v>
      </c>
    </row>
    <row r="932" spans="1:24" ht="14.25" customHeight="1">
      <c r="A932" t="s">
        <v>1680</v>
      </c>
      <c r="B932" t="s">
        <v>2308</v>
      </c>
      <c r="C932" s="6" t="str">
        <f t="shared" si="43"/>
        <v>January</v>
      </c>
      <c r="D932" s="6" t="str">
        <f t="shared" si="44"/>
        <v>06</v>
      </c>
      <c r="E932" t="s">
        <v>170</v>
      </c>
      <c r="F932" t="s">
        <v>21</v>
      </c>
      <c r="G932" t="s">
        <v>68</v>
      </c>
      <c r="H932" s="4" t="s">
        <v>2258</v>
      </c>
      <c r="I932">
        <v>524429</v>
      </c>
      <c r="J932" s="8" t="s">
        <v>2345</v>
      </c>
      <c r="K932" t="s">
        <v>572</v>
      </c>
      <c r="L932" t="s">
        <v>573</v>
      </c>
      <c r="M932" t="s">
        <v>65</v>
      </c>
      <c r="N932">
        <f t="shared" si="45"/>
        <v>6</v>
      </c>
      <c r="O932">
        <v>3</v>
      </c>
      <c r="P932" s="6">
        <v>155.72999999999999</v>
      </c>
      <c r="Q932">
        <v>15.57</v>
      </c>
      <c r="R932">
        <v>451.61999999999989</v>
      </c>
      <c r="S932">
        <v>22.58</v>
      </c>
      <c r="T932">
        <v>30</v>
      </c>
      <c r="U932">
        <v>10</v>
      </c>
      <c r="V932">
        <v>514.19999999999993</v>
      </c>
      <c r="W932" t="s">
        <v>27</v>
      </c>
      <c r="X932">
        <v>19</v>
      </c>
    </row>
    <row r="933" spans="1:24" ht="14.25" customHeight="1">
      <c r="A933" t="s">
        <v>1681</v>
      </c>
      <c r="B933" t="s">
        <v>2300</v>
      </c>
      <c r="C933" s="6" t="str">
        <f t="shared" si="43"/>
        <v>January</v>
      </c>
      <c r="D933" s="6" t="str">
        <f t="shared" si="44"/>
        <v>18</v>
      </c>
      <c r="E933" t="s">
        <v>174</v>
      </c>
      <c r="F933" t="s">
        <v>21</v>
      </c>
      <c r="G933" t="s">
        <v>106</v>
      </c>
      <c r="H933" s="4" t="s">
        <v>2258</v>
      </c>
      <c r="I933">
        <v>305827</v>
      </c>
      <c r="J933" s="8" t="s">
        <v>2348</v>
      </c>
      <c r="K933" t="s">
        <v>576</v>
      </c>
      <c r="L933" t="s">
        <v>577</v>
      </c>
      <c r="M933" t="s">
        <v>55</v>
      </c>
      <c r="N933">
        <f t="shared" si="45"/>
        <v>5</v>
      </c>
      <c r="O933">
        <v>2</v>
      </c>
      <c r="P933" s="6">
        <v>82.51</v>
      </c>
      <c r="Q933">
        <v>4.13</v>
      </c>
      <c r="R933">
        <v>160.88999999999999</v>
      </c>
      <c r="S933">
        <v>8.0399999999999991</v>
      </c>
      <c r="T933">
        <v>10</v>
      </c>
      <c r="U933">
        <v>0</v>
      </c>
      <c r="V933">
        <v>178.93</v>
      </c>
      <c r="W933" t="s">
        <v>27</v>
      </c>
      <c r="X933">
        <v>14</v>
      </c>
    </row>
    <row r="934" spans="1:24" ht="14.25" customHeight="1">
      <c r="A934" t="s">
        <v>1682</v>
      </c>
      <c r="B934" t="s">
        <v>2294</v>
      </c>
      <c r="C934" s="6" t="str">
        <f t="shared" si="43"/>
        <v>February</v>
      </c>
      <c r="D934" s="6" t="str">
        <f t="shared" si="44"/>
        <v>20</v>
      </c>
      <c r="E934" t="s">
        <v>179</v>
      </c>
      <c r="F934" t="s">
        <v>21</v>
      </c>
      <c r="G934" t="s">
        <v>106</v>
      </c>
      <c r="H934" s="4" t="s">
        <v>2258</v>
      </c>
      <c r="I934">
        <v>942955</v>
      </c>
      <c r="J934" s="8" t="s">
        <v>2345</v>
      </c>
      <c r="K934" t="s">
        <v>580</v>
      </c>
      <c r="L934" t="s">
        <v>581</v>
      </c>
      <c r="M934" t="s">
        <v>71</v>
      </c>
      <c r="N934">
        <f t="shared" si="45"/>
        <v>6</v>
      </c>
      <c r="O934">
        <v>1</v>
      </c>
      <c r="P934" s="6">
        <v>102.35</v>
      </c>
      <c r="Q934">
        <v>15.35</v>
      </c>
      <c r="R934">
        <v>87</v>
      </c>
      <c r="S934">
        <v>4.3499999999999996</v>
      </c>
      <c r="T934">
        <v>20</v>
      </c>
      <c r="U934">
        <v>0</v>
      </c>
      <c r="V934">
        <v>111.35</v>
      </c>
      <c r="W934" t="s">
        <v>27</v>
      </c>
      <c r="X934">
        <v>38</v>
      </c>
    </row>
    <row r="935" spans="1:24" ht="14.25" customHeight="1">
      <c r="A935" t="s">
        <v>1683</v>
      </c>
      <c r="B935" t="s">
        <v>2317</v>
      </c>
      <c r="C935" s="6" t="str">
        <f t="shared" si="43"/>
        <v>January</v>
      </c>
      <c r="D935" s="6" t="str">
        <f t="shared" si="44"/>
        <v>05</v>
      </c>
      <c r="E935" t="s">
        <v>183</v>
      </c>
      <c r="F935" t="s">
        <v>80</v>
      </c>
      <c r="G935" t="s">
        <v>81</v>
      </c>
      <c r="H935" s="4" t="s">
        <v>2258</v>
      </c>
      <c r="I935">
        <v>367614</v>
      </c>
      <c r="J935" s="8" t="s">
        <v>30</v>
      </c>
      <c r="K935" t="s">
        <v>584</v>
      </c>
      <c r="L935" t="s">
        <v>585</v>
      </c>
      <c r="M935" t="s">
        <v>71</v>
      </c>
      <c r="N935">
        <f t="shared" si="45"/>
        <v>6</v>
      </c>
      <c r="O935">
        <v>3</v>
      </c>
      <c r="P935" s="6">
        <v>159.79</v>
      </c>
      <c r="Q935">
        <v>15.98</v>
      </c>
      <c r="R935">
        <v>463.39</v>
      </c>
      <c r="S935">
        <v>23.17</v>
      </c>
      <c r="T935">
        <v>20</v>
      </c>
      <c r="U935">
        <v>0</v>
      </c>
      <c r="V935">
        <v>506.56</v>
      </c>
      <c r="W935" t="s">
        <v>84</v>
      </c>
      <c r="X935">
        <v>25</v>
      </c>
    </row>
    <row r="936" spans="1:24" ht="14.25" customHeight="1">
      <c r="A936" t="s">
        <v>1684</v>
      </c>
      <c r="B936" t="s">
        <v>2293</v>
      </c>
      <c r="C936" s="6" t="str">
        <f t="shared" si="43"/>
        <v>February</v>
      </c>
      <c r="D936" s="6" t="str">
        <f t="shared" si="44"/>
        <v>16</v>
      </c>
      <c r="E936" t="s">
        <v>187</v>
      </c>
      <c r="F936" t="s">
        <v>21</v>
      </c>
      <c r="G936" t="s">
        <v>106</v>
      </c>
      <c r="H936" s="4" t="s">
        <v>2258</v>
      </c>
      <c r="I936">
        <v>254062</v>
      </c>
      <c r="J936" s="8" t="s">
        <v>2345</v>
      </c>
      <c r="K936" t="s">
        <v>588</v>
      </c>
      <c r="L936" t="s">
        <v>589</v>
      </c>
      <c r="M936" t="s">
        <v>50</v>
      </c>
      <c r="N936">
        <f t="shared" si="45"/>
        <v>5</v>
      </c>
      <c r="O936">
        <v>1</v>
      </c>
      <c r="P936" s="6">
        <v>172.43</v>
      </c>
      <c r="Q936">
        <v>25.86</v>
      </c>
      <c r="R936">
        <v>146.57</v>
      </c>
      <c r="S936">
        <v>7.33</v>
      </c>
      <c r="T936">
        <v>0</v>
      </c>
      <c r="U936">
        <v>10</v>
      </c>
      <c r="V936">
        <v>163.9</v>
      </c>
      <c r="W936" t="s">
        <v>34</v>
      </c>
      <c r="X936">
        <v>25</v>
      </c>
    </row>
    <row r="937" spans="1:24" ht="14.25" customHeight="1">
      <c r="A937" t="s">
        <v>1685</v>
      </c>
      <c r="B937" t="s">
        <v>2286</v>
      </c>
      <c r="C937" s="6" t="str">
        <f t="shared" si="43"/>
        <v>January</v>
      </c>
      <c r="D937" s="6" t="str">
        <f t="shared" si="44"/>
        <v>25</v>
      </c>
      <c r="E937" t="s">
        <v>191</v>
      </c>
      <c r="F937" t="s">
        <v>21</v>
      </c>
      <c r="G937" t="s">
        <v>22</v>
      </c>
      <c r="H937" s="4" t="s">
        <v>2258</v>
      </c>
      <c r="I937">
        <v>438246</v>
      </c>
      <c r="J937" s="8" t="s">
        <v>2345</v>
      </c>
      <c r="K937" t="s">
        <v>592</v>
      </c>
      <c r="L937" t="s">
        <v>593</v>
      </c>
      <c r="M937" t="s">
        <v>89</v>
      </c>
      <c r="N937">
        <f t="shared" si="45"/>
        <v>7</v>
      </c>
      <c r="O937">
        <v>2</v>
      </c>
      <c r="P937" s="6">
        <v>87.46</v>
      </c>
      <c r="Q937">
        <v>4.37</v>
      </c>
      <c r="R937">
        <v>170.55</v>
      </c>
      <c r="S937">
        <v>8.5299999999999994</v>
      </c>
      <c r="T937">
        <v>30</v>
      </c>
      <c r="U937">
        <v>10</v>
      </c>
      <c r="V937">
        <v>219.08</v>
      </c>
      <c r="W937" t="s">
        <v>27</v>
      </c>
      <c r="X937">
        <v>22</v>
      </c>
    </row>
    <row r="938" spans="1:24" ht="14.25" customHeight="1">
      <c r="A938" t="s">
        <v>1686</v>
      </c>
      <c r="B938" t="s">
        <v>2279</v>
      </c>
      <c r="C938" s="6" t="str">
        <f t="shared" si="43"/>
        <v>January</v>
      </c>
      <c r="D938" s="6" t="str">
        <f t="shared" si="44"/>
        <v>02</v>
      </c>
      <c r="E938" t="s">
        <v>195</v>
      </c>
      <c r="F938" t="s">
        <v>21</v>
      </c>
      <c r="G938" t="s">
        <v>74</v>
      </c>
      <c r="H938" s="4" t="s">
        <v>2258</v>
      </c>
      <c r="I938">
        <v>951617</v>
      </c>
      <c r="J938" s="8" t="s">
        <v>2347</v>
      </c>
      <c r="K938" t="s">
        <v>596</v>
      </c>
      <c r="L938" t="s">
        <v>597</v>
      </c>
      <c r="M938" t="s">
        <v>140</v>
      </c>
      <c r="N938">
        <f t="shared" si="45"/>
        <v>3</v>
      </c>
      <c r="O938">
        <v>1</v>
      </c>
      <c r="P938" s="6">
        <v>72.52</v>
      </c>
      <c r="Q938">
        <v>10.88</v>
      </c>
      <c r="R938">
        <v>61.639999999999993</v>
      </c>
      <c r="S938">
        <v>3.08</v>
      </c>
      <c r="T938">
        <v>0</v>
      </c>
      <c r="U938">
        <v>20</v>
      </c>
      <c r="V938">
        <v>84.72</v>
      </c>
      <c r="W938" t="s">
        <v>27</v>
      </c>
      <c r="X938">
        <v>28</v>
      </c>
    </row>
    <row r="939" spans="1:24" ht="14.25" customHeight="1">
      <c r="A939" t="s">
        <v>1687</v>
      </c>
      <c r="B939" t="s">
        <v>2311</v>
      </c>
      <c r="C939" s="6" t="str">
        <f t="shared" si="43"/>
        <v>January</v>
      </c>
      <c r="D939" s="6" t="str">
        <f t="shared" si="44"/>
        <v>10</v>
      </c>
      <c r="E939" t="s">
        <v>199</v>
      </c>
      <c r="F939" t="s">
        <v>101</v>
      </c>
      <c r="G939" t="s">
        <v>81</v>
      </c>
      <c r="H939" s="4" t="s">
        <v>2258</v>
      </c>
      <c r="I939">
        <v>922450</v>
      </c>
      <c r="J939" s="8" t="s">
        <v>30</v>
      </c>
      <c r="K939" t="s">
        <v>600</v>
      </c>
      <c r="L939" t="s">
        <v>601</v>
      </c>
      <c r="M939" t="s">
        <v>177</v>
      </c>
      <c r="N939">
        <f t="shared" si="45"/>
        <v>5</v>
      </c>
      <c r="O939">
        <v>3</v>
      </c>
      <c r="P939" s="6">
        <v>183.37</v>
      </c>
      <c r="Q939">
        <v>0</v>
      </c>
      <c r="R939">
        <v>550.11</v>
      </c>
      <c r="S939">
        <v>27.51</v>
      </c>
      <c r="T939">
        <v>20</v>
      </c>
      <c r="U939">
        <v>5</v>
      </c>
      <c r="V939">
        <v>602.62</v>
      </c>
      <c r="W939" t="s">
        <v>27</v>
      </c>
      <c r="X939">
        <v>28</v>
      </c>
    </row>
    <row r="940" spans="1:24" ht="14.25" customHeight="1">
      <c r="A940" t="s">
        <v>1688</v>
      </c>
      <c r="B940" t="s">
        <v>2320</v>
      </c>
      <c r="C940" s="6" t="str">
        <f t="shared" si="43"/>
        <v>February</v>
      </c>
      <c r="D940" s="6" t="str">
        <f t="shared" si="44"/>
        <v>25</v>
      </c>
      <c r="E940" t="s">
        <v>203</v>
      </c>
      <c r="F940" t="s">
        <v>21</v>
      </c>
      <c r="G940" t="s">
        <v>106</v>
      </c>
      <c r="H940" s="4" t="s">
        <v>2258</v>
      </c>
      <c r="I940">
        <v>523327</v>
      </c>
      <c r="J940" s="8" t="s">
        <v>2347</v>
      </c>
      <c r="K940" t="s">
        <v>604</v>
      </c>
      <c r="L940" t="s">
        <v>605</v>
      </c>
      <c r="M940" t="s">
        <v>77</v>
      </c>
      <c r="N940">
        <f t="shared" si="45"/>
        <v>5</v>
      </c>
      <c r="O940">
        <v>1</v>
      </c>
      <c r="P940" s="6">
        <v>158.16999999999999</v>
      </c>
      <c r="Q940">
        <v>23.73</v>
      </c>
      <c r="R940">
        <v>134.44</v>
      </c>
      <c r="S940">
        <v>6.72</v>
      </c>
      <c r="T940">
        <v>20</v>
      </c>
      <c r="U940">
        <v>15</v>
      </c>
      <c r="V940">
        <v>176.16</v>
      </c>
      <c r="W940" t="s">
        <v>27</v>
      </c>
      <c r="X940">
        <v>8</v>
      </c>
    </row>
    <row r="941" spans="1:24" ht="14.25" customHeight="1">
      <c r="A941" t="s">
        <v>1689</v>
      </c>
      <c r="B941" t="s">
        <v>2281</v>
      </c>
      <c r="C941" s="6" t="str">
        <f t="shared" si="43"/>
        <v>January</v>
      </c>
      <c r="D941" s="6" t="str">
        <f t="shared" si="44"/>
        <v>30</v>
      </c>
      <c r="E941" t="s">
        <v>207</v>
      </c>
      <c r="F941" t="s">
        <v>21</v>
      </c>
      <c r="G941" t="s">
        <v>74</v>
      </c>
      <c r="H941" s="4" t="s">
        <v>2258</v>
      </c>
      <c r="I941">
        <v>636114</v>
      </c>
      <c r="J941" s="8" t="s">
        <v>62</v>
      </c>
      <c r="K941" t="s">
        <v>608</v>
      </c>
      <c r="L941" t="s">
        <v>609</v>
      </c>
      <c r="M941" t="s">
        <v>89</v>
      </c>
      <c r="N941">
        <f t="shared" si="45"/>
        <v>7</v>
      </c>
      <c r="O941">
        <v>3</v>
      </c>
      <c r="P941" s="6">
        <v>206.44</v>
      </c>
      <c r="Q941">
        <v>0</v>
      </c>
      <c r="R941">
        <v>619.31999999999994</v>
      </c>
      <c r="S941">
        <v>30.97</v>
      </c>
      <c r="T941">
        <v>10</v>
      </c>
      <c r="U941">
        <v>15</v>
      </c>
      <c r="V941">
        <v>675.29</v>
      </c>
      <c r="W941" t="s">
        <v>27</v>
      </c>
      <c r="X941">
        <v>24</v>
      </c>
    </row>
    <row r="942" spans="1:24" ht="14.25" customHeight="1">
      <c r="A942" t="s">
        <v>1690</v>
      </c>
      <c r="B942" t="s">
        <v>2303</v>
      </c>
      <c r="C942" s="6" t="str">
        <f t="shared" si="43"/>
        <v>February</v>
      </c>
      <c r="D942" s="6" t="str">
        <f t="shared" si="44"/>
        <v>19</v>
      </c>
      <c r="E942" t="s">
        <v>211</v>
      </c>
      <c r="F942" t="s">
        <v>21</v>
      </c>
      <c r="G942" t="s">
        <v>68</v>
      </c>
      <c r="H942" s="4" t="s">
        <v>2258</v>
      </c>
      <c r="I942">
        <v>419186</v>
      </c>
      <c r="J942" s="8" t="s">
        <v>2349</v>
      </c>
      <c r="K942" t="s">
        <v>612</v>
      </c>
      <c r="L942" t="s">
        <v>613</v>
      </c>
      <c r="M942" t="s">
        <v>65</v>
      </c>
      <c r="N942">
        <f t="shared" si="45"/>
        <v>6</v>
      </c>
      <c r="O942">
        <v>3</v>
      </c>
      <c r="P942" s="6">
        <v>135.37</v>
      </c>
      <c r="Q942">
        <v>13.54</v>
      </c>
      <c r="R942">
        <v>392.57</v>
      </c>
      <c r="S942">
        <v>19.63</v>
      </c>
      <c r="T942">
        <v>30</v>
      </c>
      <c r="U942">
        <v>20</v>
      </c>
      <c r="V942">
        <v>462.2</v>
      </c>
      <c r="W942" t="s">
        <v>27</v>
      </c>
      <c r="X942">
        <v>29</v>
      </c>
    </row>
    <row r="943" spans="1:24" ht="14.25" customHeight="1">
      <c r="A943" t="s">
        <v>1691</v>
      </c>
      <c r="B943" t="s">
        <v>2289</v>
      </c>
      <c r="C943" s="6" t="str">
        <f t="shared" si="43"/>
        <v>February</v>
      </c>
      <c r="D943" s="6" t="str">
        <f t="shared" si="44"/>
        <v>28</v>
      </c>
      <c r="E943" t="s">
        <v>215</v>
      </c>
      <c r="F943" t="s">
        <v>80</v>
      </c>
      <c r="G943" t="s">
        <v>81</v>
      </c>
      <c r="H943" s="4" t="s">
        <v>2258</v>
      </c>
      <c r="I943">
        <v>538988</v>
      </c>
      <c r="J943" s="8" t="s">
        <v>30</v>
      </c>
      <c r="K943" t="s">
        <v>616</v>
      </c>
      <c r="L943" t="s">
        <v>617</v>
      </c>
      <c r="M943" t="s">
        <v>140</v>
      </c>
      <c r="N943">
        <f t="shared" si="45"/>
        <v>3</v>
      </c>
      <c r="O943">
        <v>3</v>
      </c>
      <c r="P943" s="6">
        <v>138.69999999999999</v>
      </c>
      <c r="Q943">
        <v>13.87</v>
      </c>
      <c r="R943">
        <v>402.23</v>
      </c>
      <c r="S943">
        <v>20.11</v>
      </c>
      <c r="T943">
        <v>0</v>
      </c>
      <c r="U943">
        <v>0</v>
      </c>
      <c r="V943">
        <v>422.34</v>
      </c>
      <c r="W943" t="s">
        <v>27</v>
      </c>
      <c r="X943">
        <v>23</v>
      </c>
    </row>
    <row r="944" spans="1:24" ht="14.25" customHeight="1">
      <c r="A944" t="s">
        <v>1692</v>
      </c>
      <c r="B944" t="s">
        <v>2314</v>
      </c>
      <c r="C944" s="6" t="str">
        <f t="shared" si="43"/>
        <v>February</v>
      </c>
      <c r="D944" s="6" t="str">
        <f t="shared" si="44"/>
        <v>14</v>
      </c>
      <c r="E944" t="s">
        <v>219</v>
      </c>
      <c r="F944" t="s">
        <v>21</v>
      </c>
      <c r="G944" t="s">
        <v>22</v>
      </c>
      <c r="H944" s="4" t="s">
        <v>2258</v>
      </c>
      <c r="I944">
        <v>356323</v>
      </c>
      <c r="J944" s="8" t="s">
        <v>30</v>
      </c>
      <c r="K944" t="s">
        <v>620</v>
      </c>
      <c r="L944" t="s">
        <v>621</v>
      </c>
      <c r="M944" t="s">
        <v>71</v>
      </c>
      <c r="N944">
        <f t="shared" si="45"/>
        <v>6</v>
      </c>
      <c r="O944">
        <v>3</v>
      </c>
      <c r="P944" s="6">
        <v>74.05</v>
      </c>
      <c r="Q944">
        <v>7.41</v>
      </c>
      <c r="R944">
        <v>214.74</v>
      </c>
      <c r="S944">
        <v>10.74</v>
      </c>
      <c r="T944">
        <v>20</v>
      </c>
      <c r="U944">
        <v>10</v>
      </c>
      <c r="V944">
        <v>255.48</v>
      </c>
      <c r="W944" t="s">
        <v>27</v>
      </c>
      <c r="X944">
        <v>24</v>
      </c>
    </row>
    <row r="945" spans="1:24" ht="14.25" customHeight="1">
      <c r="A945" t="s">
        <v>1693</v>
      </c>
      <c r="B945" t="s">
        <v>2317</v>
      </c>
      <c r="C945" s="6" t="str">
        <f t="shared" si="43"/>
        <v>January</v>
      </c>
      <c r="D945" s="6" t="str">
        <f t="shared" si="44"/>
        <v>05</v>
      </c>
      <c r="E945" t="s">
        <v>223</v>
      </c>
      <c r="F945" t="s">
        <v>21</v>
      </c>
      <c r="G945" t="s">
        <v>22</v>
      </c>
      <c r="H945" s="4" t="s">
        <v>2258</v>
      </c>
      <c r="I945">
        <v>538744</v>
      </c>
      <c r="J945" s="8" t="s">
        <v>62</v>
      </c>
      <c r="K945" t="s">
        <v>624</v>
      </c>
      <c r="L945" t="s">
        <v>625</v>
      </c>
      <c r="M945" t="s">
        <v>45</v>
      </c>
      <c r="N945">
        <f t="shared" si="45"/>
        <v>6</v>
      </c>
      <c r="O945">
        <v>4</v>
      </c>
      <c r="P945" s="6">
        <v>106.97</v>
      </c>
      <c r="Q945">
        <v>10.7</v>
      </c>
      <c r="R945">
        <v>417.18</v>
      </c>
      <c r="S945">
        <v>20.86</v>
      </c>
      <c r="T945">
        <v>10</v>
      </c>
      <c r="U945">
        <v>0</v>
      </c>
      <c r="V945">
        <v>448.04</v>
      </c>
      <c r="W945" t="s">
        <v>27</v>
      </c>
      <c r="X945">
        <v>19</v>
      </c>
    </row>
    <row r="946" spans="1:24" ht="14.25" customHeight="1">
      <c r="A946" t="s">
        <v>1694</v>
      </c>
      <c r="B946" t="s">
        <v>2295</v>
      </c>
      <c r="C946" s="6" t="str">
        <f t="shared" si="43"/>
        <v>February</v>
      </c>
      <c r="D946" s="6" t="str">
        <f t="shared" si="44"/>
        <v>24</v>
      </c>
      <c r="E946" t="s">
        <v>227</v>
      </c>
      <c r="F946" t="s">
        <v>21</v>
      </c>
      <c r="G946" t="s">
        <v>74</v>
      </c>
      <c r="H946" s="4" t="s">
        <v>2258</v>
      </c>
      <c r="I946">
        <v>675312</v>
      </c>
      <c r="J946" s="8" t="s">
        <v>30</v>
      </c>
      <c r="K946" t="s">
        <v>628</v>
      </c>
      <c r="L946" t="s">
        <v>629</v>
      </c>
      <c r="M946" t="s">
        <v>33</v>
      </c>
      <c r="N946">
        <f t="shared" si="45"/>
        <v>10</v>
      </c>
      <c r="O946">
        <v>2</v>
      </c>
      <c r="P946" s="6">
        <v>8.2799999999999994</v>
      </c>
      <c r="Q946">
        <v>1.24</v>
      </c>
      <c r="R946">
        <v>15.32</v>
      </c>
      <c r="S946">
        <v>0.77</v>
      </c>
      <c r="T946">
        <v>0</v>
      </c>
      <c r="U946">
        <v>20</v>
      </c>
      <c r="V946">
        <v>36.090000000000003</v>
      </c>
      <c r="W946" t="s">
        <v>27</v>
      </c>
      <c r="X946">
        <v>26</v>
      </c>
    </row>
    <row r="947" spans="1:24" ht="14.25" customHeight="1">
      <c r="A947" t="s">
        <v>1695</v>
      </c>
      <c r="B947" t="s">
        <v>2320</v>
      </c>
      <c r="C947" s="6" t="str">
        <f t="shared" si="43"/>
        <v>February</v>
      </c>
      <c r="D947" s="6" t="str">
        <f t="shared" si="44"/>
        <v>25</v>
      </c>
      <c r="E947" t="s">
        <v>231</v>
      </c>
      <c r="F947" t="s">
        <v>21</v>
      </c>
      <c r="G947" t="s">
        <v>106</v>
      </c>
      <c r="H947" s="4" t="s">
        <v>2258</v>
      </c>
      <c r="I947">
        <v>194202</v>
      </c>
      <c r="J947" s="8" t="s">
        <v>30</v>
      </c>
      <c r="K947" t="s">
        <v>632</v>
      </c>
      <c r="L947" t="s">
        <v>633</v>
      </c>
      <c r="M947" t="s">
        <v>22</v>
      </c>
      <c r="N947">
        <f t="shared" si="45"/>
        <v>6</v>
      </c>
      <c r="O947">
        <v>5</v>
      </c>
      <c r="P947" s="6">
        <v>213.92</v>
      </c>
      <c r="Q947">
        <v>0</v>
      </c>
      <c r="R947">
        <v>1069.5999999999999</v>
      </c>
      <c r="S947">
        <v>53.48</v>
      </c>
      <c r="T947">
        <v>10</v>
      </c>
      <c r="U947">
        <v>0</v>
      </c>
      <c r="V947">
        <v>1133.08</v>
      </c>
      <c r="W947" t="s">
        <v>34</v>
      </c>
      <c r="X947">
        <v>25</v>
      </c>
    </row>
    <row r="948" spans="1:24" ht="14.25" customHeight="1">
      <c r="A948" t="s">
        <v>1696</v>
      </c>
      <c r="B948" t="s">
        <v>2284</v>
      </c>
      <c r="C948" s="6" t="str">
        <f t="shared" si="43"/>
        <v>February</v>
      </c>
      <c r="D948" s="6" t="str">
        <f t="shared" si="44"/>
        <v>02</v>
      </c>
      <c r="E948" t="s">
        <v>235</v>
      </c>
      <c r="F948" t="s">
        <v>21</v>
      </c>
      <c r="G948" t="s">
        <v>74</v>
      </c>
      <c r="H948" s="4" t="s">
        <v>2258</v>
      </c>
      <c r="I948">
        <v>184363</v>
      </c>
      <c r="J948" s="8" t="s">
        <v>2346</v>
      </c>
      <c r="K948" t="s">
        <v>636</v>
      </c>
      <c r="L948" t="s">
        <v>637</v>
      </c>
      <c r="M948" t="s">
        <v>71</v>
      </c>
      <c r="N948">
        <f t="shared" si="45"/>
        <v>6</v>
      </c>
      <c r="O948">
        <v>6</v>
      </c>
      <c r="P948" s="6">
        <v>126.72</v>
      </c>
      <c r="Q948">
        <v>0</v>
      </c>
      <c r="R948">
        <v>760.31999999999994</v>
      </c>
      <c r="S948">
        <v>38.020000000000003</v>
      </c>
      <c r="T948">
        <v>30</v>
      </c>
      <c r="U948">
        <v>20</v>
      </c>
      <c r="V948">
        <v>848.33999999999992</v>
      </c>
      <c r="W948" t="s">
        <v>27</v>
      </c>
      <c r="X948">
        <v>9</v>
      </c>
    </row>
    <row r="949" spans="1:24" ht="14.25" customHeight="1">
      <c r="A949" t="s">
        <v>1697</v>
      </c>
      <c r="B949" t="s">
        <v>2309</v>
      </c>
      <c r="C949" s="6" t="str">
        <f t="shared" si="43"/>
        <v>February</v>
      </c>
      <c r="D949" s="6" t="str">
        <f t="shared" si="44"/>
        <v>23</v>
      </c>
      <c r="E949" t="s">
        <v>239</v>
      </c>
      <c r="F949" t="s">
        <v>21</v>
      </c>
      <c r="G949" t="s">
        <v>22</v>
      </c>
      <c r="H949" s="4" t="s">
        <v>2258</v>
      </c>
      <c r="I949">
        <v>461484</v>
      </c>
      <c r="J949" s="8" t="s">
        <v>30</v>
      </c>
      <c r="K949" t="s">
        <v>640</v>
      </c>
      <c r="L949" t="s">
        <v>641</v>
      </c>
      <c r="M949" t="s">
        <v>55</v>
      </c>
      <c r="N949">
        <f t="shared" si="45"/>
        <v>5</v>
      </c>
      <c r="O949">
        <v>2</v>
      </c>
      <c r="P949" s="6">
        <v>108.23</v>
      </c>
      <c r="Q949">
        <v>5.41</v>
      </c>
      <c r="R949">
        <v>211.05</v>
      </c>
      <c r="S949">
        <v>10.55</v>
      </c>
      <c r="T949">
        <v>0</v>
      </c>
      <c r="U949">
        <v>20</v>
      </c>
      <c r="V949">
        <v>241.6</v>
      </c>
      <c r="W949" t="s">
        <v>27</v>
      </c>
      <c r="X949">
        <v>18</v>
      </c>
    </row>
    <row r="950" spans="1:24" ht="14.25" customHeight="1">
      <c r="A950" t="s">
        <v>1698</v>
      </c>
      <c r="B950" t="s">
        <v>2316</v>
      </c>
      <c r="C950" s="6" t="str">
        <f t="shared" si="43"/>
        <v>January</v>
      </c>
      <c r="D950" s="6" t="str">
        <f t="shared" si="44"/>
        <v>01</v>
      </c>
      <c r="E950" t="s">
        <v>243</v>
      </c>
      <c r="F950" t="s">
        <v>21</v>
      </c>
      <c r="G950" t="s">
        <v>74</v>
      </c>
      <c r="H950" s="4" t="s">
        <v>2258</v>
      </c>
      <c r="I950">
        <v>361176</v>
      </c>
      <c r="J950" s="8" t="s">
        <v>30</v>
      </c>
      <c r="K950" t="s">
        <v>644</v>
      </c>
      <c r="L950" t="s">
        <v>645</v>
      </c>
      <c r="M950" t="s">
        <v>33</v>
      </c>
      <c r="N950">
        <f t="shared" si="45"/>
        <v>10</v>
      </c>
      <c r="O950">
        <v>2</v>
      </c>
      <c r="P950" s="6">
        <v>107.72</v>
      </c>
      <c r="Q950">
        <v>10.77</v>
      </c>
      <c r="R950">
        <v>204.67</v>
      </c>
      <c r="S950">
        <v>10.23</v>
      </c>
      <c r="T950">
        <v>20</v>
      </c>
      <c r="U950">
        <v>20</v>
      </c>
      <c r="V950">
        <v>254.9</v>
      </c>
      <c r="W950" t="s">
        <v>27</v>
      </c>
      <c r="X950">
        <v>43</v>
      </c>
    </row>
    <row r="951" spans="1:24" ht="14.25" customHeight="1">
      <c r="A951" t="s">
        <v>1699</v>
      </c>
      <c r="B951" t="s">
        <v>2300</v>
      </c>
      <c r="C951" s="6" t="str">
        <f t="shared" si="43"/>
        <v>January</v>
      </c>
      <c r="D951" s="6" t="str">
        <f t="shared" si="44"/>
        <v>18</v>
      </c>
      <c r="E951" t="s">
        <v>247</v>
      </c>
      <c r="F951" t="s">
        <v>21</v>
      </c>
      <c r="G951" t="s">
        <v>22</v>
      </c>
      <c r="H951" s="4" t="s">
        <v>2258</v>
      </c>
      <c r="I951">
        <v>629954</v>
      </c>
      <c r="J951" s="8" t="s">
        <v>62</v>
      </c>
      <c r="K951" t="s">
        <v>648</v>
      </c>
      <c r="L951" t="s">
        <v>649</v>
      </c>
      <c r="M951" t="s">
        <v>135</v>
      </c>
      <c r="N951">
        <f t="shared" si="45"/>
        <v>9</v>
      </c>
      <c r="O951">
        <v>2</v>
      </c>
      <c r="P951" s="6">
        <v>131.76</v>
      </c>
      <c r="Q951">
        <v>0</v>
      </c>
      <c r="R951">
        <v>263.52</v>
      </c>
      <c r="S951">
        <v>13.18</v>
      </c>
      <c r="T951">
        <v>20</v>
      </c>
      <c r="U951">
        <v>5</v>
      </c>
      <c r="V951">
        <v>301.7</v>
      </c>
      <c r="W951" t="s">
        <v>27</v>
      </c>
      <c r="X951">
        <v>43</v>
      </c>
    </row>
    <row r="952" spans="1:24" ht="14.25" customHeight="1">
      <c r="A952" t="s">
        <v>1700</v>
      </c>
      <c r="B952" t="s">
        <v>2319</v>
      </c>
      <c r="C952" s="6" t="str">
        <f t="shared" si="43"/>
        <v>February</v>
      </c>
      <c r="D952" s="6" t="str">
        <f t="shared" si="44"/>
        <v>01</v>
      </c>
      <c r="E952" t="s">
        <v>251</v>
      </c>
      <c r="F952" t="s">
        <v>21</v>
      </c>
      <c r="G952" t="s">
        <v>37</v>
      </c>
      <c r="H952" s="4" t="s">
        <v>2258</v>
      </c>
      <c r="I952">
        <v>126505</v>
      </c>
      <c r="J952" s="8" t="s">
        <v>30</v>
      </c>
      <c r="K952" t="s">
        <v>652</v>
      </c>
      <c r="L952" t="s">
        <v>653</v>
      </c>
      <c r="M952" t="s">
        <v>65</v>
      </c>
      <c r="N952">
        <f t="shared" si="45"/>
        <v>6</v>
      </c>
      <c r="O952">
        <v>5</v>
      </c>
      <c r="P952" s="6">
        <v>159.22</v>
      </c>
      <c r="Q952">
        <v>23.88</v>
      </c>
      <c r="R952">
        <v>772.22</v>
      </c>
      <c r="S952">
        <v>38.61</v>
      </c>
      <c r="T952">
        <v>20</v>
      </c>
      <c r="U952">
        <v>20</v>
      </c>
      <c r="V952">
        <v>850.83</v>
      </c>
      <c r="W952" t="s">
        <v>27</v>
      </c>
      <c r="X952">
        <v>24</v>
      </c>
    </row>
    <row r="953" spans="1:24" ht="14.25" customHeight="1">
      <c r="A953" t="s">
        <v>1701</v>
      </c>
      <c r="B953" t="s">
        <v>2293</v>
      </c>
      <c r="C953" s="6" t="str">
        <f t="shared" si="43"/>
        <v>February</v>
      </c>
      <c r="D953" s="6" t="str">
        <f t="shared" si="44"/>
        <v>16</v>
      </c>
      <c r="E953" t="s">
        <v>255</v>
      </c>
      <c r="F953" t="s">
        <v>21</v>
      </c>
      <c r="G953" t="s">
        <v>37</v>
      </c>
      <c r="H953" s="4" t="s">
        <v>2258</v>
      </c>
      <c r="I953">
        <v>926954</v>
      </c>
      <c r="J953" s="8" t="s">
        <v>2346</v>
      </c>
      <c r="K953" t="s">
        <v>656</v>
      </c>
      <c r="L953" t="s">
        <v>657</v>
      </c>
      <c r="M953" t="s">
        <v>130</v>
      </c>
      <c r="N953">
        <f t="shared" si="45"/>
        <v>7</v>
      </c>
      <c r="O953">
        <v>1</v>
      </c>
      <c r="P953" s="6">
        <v>115.72</v>
      </c>
      <c r="Q953">
        <v>11.57</v>
      </c>
      <c r="R953">
        <v>104.15</v>
      </c>
      <c r="S953">
        <v>5.21</v>
      </c>
      <c r="T953">
        <v>20</v>
      </c>
      <c r="U953">
        <v>10</v>
      </c>
      <c r="V953">
        <v>139.36000000000001</v>
      </c>
      <c r="W953" t="s">
        <v>84</v>
      </c>
      <c r="X953">
        <v>25</v>
      </c>
    </row>
    <row r="954" spans="1:24" ht="14.25" customHeight="1">
      <c r="A954" t="s">
        <v>1702</v>
      </c>
      <c r="B954" t="s">
        <v>2287</v>
      </c>
      <c r="C954" s="6" t="str">
        <f t="shared" si="43"/>
        <v>February</v>
      </c>
      <c r="D954" s="6" t="str">
        <f t="shared" si="44"/>
        <v>18</v>
      </c>
      <c r="E954" t="s">
        <v>259</v>
      </c>
      <c r="F954" t="s">
        <v>21</v>
      </c>
      <c r="G954" t="s">
        <v>37</v>
      </c>
      <c r="H954" s="4" t="s">
        <v>2258</v>
      </c>
      <c r="I954">
        <v>340056</v>
      </c>
      <c r="J954" s="8" t="s">
        <v>2345</v>
      </c>
      <c r="K954" t="s">
        <v>660</v>
      </c>
      <c r="L954" t="s">
        <v>661</v>
      </c>
      <c r="M954" t="s">
        <v>98</v>
      </c>
      <c r="N954">
        <f t="shared" si="45"/>
        <v>4</v>
      </c>
      <c r="O954">
        <v>4</v>
      </c>
      <c r="P954" s="6">
        <v>61.84</v>
      </c>
      <c r="Q954">
        <v>3.09</v>
      </c>
      <c r="R954">
        <v>244.27</v>
      </c>
      <c r="S954">
        <v>12.21</v>
      </c>
      <c r="T954">
        <v>20</v>
      </c>
      <c r="U954">
        <v>5</v>
      </c>
      <c r="V954">
        <v>281.48</v>
      </c>
      <c r="W954" t="s">
        <v>27</v>
      </c>
      <c r="X954">
        <v>26</v>
      </c>
    </row>
    <row r="955" spans="1:24" ht="14.25" customHeight="1">
      <c r="A955" t="s">
        <v>1703</v>
      </c>
      <c r="B955" t="s">
        <v>2272</v>
      </c>
      <c r="C955" s="6" t="str">
        <f t="shared" si="43"/>
        <v>January</v>
      </c>
      <c r="D955" s="6" t="str">
        <f t="shared" si="44"/>
        <v>11</v>
      </c>
      <c r="E955" t="s">
        <v>263</v>
      </c>
      <c r="F955" t="s">
        <v>21</v>
      </c>
      <c r="G955" t="s">
        <v>68</v>
      </c>
      <c r="H955" s="4" t="s">
        <v>2258</v>
      </c>
      <c r="I955">
        <v>543942</v>
      </c>
      <c r="J955" s="8" t="s">
        <v>2345</v>
      </c>
      <c r="K955" t="s">
        <v>664</v>
      </c>
      <c r="L955" t="s">
        <v>665</v>
      </c>
      <c r="M955" t="s">
        <v>77</v>
      </c>
      <c r="N955">
        <f t="shared" si="45"/>
        <v>5</v>
      </c>
      <c r="O955">
        <v>5</v>
      </c>
      <c r="P955" s="6">
        <v>25.58</v>
      </c>
      <c r="Q955">
        <v>3.84</v>
      </c>
      <c r="R955">
        <v>124.06</v>
      </c>
      <c r="S955">
        <v>6.2</v>
      </c>
      <c r="T955">
        <v>30</v>
      </c>
      <c r="U955">
        <v>0</v>
      </c>
      <c r="V955">
        <v>160.26</v>
      </c>
      <c r="W955" t="s">
        <v>27</v>
      </c>
      <c r="X955">
        <v>25</v>
      </c>
    </row>
    <row r="956" spans="1:24" ht="14.25" customHeight="1">
      <c r="A956" t="s">
        <v>1704</v>
      </c>
      <c r="B956" t="s">
        <v>2268</v>
      </c>
      <c r="C956" s="6" t="str">
        <f t="shared" si="43"/>
        <v>January</v>
      </c>
      <c r="D956" s="6" t="str">
        <f t="shared" si="44"/>
        <v>21</v>
      </c>
      <c r="E956" t="s">
        <v>267</v>
      </c>
      <c r="F956" t="s">
        <v>21</v>
      </c>
      <c r="G956" t="s">
        <v>37</v>
      </c>
      <c r="H956" s="4" t="s">
        <v>2258</v>
      </c>
      <c r="I956">
        <v>281413</v>
      </c>
      <c r="J956" s="8" t="s">
        <v>30</v>
      </c>
      <c r="K956" t="s">
        <v>668</v>
      </c>
      <c r="L956" t="s">
        <v>669</v>
      </c>
      <c r="M956" t="s">
        <v>55</v>
      </c>
      <c r="N956">
        <f t="shared" si="45"/>
        <v>5</v>
      </c>
      <c r="O956">
        <v>1</v>
      </c>
      <c r="P956" s="6">
        <v>101.63</v>
      </c>
      <c r="Q956">
        <v>10.16</v>
      </c>
      <c r="R956">
        <v>91.47</v>
      </c>
      <c r="S956">
        <v>4.57</v>
      </c>
      <c r="T956">
        <v>20</v>
      </c>
      <c r="U956">
        <v>10</v>
      </c>
      <c r="V956">
        <v>126.04</v>
      </c>
      <c r="W956" t="s">
        <v>27</v>
      </c>
      <c r="X956">
        <v>32</v>
      </c>
    </row>
    <row r="957" spans="1:24" ht="14.25" customHeight="1">
      <c r="A957" t="s">
        <v>1705</v>
      </c>
      <c r="B957" t="s">
        <v>2304</v>
      </c>
      <c r="C957" s="6" t="str">
        <f t="shared" si="43"/>
        <v>January</v>
      </c>
      <c r="D957" s="6" t="str">
        <f t="shared" si="44"/>
        <v>26</v>
      </c>
      <c r="E957" t="s">
        <v>271</v>
      </c>
      <c r="F957" t="s">
        <v>21</v>
      </c>
      <c r="G957" t="s">
        <v>106</v>
      </c>
      <c r="H957" s="4" t="s">
        <v>2258</v>
      </c>
      <c r="I957">
        <v>840686</v>
      </c>
      <c r="J957" s="8" t="s">
        <v>2349</v>
      </c>
      <c r="K957" t="s">
        <v>672</v>
      </c>
      <c r="L957" t="s">
        <v>673</v>
      </c>
      <c r="M957" t="s">
        <v>89</v>
      </c>
      <c r="N957">
        <f t="shared" si="45"/>
        <v>7</v>
      </c>
      <c r="O957">
        <v>1</v>
      </c>
      <c r="P957" s="6">
        <v>154.27000000000001</v>
      </c>
      <c r="Q957">
        <v>7.71</v>
      </c>
      <c r="R957">
        <v>146.56</v>
      </c>
      <c r="S957">
        <v>7.33</v>
      </c>
      <c r="T957">
        <v>30</v>
      </c>
      <c r="U957">
        <v>10</v>
      </c>
      <c r="V957">
        <v>193.89</v>
      </c>
      <c r="W957" t="s">
        <v>27</v>
      </c>
      <c r="X957">
        <v>21</v>
      </c>
    </row>
    <row r="958" spans="1:24" ht="14.25" customHeight="1">
      <c r="A958" t="s">
        <v>1706</v>
      </c>
      <c r="B958" t="s">
        <v>2286</v>
      </c>
      <c r="C958" s="6" t="str">
        <f t="shared" si="43"/>
        <v>January</v>
      </c>
      <c r="D958" s="6" t="str">
        <f t="shared" si="44"/>
        <v>25</v>
      </c>
      <c r="E958" t="s">
        <v>275</v>
      </c>
      <c r="F958" t="s">
        <v>21</v>
      </c>
      <c r="G958" t="s">
        <v>68</v>
      </c>
      <c r="H958" s="4" t="s">
        <v>2258</v>
      </c>
      <c r="I958">
        <v>670993</v>
      </c>
      <c r="J958" s="8" t="s">
        <v>30</v>
      </c>
      <c r="K958" t="s">
        <v>676</v>
      </c>
      <c r="L958" t="s">
        <v>677</v>
      </c>
      <c r="M958" t="s">
        <v>135</v>
      </c>
      <c r="N958">
        <f t="shared" si="45"/>
        <v>9</v>
      </c>
      <c r="O958">
        <v>4</v>
      </c>
      <c r="P958" s="6">
        <v>21.19</v>
      </c>
      <c r="Q958">
        <v>1.06</v>
      </c>
      <c r="R958">
        <v>83.7</v>
      </c>
      <c r="S958">
        <v>4.1900000000000004</v>
      </c>
      <c r="T958">
        <v>10</v>
      </c>
      <c r="U958">
        <v>20</v>
      </c>
      <c r="V958">
        <v>117.89</v>
      </c>
      <c r="W958" t="s">
        <v>27</v>
      </c>
      <c r="X958">
        <v>31</v>
      </c>
    </row>
    <row r="959" spans="1:24" ht="14.25" customHeight="1">
      <c r="A959" t="s">
        <v>1707</v>
      </c>
      <c r="B959" t="s">
        <v>2278</v>
      </c>
      <c r="C959" s="6" t="str">
        <f t="shared" si="43"/>
        <v>January</v>
      </c>
      <c r="D959" s="6" t="str">
        <f t="shared" si="44"/>
        <v>22</v>
      </c>
      <c r="E959" t="s">
        <v>279</v>
      </c>
      <c r="F959" t="s">
        <v>21</v>
      </c>
      <c r="G959" t="s">
        <v>68</v>
      </c>
      <c r="H959" s="4" t="s">
        <v>2258</v>
      </c>
      <c r="I959">
        <v>371733</v>
      </c>
      <c r="J959" s="8" t="s">
        <v>2349</v>
      </c>
      <c r="K959" t="s">
        <v>680</v>
      </c>
      <c r="L959" t="s">
        <v>681</v>
      </c>
      <c r="M959" t="s">
        <v>98</v>
      </c>
      <c r="N959">
        <f t="shared" si="45"/>
        <v>4</v>
      </c>
      <c r="O959">
        <v>3</v>
      </c>
      <c r="P959" s="6">
        <v>82.42</v>
      </c>
      <c r="Q959">
        <v>4.12</v>
      </c>
      <c r="R959">
        <v>243.14</v>
      </c>
      <c r="S959">
        <v>12.16</v>
      </c>
      <c r="T959">
        <v>0</v>
      </c>
      <c r="U959">
        <v>10</v>
      </c>
      <c r="V959">
        <v>265.3</v>
      </c>
      <c r="W959" t="s">
        <v>84</v>
      </c>
      <c r="X959">
        <v>25</v>
      </c>
    </row>
    <row r="960" spans="1:24" ht="14.25" customHeight="1">
      <c r="A960" t="s">
        <v>1708</v>
      </c>
      <c r="B960" t="s">
        <v>2289</v>
      </c>
      <c r="C960" s="6" t="str">
        <f t="shared" si="43"/>
        <v>February</v>
      </c>
      <c r="D960" s="6" t="str">
        <f t="shared" si="44"/>
        <v>28</v>
      </c>
      <c r="E960" t="s">
        <v>283</v>
      </c>
      <c r="F960" t="s">
        <v>21</v>
      </c>
      <c r="G960" t="s">
        <v>74</v>
      </c>
      <c r="H960" s="4" t="s">
        <v>2258</v>
      </c>
      <c r="I960">
        <v>747999</v>
      </c>
      <c r="J960" s="8" t="s">
        <v>30</v>
      </c>
      <c r="K960" t="s">
        <v>684</v>
      </c>
      <c r="L960" t="s">
        <v>685</v>
      </c>
      <c r="M960" t="s">
        <v>135</v>
      </c>
      <c r="N960">
        <f t="shared" si="45"/>
        <v>9</v>
      </c>
      <c r="O960">
        <v>2</v>
      </c>
      <c r="P960" s="6">
        <v>49.61</v>
      </c>
      <c r="Q960">
        <v>2.48</v>
      </c>
      <c r="R960">
        <v>96.74</v>
      </c>
      <c r="S960">
        <v>4.84</v>
      </c>
      <c r="T960">
        <v>20</v>
      </c>
      <c r="U960">
        <v>5</v>
      </c>
      <c r="V960">
        <v>126.58</v>
      </c>
      <c r="W960" t="s">
        <v>27</v>
      </c>
      <c r="X960">
        <v>24</v>
      </c>
    </row>
    <row r="961" spans="1:24" ht="14.25" customHeight="1">
      <c r="A961" t="s">
        <v>1709</v>
      </c>
      <c r="B961" t="s">
        <v>2288</v>
      </c>
      <c r="C961" s="6" t="str">
        <f t="shared" si="43"/>
        <v>January</v>
      </c>
      <c r="D961" s="6" t="str">
        <f t="shared" si="44"/>
        <v>27</v>
      </c>
      <c r="E961" t="s">
        <v>287</v>
      </c>
      <c r="F961" t="s">
        <v>21</v>
      </c>
      <c r="G961" t="s">
        <v>106</v>
      </c>
      <c r="H961" s="4" t="s">
        <v>2258</v>
      </c>
      <c r="I961">
        <v>211915</v>
      </c>
      <c r="J961" s="8" t="s">
        <v>2347</v>
      </c>
      <c r="K961" t="s">
        <v>688</v>
      </c>
      <c r="L961" t="s">
        <v>689</v>
      </c>
      <c r="M961" t="s">
        <v>135</v>
      </c>
      <c r="N961">
        <f t="shared" si="45"/>
        <v>9</v>
      </c>
      <c r="O961">
        <v>5</v>
      </c>
      <c r="P961" s="6">
        <v>32.340000000000003</v>
      </c>
      <c r="Q961">
        <v>0</v>
      </c>
      <c r="R961">
        <v>161.69999999999999</v>
      </c>
      <c r="S961">
        <v>8.09</v>
      </c>
      <c r="T961">
        <v>20</v>
      </c>
      <c r="U961">
        <v>10</v>
      </c>
      <c r="V961">
        <v>199.79</v>
      </c>
      <c r="W961" t="s">
        <v>84</v>
      </c>
      <c r="X961">
        <v>25</v>
      </c>
    </row>
    <row r="962" spans="1:24" ht="14.25" customHeight="1">
      <c r="A962" t="s">
        <v>1710</v>
      </c>
      <c r="B962" t="s">
        <v>2287</v>
      </c>
      <c r="C962" s="6" t="str">
        <f t="shared" si="43"/>
        <v>February</v>
      </c>
      <c r="D962" s="6" t="str">
        <f t="shared" si="44"/>
        <v>18</v>
      </c>
      <c r="E962" t="s">
        <v>291</v>
      </c>
      <c r="F962" t="s">
        <v>21</v>
      </c>
      <c r="G962" t="s">
        <v>68</v>
      </c>
      <c r="H962" s="4" t="s">
        <v>2258</v>
      </c>
      <c r="I962">
        <v>213153</v>
      </c>
      <c r="J962" s="8" t="s">
        <v>62</v>
      </c>
      <c r="K962" t="s">
        <v>692</v>
      </c>
      <c r="L962" t="s">
        <v>693</v>
      </c>
      <c r="M962" t="s">
        <v>22</v>
      </c>
      <c r="N962">
        <f t="shared" si="45"/>
        <v>6</v>
      </c>
      <c r="O962">
        <v>1</v>
      </c>
      <c r="P962" s="6">
        <v>151.43</v>
      </c>
      <c r="Q962">
        <v>22.71</v>
      </c>
      <c r="R962">
        <v>128.72</v>
      </c>
      <c r="S962">
        <v>6.44</v>
      </c>
      <c r="T962">
        <v>10</v>
      </c>
      <c r="U962">
        <v>10</v>
      </c>
      <c r="V962">
        <v>155.16</v>
      </c>
      <c r="W962" t="s">
        <v>27</v>
      </c>
      <c r="X962">
        <v>37</v>
      </c>
    </row>
    <row r="963" spans="1:24" ht="14.25" customHeight="1">
      <c r="A963" t="s">
        <v>1711</v>
      </c>
      <c r="B963" t="s">
        <v>2318</v>
      </c>
      <c r="C963" s="6" t="str">
        <f t="shared" ref="C963:C1026" si="46">TEXT(B963,"mmmm")</f>
        <v>January</v>
      </c>
      <c r="D963" s="6" t="str">
        <f t="shared" ref="D963:D1026" si="47">TEXT(B963,"dd")</f>
        <v>13</v>
      </c>
      <c r="E963" t="s">
        <v>295</v>
      </c>
      <c r="F963" t="s">
        <v>101</v>
      </c>
      <c r="G963" t="s">
        <v>81</v>
      </c>
      <c r="H963" s="4" t="s">
        <v>2258</v>
      </c>
      <c r="I963">
        <v>187876</v>
      </c>
      <c r="J963" s="8" t="s">
        <v>2347</v>
      </c>
      <c r="K963" t="s">
        <v>696</v>
      </c>
      <c r="L963" t="s">
        <v>697</v>
      </c>
      <c r="M963" t="s">
        <v>98</v>
      </c>
      <c r="N963">
        <f t="shared" si="45"/>
        <v>4</v>
      </c>
      <c r="O963">
        <v>4</v>
      </c>
      <c r="P963" s="6">
        <v>229.08</v>
      </c>
      <c r="Q963">
        <v>22.91</v>
      </c>
      <c r="R963">
        <v>893.41000000000008</v>
      </c>
      <c r="S963">
        <v>44.67</v>
      </c>
      <c r="T963">
        <v>20</v>
      </c>
      <c r="U963">
        <v>10</v>
      </c>
      <c r="V963">
        <v>968.08</v>
      </c>
      <c r="W963" t="s">
        <v>27</v>
      </c>
      <c r="X963">
        <v>25</v>
      </c>
    </row>
    <row r="964" spans="1:24" ht="14.25" customHeight="1">
      <c r="A964" t="s">
        <v>1712</v>
      </c>
      <c r="B964" t="s">
        <v>2284</v>
      </c>
      <c r="C964" s="6" t="str">
        <f t="shared" si="46"/>
        <v>February</v>
      </c>
      <c r="D964" s="6" t="str">
        <f t="shared" si="47"/>
        <v>02</v>
      </c>
      <c r="E964" t="s">
        <v>299</v>
      </c>
      <c r="F964" t="s">
        <v>21</v>
      </c>
      <c r="G964" t="s">
        <v>74</v>
      </c>
      <c r="H964" s="4" t="s">
        <v>2258</v>
      </c>
      <c r="I964">
        <v>398845</v>
      </c>
      <c r="J964" s="8" t="s">
        <v>30</v>
      </c>
      <c r="K964" t="s">
        <v>700</v>
      </c>
      <c r="L964" t="s">
        <v>701</v>
      </c>
      <c r="M964" t="s">
        <v>33</v>
      </c>
      <c r="N964">
        <f t="shared" si="45"/>
        <v>10</v>
      </c>
      <c r="O964">
        <v>4</v>
      </c>
      <c r="P964" s="6">
        <v>121.86</v>
      </c>
      <c r="Q964">
        <v>18.28</v>
      </c>
      <c r="R964">
        <v>469.16</v>
      </c>
      <c r="S964">
        <v>23.46</v>
      </c>
      <c r="T964">
        <v>30</v>
      </c>
      <c r="U964">
        <v>5</v>
      </c>
      <c r="V964">
        <v>527.61999999999989</v>
      </c>
      <c r="W964" t="s">
        <v>27</v>
      </c>
      <c r="X964">
        <v>20</v>
      </c>
    </row>
    <row r="965" spans="1:24" ht="14.25" customHeight="1">
      <c r="A965" t="s">
        <v>1713</v>
      </c>
      <c r="B965" t="s">
        <v>2310</v>
      </c>
      <c r="C965" s="6" t="str">
        <f t="shared" si="46"/>
        <v>February</v>
      </c>
      <c r="D965" s="6" t="str">
        <f t="shared" si="47"/>
        <v>03</v>
      </c>
      <c r="E965" t="s">
        <v>303</v>
      </c>
      <c r="F965" t="s">
        <v>101</v>
      </c>
      <c r="G965" t="s">
        <v>81</v>
      </c>
      <c r="H965" s="4" t="s">
        <v>2258</v>
      </c>
      <c r="I965">
        <v>307397</v>
      </c>
      <c r="J965" s="8" t="s">
        <v>2347</v>
      </c>
      <c r="K965" t="s">
        <v>704</v>
      </c>
      <c r="L965" t="s">
        <v>705</v>
      </c>
      <c r="M965" t="s">
        <v>65</v>
      </c>
      <c r="N965">
        <f t="shared" si="45"/>
        <v>6</v>
      </c>
      <c r="O965">
        <v>1</v>
      </c>
      <c r="P965" s="6">
        <v>161.25</v>
      </c>
      <c r="Q965">
        <v>0</v>
      </c>
      <c r="R965">
        <v>161.25</v>
      </c>
      <c r="S965">
        <v>8.06</v>
      </c>
      <c r="T965">
        <v>30</v>
      </c>
      <c r="U965">
        <v>20</v>
      </c>
      <c r="V965">
        <v>219.31</v>
      </c>
      <c r="W965" t="s">
        <v>27</v>
      </c>
      <c r="X965">
        <v>28</v>
      </c>
    </row>
    <row r="966" spans="1:24" ht="14.25" customHeight="1">
      <c r="A966" t="s">
        <v>1714</v>
      </c>
      <c r="B966" t="s">
        <v>2315</v>
      </c>
      <c r="C966" s="6" t="str">
        <f t="shared" si="46"/>
        <v>February</v>
      </c>
      <c r="D966" s="6" t="str">
        <f t="shared" si="47"/>
        <v>10</v>
      </c>
      <c r="E966" t="s">
        <v>307</v>
      </c>
      <c r="F966" t="s">
        <v>21</v>
      </c>
      <c r="G966" t="s">
        <v>74</v>
      </c>
      <c r="H966" s="4" t="s">
        <v>2258</v>
      </c>
      <c r="I966">
        <v>952318</v>
      </c>
      <c r="J966" s="8" t="s">
        <v>2345</v>
      </c>
      <c r="K966" t="s">
        <v>708</v>
      </c>
      <c r="L966" t="s">
        <v>709</v>
      </c>
      <c r="M966" t="s">
        <v>22</v>
      </c>
      <c r="N966">
        <f t="shared" si="45"/>
        <v>6</v>
      </c>
      <c r="O966">
        <v>1</v>
      </c>
      <c r="P966" s="6">
        <v>115.42</v>
      </c>
      <c r="Q966">
        <v>0</v>
      </c>
      <c r="R966">
        <v>115.42</v>
      </c>
      <c r="S966">
        <v>5.77</v>
      </c>
      <c r="T966">
        <v>0</v>
      </c>
      <c r="U966">
        <v>10</v>
      </c>
      <c r="V966">
        <v>131.19</v>
      </c>
      <c r="W966" t="s">
        <v>27</v>
      </c>
      <c r="X966">
        <v>23</v>
      </c>
    </row>
    <row r="967" spans="1:24" ht="14.25" customHeight="1">
      <c r="A967" t="s">
        <v>1715</v>
      </c>
      <c r="B967" t="s">
        <v>2306</v>
      </c>
      <c r="C967" s="6" t="str">
        <f t="shared" si="46"/>
        <v>February</v>
      </c>
      <c r="D967" s="6" t="str">
        <f t="shared" si="47"/>
        <v>04</v>
      </c>
      <c r="E967" t="s">
        <v>311</v>
      </c>
      <c r="F967" t="s">
        <v>80</v>
      </c>
      <c r="G967" t="s">
        <v>81</v>
      </c>
      <c r="H967" s="4" t="s">
        <v>2258</v>
      </c>
      <c r="I967">
        <v>923932</v>
      </c>
      <c r="J967" s="8" t="s">
        <v>30</v>
      </c>
      <c r="K967" t="s">
        <v>712</v>
      </c>
      <c r="L967" t="s">
        <v>713</v>
      </c>
      <c r="M967" t="s">
        <v>50</v>
      </c>
      <c r="N967">
        <f t="shared" si="45"/>
        <v>5</v>
      </c>
      <c r="O967">
        <v>3</v>
      </c>
      <c r="P967" s="6">
        <v>235.92</v>
      </c>
      <c r="Q967">
        <v>0</v>
      </c>
      <c r="R967">
        <v>707.76</v>
      </c>
      <c r="S967">
        <v>35.39</v>
      </c>
      <c r="T967">
        <v>0</v>
      </c>
      <c r="U967">
        <v>5</v>
      </c>
      <c r="V967">
        <v>748.15</v>
      </c>
      <c r="W967" t="s">
        <v>27</v>
      </c>
      <c r="X967">
        <v>16</v>
      </c>
    </row>
    <row r="968" spans="1:24" ht="14.25" customHeight="1">
      <c r="A968" t="s">
        <v>1716</v>
      </c>
      <c r="B968" t="s">
        <v>2316</v>
      </c>
      <c r="C968" s="6" t="str">
        <f t="shared" si="46"/>
        <v>January</v>
      </c>
      <c r="D968" s="6" t="str">
        <f t="shared" si="47"/>
        <v>01</v>
      </c>
      <c r="E968" t="s">
        <v>315</v>
      </c>
      <c r="F968" t="s">
        <v>21</v>
      </c>
      <c r="G968" t="s">
        <v>68</v>
      </c>
      <c r="H968" s="4" t="s">
        <v>2258</v>
      </c>
      <c r="I968">
        <v>135187</v>
      </c>
      <c r="J968" s="8" t="s">
        <v>30</v>
      </c>
      <c r="K968" t="s">
        <v>716</v>
      </c>
      <c r="L968" t="s">
        <v>717</v>
      </c>
      <c r="M968" t="s">
        <v>55</v>
      </c>
      <c r="N968">
        <f t="shared" si="45"/>
        <v>5</v>
      </c>
      <c r="O968">
        <v>3</v>
      </c>
      <c r="P968" s="6">
        <v>83.35</v>
      </c>
      <c r="Q968">
        <v>12.5</v>
      </c>
      <c r="R968">
        <v>237.55</v>
      </c>
      <c r="S968">
        <v>11.88</v>
      </c>
      <c r="T968">
        <v>30</v>
      </c>
      <c r="U968">
        <v>15</v>
      </c>
      <c r="V968">
        <v>294.42999999999989</v>
      </c>
      <c r="W968" t="s">
        <v>27</v>
      </c>
      <c r="X968">
        <v>30</v>
      </c>
    </row>
    <row r="969" spans="1:24" ht="14.25" customHeight="1">
      <c r="A969" t="s">
        <v>1717</v>
      </c>
      <c r="B969" t="s">
        <v>2268</v>
      </c>
      <c r="C969" s="6" t="str">
        <f t="shared" si="46"/>
        <v>January</v>
      </c>
      <c r="D969" s="6" t="str">
        <f t="shared" si="47"/>
        <v>21</v>
      </c>
      <c r="E969" t="s">
        <v>319</v>
      </c>
      <c r="F969" t="s">
        <v>21</v>
      </c>
      <c r="G969" t="s">
        <v>74</v>
      </c>
      <c r="H969" s="4" t="s">
        <v>2258</v>
      </c>
      <c r="I969">
        <v>491770</v>
      </c>
      <c r="J969" s="8" t="s">
        <v>2346</v>
      </c>
      <c r="K969" t="s">
        <v>720</v>
      </c>
      <c r="L969" t="s">
        <v>721</v>
      </c>
      <c r="M969" t="s">
        <v>22</v>
      </c>
      <c r="N969">
        <f t="shared" si="45"/>
        <v>6</v>
      </c>
      <c r="O969">
        <v>2</v>
      </c>
      <c r="P969" s="6">
        <v>109.34</v>
      </c>
      <c r="Q969">
        <v>0</v>
      </c>
      <c r="R969">
        <v>218.68</v>
      </c>
      <c r="S969">
        <v>10.93</v>
      </c>
      <c r="T969">
        <v>10</v>
      </c>
      <c r="U969">
        <v>5</v>
      </c>
      <c r="V969">
        <v>244.61</v>
      </c>
      <c r="W969" t="s">
        <v>27</v>
      </c>
      <c r="X969">
        <v>6</v>
      </c>
    </row>
    <row r="970" spans="1:24" ht="14.25" customHeight="1">
      <c r="A970" t="s">
        <v>1718</v>
      </c>
      <c r="B970" t="s">
        <v>2313</v>
      </c>
      <c r="C970" s="6" t="str">
        <f t="shared" si="46"/>
        <v>February</v>
      </c>
      <c r="D970" s="6" t="str">
        <f t="shared" si="47"/>
        <v>17</v>
      </c>
      <c r="E970" t="s">
        <v>323</v>
      </c>
      <c r="F970" t="s">
        <v>21</v>
      </c>
      <c r="G970" t="s">
        <v>74</v>
      </c>
      <c r="H970" s="4" t="s">
        <v>2258</v>
      </c>
      <c r="I970">
        <v>638304</v>
      </c>
      <c r="J970" s="8" t="s">
        <v>2346</v>
      </c>
      <c r="K970" t="s">
        <v>724</v>
      </c>
      <c r="L970" t="s">
        <v>725</v>
      </c>
      <c r="M970" t="s">
        <v>71</v>
      </c>
      <c r="N970">
        <f t="shared" si="45"/>
        <v>6</v>
      </c>
      <c r="O970">
        <v>4</v>
      </c>
      <c r="P970" s="6">
        <v>65.97</v>
      </c>
      <c r="Q970">
        <v>3.3</v>
      </c>
      <c r="R970">
        <v>260.58</v>
      </c>
      <c r="S970">
        <v>13.03</v>
      </c>
      <c r="T970">
        <v>10</v>
      </c>
      <c r="U970">
        <v>5</v>
      </c>
      <c r="V970">
        <v>288.61</v>
      </c>
      <c r="W970" t="s">
        <v>27</v>
      </c>
      <c r="X970">
        <v>30</v>
      </c>
    </row>
    <row r="971" spans="1:24" ht="14.25" customHeight="1">
      <c r="A971" t="s">
        <v>1719</v>
      </c>
      <c r="B971" t="s">
        <v>2295</v>
      </c>
      <c r="C971" s="6" t="str">
        <f t="shared" si="46"/>
        <v>February</v>
      </c>
      <c r="D971" s="6" t="str">
        <f t="shared" si="47"/>
        <v>24</v>
      </c>
      <c r="E971" t="s">
        <v>327</v>
      </c>
      <c r="F971" t="s">
        <v>21</v>
      </c>
      <c r="G971" t="s">
        <v>68</v>
      </c>
      <c r="H971" s="4" t="s">
        <v>2258</v>
      </c>
      <c r="I971">
        <v>505377</v>
      </c>
      <c r="J971" s="8" t="s">
        <v>2349</v>
      </c>
      <c r="K971" t="s">
        <v>728</v>
      </c>
      <c r="L971" t="s">
        <v>729</v>
      </c>
      <c r="M971" t="s">
        <v>77</v>
      </c>
      <c r="N971">
        <f t="shared" si="45"/>
        <v>5</v>
      </c>
      <c r="O971">
        <v>1</v>
      </c>
      <c r="P971" s="6">
        <v>95.29</v>
      </c>
      <c r="Q971">
        <v>0</v>
      </c>
      <c r="R971">
        <v>95.29</v>
      </c>
      <c r="S971">
        <v>4.76</v>
      </c>
      <c r="T971">
        <v>0</v>
      </c>
      <c r="U971">
        <v>20</v>
      </c>
      <c r="V971">
        <v>120.05</v>
      </c>
      <c r="W971" t="s">
        <v>27</v>
      </c>
      <c r="X971">
        <v>26</v>
      </c>
    </row>
    <row r="972" spans="1:24" ht="14.25" customHeight="1">
      <c r="A972" t="s">
        <v>1720</v>
      </c>
      <c r="B972" t="s">
        <v>2308</v>
      </c>
      <c r="C972" s="6" t="str">
        <f t="shared" si="46"/>
        <v>January</v>
      </c>
      <c r="D972" s="6" t="str">
        <f t="shared" si="47"/>
        <v>06</v>
      </c>
      <c r="E972" t="s">
        <v>331</v>
      </c>
      <c r="F972" t="s">
        <v>21</v>
      </c>
      <c r="G972" t="s">
        <v>68</v>
      </c>
      <c r="H972" s="4" t="s">
        <v>2258</v>
      </c>
      <c r="I972">
        <v>856488</v>
      </c>
      <c r="J972" s="8" t="s">
        <v>30</v>
      </c>
      <c r="K972" t="s">
        <v>732</v>
      </c>
      <c r="L972" t="s">
        <v>733</v>
      </c>
      <c r="M972" t="s">
        <v>45</v>
      </c>
      <c r="N972">
        <f t="shared" si="45"/>
        <v>6</v>
      </c>
      <c r="O972">
        <v>7</v>
      </c>
      <c r="P972" s="6">
        <v>178.33</v>
      </c>
      <c r="Q972">
        <v>8.92</v>
      </c>
      <c r="R972">
        <v>1239.3900000000001</v>
      </c>
      <c r="S972">
        <v>61.97</v>
      </c>
      <c r="T972">
        <v>30</v>
      </c>
      <c r="U972">
        <v>10</v>
      </c>
      <c r="V972">
        <v>1341.36</v>
      </c>
      <c r="W972" t="s">
        <v>27</v>
      </c>
      <c r="X972">
        <v>38</v>
      </c>
    </row>
    <row r="973" spans="1:24" ht="14.25" customHeight="1">
      <c r="A973" t="s">
        <v>1721</v>
      </c>
      <c r="B973" t="s">
        <v>2291</v>
      </c>
      <c r="C973" s="6" t="str">
        <f t="shared" si="46"/>
        <v>January</v>
      </c>
      <c r="D973" s="6" t="str">
        <f t="shared" si="47"/>
        <v>28</v>
      </c>
      <c r="E973" t="s">
        <v>335</v>
      </c>
      <c r="F973" t="s">
        <v>21</v>
      </c>
      <c r="G973" t="s">
        <v>37</v>
      </c>
      <c r="H973" s="4" t="s">
        <v>2258</v>
      </c>
      <c r="I973">
        <v>513166</v>
      </c>
      <c r="J973" s="8" t="s">
        <v>62</v>
      </c>
      <c r="K973" t="s">
        <v>736</v>
      </c>
      <c r="L973" t="s">
        <v>737</v>
      </c>
      <c r="M973" t="s">
        <v>130</v>
      </c>
      <c r="N973">
        <f t="shared" ref="N973:N1036" si="48">LEN(M973)</f>
        <v>7</v>
      </c>
      <c r="O973">
        <v>4</v>
      </c>
      <c r="P973" s="6">
        <v>114.52</v>
      </c>
      <c r="Q973">
        <v>17.18</v>
      </c>
      <c r="R973">
        <v>440.9</v>
      </c>
      <c r="S973">
        <v>22.05</v>
      </c>
      <c r="T973">
        <v>30</v>
      </c>
      <c r="U973">
        <v>20</v>
      </c>
      <c r="V973">
        <v>512.95000000000005</v>
      </c>
      <c r="W973" t="s">
        <v>27</v>
      </c>
      <c r="X973">
        <v>17</v>
      </c>
    </row>
    <row r="974" spans="1:24" ht="14.25" customHeight="1">
      <c r="A974" t="s">
        <v>1722</v>
      </c>
      <c r="B974" t="s">
        <v>2307</v>
      </c>
      <c r="C974" s="6" t="str">
        <f t="shared" si="46"/>
        <v>January</v>
      </c>
      <c r="D974" s="6" t="str">
        <f t="shared" si="47"/>
        <v>17</v>
      </c>
      <c r="E974" t="s">
        <v>339</v>
      </c>
      <c r="F974" t="s">
        <v>21</v>
      </c>
      <c r="G974" t="s">
        <v>74</v>
      </c>
      <c r="H974" s="4" t="s">
        <v>2258</v>
      </c>
      <c r="I974">
        <v>354957</v>
      </c>
      <c r="J974" s="8" t="s">
        <v>2347</v>
      </c>
      <c r="K974" t="s">
        <v>740</v>
      </c>
      <c r="L974" t="s">
        <v>741</v>
      </c>
      <c r="M974" t="s">
        <v>130</v>
      </c>
      <c r="N974">
        <f t="shared" si="48"/>
        <v>7</v>
      </c>
      <c r="O974">
        <v>2</v>
      </c>
      <c r="P974" s="6">
        <v>152.22999999999999</v>
      </c>
      <c r="Q974">
        <v>22.83</v>
      </c>
      <c r="R974">
        <v>281.63</v>
      </c>
      <c r="S974">
        <v>14.08</v>
      </c>
      <c r="T974">
        <v>30</v>
      </c>
      <c r="U974">
        <v>5</v>
      </c>
      <c r="V974">
        <v>330.71</v>
      </c>
      <c r="W974" t="s">
        <v>27</v>
      </c>
      <c r="X974">
        <v>9</v>
      </c>
    </row>
    <row r="975" spans="1:24" ht="14.25" customHeight="1">
      <c r="A975" t="s">
        <v>1723</v>
      </c>
      <c r="B975" t="s">
        <v>2317</v>
      </c>
      <c r="C975" s="6" t="str">
        <f t="shared" si="46"/>
        <v>January</v>
      </c>
      <c r="D975" s="6" t="str">
        <f t="shared" si="47"/>
        <v>05</v>
      </c>
      <c r="E975" t="s">
        <v>343</v>
      </c>
      <c r="F975" t="s">
        <v>21</v>
      </c>
      <c r="G975" t="s">
        <v>106</v>
      </c>
      <c r="H975" s="4" t="s">
        <v>2258</v>
      </c>
      <c r="I975">
        <v>246692</v>
      </c>
      <c r="J975" s="8" t="s">
        <v>30</v>
      </c>
      <c r="K975" t="s">
        <v>744</v>
      </c>
      <c r="L975" t="s">
        <v>745</v>
      </c>
      <c r="M975" t="s">
        <v>40</v>
      </c>
      <c r="N975">
        <f t="shared" si="48"/>
        <v>6</v>
      </c>
      <c r="O975">
        <v>3</v>
      </c>
      <c r="P975" s="6">
        <v>61.75</v>
      </c>
      <c r="Q975">
        <v>3.09</v>
      </c>
      <c r="R975">
        <v>182.16</v>
      </c>
      <c r="S975">
        <v>9.11</v>
      </c>
      <c r="T975">
        <v>30</v>
      </c>
      <c r="U975">
        <v>20</v>
      </c>
      <c r="V975">
        <v>241.27</v>
      </c>
      <c r="W975" t="s">
        <v>27</v>
      </c>
      <c r="X975">
        <v>17</v>
      </c>
    </row>
    <row r="976" spans="1:24" ht="14.25" customHeight="1">
      <c r="A976" t="s">
        <v>1724</v>
      </c>
      <c r="B976" t="s">
        <v>2312</v>
      </c>
      <c r="C976" s="6" t="str">
        <f t="shared" si="46"/>
        <v>January</v>
      </c>
      <c r="D976" s="6" t="str">
        <f t="shared" si="47"/>
        <v>31</v>
      </c>
      <c r="E976" t="s">
        <v>347</v>
      </c>
      <c r="F976" t="s">
        <v>21</v>
      </c>
      <c r="G976" t="s">
        <v>68</v>
      </c>
      <c r="H976" s="4" t="s">
        <v>2258</v>
      </c>
      <c r="I976">
        <v>575573</v>
      </c>
      <c r="J976" s="8" t="s">
        <v>2349</v>
      </c>
      <c r="K976" t="s">
        <v>748</v>
      </c>
      <c r="L976" t="s">
        <v>749</v>
      </c>
      <c r="M976" t="s">
        <v>130</v>
      </c>
      <c r="N976">
        <f t="shared" si="48"/>
        <v>7</v>
      </c>
      <c r="O976">
        <v>1</v>
      </c>
      <c r="P976" s="6">
        <v>90.95</v>
      </c>
      <c r="Q976">
        <v>9.1</v>
      </c>
      <c r="R976">
        <v>81.850000000000009</v>
      </c>
      <c r="S976">
        <v>4.09</v>
      </c>
      <c r="T976">
        <v>30</v>
      </c>
      <c r="U976">
        <v>15</v>
      </c>
      <c r="V976">
        <v>130.94</v>
      </c>
      <c r="W976" t="s">
        <v>27</v>
      </c>
      <c r="X976">
        <v>34</v>
      </c>
    </row>
    <row r="977" spans="1:24" ht="14.25" customHeight="1">
      <c r="A977" t="s">
        <v>1725</v>
      </c>
      <c r="B977" t="s">
        <v>2317</v>
      </c>
      <c r="C977" s="6" t="str">
        <f t="shared" si="46"/>
        <v>January</v>
      </c>
      <c r="D977" s="6" t="str">
        <f t="shared" si="47"/>
        <v>05</v>
      </c>
      <c r="E977" t="s">
        <v>351</v>
      </c>
      <c r="F977" t="s">
        <v>21</v>
      </c>
      <c r="G977" t="s">
        <v>68</v>
      </c>
      <c r="H977" s="4" t="s">
        <v>2258</v>
      </c>
      <c r="I977">
        <v>779930</v>
      </c>
      <c r="J977" s="8" t="s">
        <v>2348</v>
      </c>
      <c r="K977" t="s">
        <v>752</v>
      </c>
      <c r="L977" t="s">
        <v>753</v>
      </c>
      <c r="M977" t="s">
        <v>140</v>
      </c>
      <c r="N977">
        <f t="shared" si="48"/>
        <v>3</v>
      </c>
      <c r="O977">
        <v>2</v>
      </c>
      <c r="P977" s="6">
        <v>98.97</v>
      </c>
      <c r="Q977">
        <v>14.85</v>
      </c>
      <c r="R977">
        <v>183.09</v>
      </c>
      <c r="S977">
        <v>9.15</v>
      </c>
      <c r="T977">
        <v>0</v>
      </c>
      <c r="U977">
        <v>20</v>
      </c>
      <c r="V977">
        <v>212.24</v>
      </c>
      <c r="W977" t="s">
        <v>27</v>
      </c>
      <c r="X977">
        <v>34</v>
      </c>
    </row>
    <row r="978" spans="1:24" ht="14.25" customHeight="1">
      <c r="A978" t="s">
        <v>1726</v>
      </c>
      <c r="B978" t="s">
        <v>2282</v>
      </c>
      <c r="C978" s="6" t="str">
        <f t="shared" si="46"/>
        <v>February</v>
      </c>
      <c r="D978" s="6" t="str">
        <f t="shared" si="47"/>
        <v>07</v>
      </c>
      <c r="E978" t="s">
        <v>355</v>
      </c>
      <c r="F978" t="s">
        <v>21</v>
      </c>
      <c r="G978" t="s">
        <v>68</v>
      </c>
      <c r="H978" s="4" t="s">
        <v>2258</v>
      </c>
      <c r="I978">
        <v>572312</v>
      </c>
      <c r="J978" s="8" t="s">
        <v>2349</v>
      </c>
      <c r="K978" t="s">
        <v>756</v>
      </c>
      <c r="L978" t="s">
        <v>757</v>
      </c>
      <c r="M978" t="s">
        <v>98</v>
      </c>
      <c r="N978">
        <f t="shared" si="48"/>
        <v>4</v>
      </c>
      <c r="O978">
        <v>1</v>
      </c>
      <c r="P978" s="6">
        <v>25.59</v>
      </c>
      <c r="Q978">
        <v>0</v>
      </c>
      <c r="R978">
        <v>25.59</v>
      </c>
      <c r="S978">
        <v>1.28</v>
      </c>
      <c r="T978">
        <v>30</v>
      </c>
      <c r="U978">
        <v>20</v>
      </c>
      <c r="V978">
        <v>76.87</v>
      </c>
      <c r="W978" t="s">
        <v>27</v>
      </c>
      <c r="X978">
        <v>12</v>
      </c>
    </row>
    <row r="979" spans="1:24" ht="14.25" customHeight="1">
      <c r="A979" t="s">
        <v>1727</v>
      </c>
      <c r="B979" t="s">
        <v>2277</v>
      </c>
      <c r="C979" s="6" t="str">
        <f t="shared" si="46"/>
        <v>January</v>
      </c>
      <c r="D979" s="6" t="str">
        <f t="shared" si="47"/>
        <v>03</v>
      </c>
      <c r="E979" t="s">
        <v>359</v>
      </c>
      <c r="F979" t="s">
        <v>101</v>
      </c>
      <c r="G979" t="s">
        <v>81</v>
      </c>
      <c r="H979" s="4" t="s">
        <v>2258</v>
      </c>
      <c r="I979">
        <v>335161</v>
      </c>
      <c r="J979" s="8" t="s">
        <v>2347</v>
      </c>
      <c r="K979" t="s">
        <v>760</v>
      </c>
      <c r="L979" t="s">
        <v>761</v>
      </c>
      <c r="M979" t="s">
        <v>77</v>
      </c>
      <c r="N979">
        <f t="shared" si="48"/>
        <v>5</v>
      </c>
      <c r="O979">
        <v>1</v>
      </c>
      <c r="P979" s="6">
        <v>113.92</v>
      </c>
      <c r="Q979">
        <v>5.7</v>
      </c>
      <c r="R979">
        <v>108.22</v>
      </c>
      <c r="S979">
        <v>5.41</v>
      </c>
      <c r="T979">
        <v>20</v>
      </c>
      <c r="U979">
        <v>0</v>
      </c>
      <c r="V979">
        <v>133.63</v>
      </c>
      <c r="W979" t="s">
        <v>27</v>
      </c>
      <c r="X979">
        <v>40</v>
      </c>
    </row>
    <row r="980" spans="1:24" ht="14.25" customHeight="1">
      <c r="A980" t="s">
        <v>1728</v>
      </c>
      <c r="B980" t="s">
        <v>2274</v>
      </c>
      <c r="C980" s="6" t="str">
        <f t="shared" si="46"/>
        <v>February</v>
      </c>
      <c r="D980" s="6" t="str">
        <f t="shared" si="47"/>
        <v>22</v>
      </c>
      <c r="E980" t="s">
        <v>363</v>
      </c>
      <c r="F980" t="s">
        <v>21</v>
      </c>
      <c r="G980" t="s">
        <v>68</v>
      </c>
      <c r="H980" s="4" t="s">
        <v>2258</v>
      </c>
      <c r="I980">
        <v>605173</v>
      </c>
      <c r="J980" s="8" t="s">
        <v>2347</v>
      </c>
      <c r="K980" t="s">
        <v>764</v>
      </c>
      <c r="L980" t="s">
        <v>765</v>
      </c>
      <c r="M980" t="s">
        <v>22</v>
      </c>
      <c r="N980">
        <f t="shared" si="48"/>
        <v>6</v>
      </c>
      <c r="O980">
        <v>3</v>
      </c>
      <c r="P980" s="6">
        <v>137.38</v>
      </c>
      <c r="Q980">
        <v>20.61</v>
      </c>
      <c r="R980">
        <v>391.53</v>
      </c>
      <c r="S980">
        <v>19.579999999999998</v>
      </c>
      <c r="T980">
        <v>20</v>
      </c>
      <c r="U980">
        <v>15</v>
      </c>
      <c r="V980">
        <v>446.11</v>
      </c>
      <c r="W980" t="s">
        <v>27</v>
      </c>
      <c r="X980">
        <v>25</v>
      </c>
    </row>
    <row r="981" spans="1:24" ht="14.25" customHeight="1">
      <c r="A981" t="s">
        <v>1729</v>
      </c>
      <c r="B981" t="s">
        <v>2271</v>
      </c>
      <c r="C981" s="6" t="str">
        <f t="shared" si="46"/>
        <v>January</v>
      </c>
      <c r="D981" s="6" t="str">
        <f t="shared" si="47"/>
        <v>23</v>
      </c>
      <c r="E981" t="s">
        <v>367</v>
      </c>
      <c r="F981" t="s">
        <v>21</v>
      </c>
      <c r="G981" t="s">
        <v>68</v>
      </c>
      <c r="H981" s="4" t="s">
        <v>2258</v>
      </c>
      <c r="I981">
        <v>805359</v>
      </c>
      <c r="J981" s="8" t="s">
        <v>2349</v>
      </c>
      <c r="K981" t="s">
        <v>768</v>
      </c>
      <c r="L981" t="s">
        <v>769</v>
      </c>
      <c r="M981" t="s">
        <v>135</v>
      </c>
      <c r="N981">
        <f t="shared" si="48"/>
        <v>9</v>
      </c>
      <c r="O981">
        <v>5</v>
      </c>
      <c r="P981" s="6">
        <v>178.39</v>
      </c>
      <c r="Q981">
        <v>17.84</v>
      </c>
      <c r="R981">
        <v>874.1099999999999</v>
      </c>
      <c r="S981">
        <v>43.71</v>
      </c>
      <c r="T981">
        <v>30</v>
      </c>
      <c r="U981">
        <v>20</v>
      </c>
      <c r="V981">
        <v>967.81999999999994</v>
      </c>
      <c r="W981" t="s">
        <v>27</v>
      </c>
      <c r="X981">
        <v>24</v>
      </c>
    </row>
    <row r="982" spans="1:24" ht="14.25" customHeight="1">
      <c r="A982" t="s">
        <v>1730</v>
      </c>
      <c r="B982" t="s">
        <v>2297</v>
      </c>
      <c r="C982" s="6" t="str">
        <f t="shared" si="46"/>
        <v>February</v>
      </c>
      <c r="D982" s="6" t="str">
        <f t="shared" si="47"/>
        <v>06</v>
      </c>
      <c r="E982" t="s">
        <v>371</v>
      </c>
      <c r="F982" t="s">
        <v>21</v>
      </c>
      <c r="G982" t="s">
        <v>22</v>
      </c>
      <c r="H982" s="4" t="s">
        <v>2258</v>
      </c>
      <c r="I982">
        <v>121576</v>
      </c>
      <c r="J982" s="8" t="s">
        <v>2346</v>
      </c>
      <c r="K982" t="s">
        <v>772</v>
      </c>
      <c r="L982" t="s">
        <v>773</v>
      </c>
      <c r="M982" t="s">
        <v>77</v>
      </c>
      <c r="N982">
        <f t="shared" si="48"/>
        <v>5</v>
      </c>
      <c r="O982">
        <v>1</v>
      </c>
      <c r="P982" s="6">
        <v>128.69999999999999</v>
      </c>
      <c r="Q982">
        <v>0</v>
      </c>
      <c r="R982">
        <v>128.69999999999999</v>
      </c>
      <c r="S982">
        <v>6.43</v>
      </c>
      <c r="T982">
        <v>30</v>
      </c>
      <c r="U982">
        <v>5</v>
      </c>
      <c r="V982">
        <v>170.13</v>
      </c>
      <c r="W982" t="s">
        <v>27</v>
      </c>
      <c r="X982">
        <v>18</v>
      </c>
    </row>
    <row r="983" spans="1:24" ht="14.25" customHeight="1">
      <c r="A983" t="s">
        <v>1731</v>
      </c>
      <c r="B983" t="s">
        <v>2274</v>
      </c>
      <c r="C983" s="6" t="str">
        <f t="shared" si="46"/>
        <v>February</v>
      </c>
      <c r="D983" s="6" t="str">
        <f t="shared" si="47"/>
        <v>22</v>
      </c>
      <c r="E983" t="s">
        <v>375</v>
      </c>
      <c r="F983" t="s">
        <v>101</v>
      </c>
      <c r="G983" t="s">
        <v>81</v>
      </c>
      <c r="H983" s="4" t="s">
        <v>2258</v>
      </c>
      <c r="I983">
        <v>794186</v>
      </c>
      <c r="J983" s="8" t="s">
        <v>30</v>
      </c>
      <c r="K983" t="s">
        <v>776</v>
      </c>
      <c r="L983" t="s">
        <v>777</v>
      </c>
      <c r="M983" t="s">
        <v>177</v>
      </c>
      <c r="N983">
        <f t="shared" si="48"/>
        <v>5</v>
      </c>
      <c r="O983">
        <v>4</v>
      </c>
      <c r="P983" s="6">
        <v>94.18</v>
      </c>
      <c r="Q983">
        <v>14.13</v>
      </c>
      <c r="R983">
        <v>362.59</v>
      </c>
      <c r="S983">
        <v>18.13</v>
      </c>
      <c r="T983">
        <v>20</v>
      </c>
      <c r="U983">
        <v>0</v>
      </c>
      <c r="V983">
        <v>400.72</v>
      </c>
      <c r="W983" t="s">
        <v>27</v>
      </c>
      <c r="X983">
        <v>21</v>
      </c>
    </row>
    <row r="984" spans="1:24" ht="14.25" customHeight="1">
      <c r="A984" t="s">
        <v>1732</v>
      </c>
      <c r="B984" t="s">
        <v>2297</v>
      </c>
      <c r="C984" s="6" t="str">
        <f t="shared" si="46"/>
        <v>February</v>
      </c>
      <c r="D984" s="6" t="str">
        <f t="shared" si="47"/>
        <v>06</v>
      </c>
      <c r="E984" t="s">
        <v>379</v>
      </c>
      <c r="F984" t="s">
        <v>80</v>
      </c>
      <c r="G984" t="s">
        <v>81</v>
      </c>
      <c r="H984" s="4" t="s">
        <v>2258</v>
      </c>
      <c r="I984">
        <v>881700</v>
      </c>
      <c r="J984" s="8" t="s">
        <v>2345</v>
      </c>
      <c r="K984" t="s">
        <v>780</v>
      </c>
      <c r="L984" t="s">
        <v>781</v>
      </c>
      <c r="M984" t="s">
        <v>140</v>
      </c>
      <c r="N984">
        <f t="shared" si="48"/>
        <v>3</v>
      </c>
      <c r="O984">
        <v>5</v>
      </c>
      <c r="P984" s="6">
        <v>93.45</v>
      </c>
      <c r="Q984">
        <v>14.02</v>
      </c>
      <c r="R984">
        <v>453.23</v>
      </c>
      <c r="S984">
        <v>22.66</v>
      </c>
      <c r="T984">
        <v>0</v>
      </c>
      <c r="U984">
        <v>10</v>
      </c>
      <c r="V984">
        <v>485.89</v>
      </c>
      <c r="W984" t="s">
        <v>27</v>
      </c>
      <c r="X984">
        <v>21</v>
      </c>
    </row>
    <row r="985" spans="1:24" ht="14.25" customHeight="1">
      <c r="A985" t="s">
        <v>1733</v>
      </c>
      <c r="B985" t="s">
        <v>2311</v>
      </c>
      <c r="C985" s="6" t="str">
        <f t="shared" si="46"/>
        <v>January</v>
      </c>
      <c r="D985" s="6" t="str">
        <f t="shared" si="47"/>
        <v>10</v>
      </c>
      <c r="E985" t="s">
        <v>383</v>
      </c>
      <c r="F985" t="s">
        <v>21</v>
      </c>
      <c r="G985" t="s">
        <v>74</v>
      </c>
      <c r="H985" s="4" t="s">
        <v>2258</v>
      </c>
      <c r="I985">
        <v>673722</v>
      </c>
      <c r="J985" s="8" t="s">
        <v>62</v>
      </c>
      <c r="K985" t="s">
        <v>784</v>
      </c>
      <c r="L985" t="s">
        <v>785</v>
      </c>
      <c r="M985" t="s">
        <v>89</v>
      </c>
      <c r="N985">
        <f t="shared" si="48"/>
        <v>7</v>
      </c>
      <c r="O985">
        <v>5</v>
      </c>
      <c r="P985" s="6">
        <v>28.37</v>
      </c>
      <c r="Q985">
        <v>1.42</v>
      </c>
      <c r="R985">
        <v>140.43</v>
      </c>
      <c r="S985">
        <v>7.02</v>
      </c>
      <c r="T985">
        <v>10</v>
      </c>
      <c r="U985">
        <v>0</v>
      </c>
      <c r="V985">
        <v>157.44999999999999</v>
      </c>
      <c r="W985" t="s">
        <v>27</v>
      </c>
      <c r="X985">
        <v>15</v>
      </c>
    </row>
    <row r="986" spans="1:24" ht="14.25" customHeight="1">
      <c r="A986" t="s">
        <v>1734</v>
      </c>
      <c r="B986" t="s">
        <v>2311</v>
      </c>
      <c r="C986" s="6" t="str">
        <f t="shared" si="46"/>
        <v>January</v>
      </c>
      <c r="D986" s="6" t="str">
        <f t="shared" si="47"/>
        <v>10</v>
      </c>
      <c r="E986" t="s">
        <v>387</v>
      </c>
      <c r="F986" t="s">
        <v>21</v>
      </c>
      <c r="G986" t="s">
        <v>74</v>
      </c>
      <c r="H986" s="4" t="s">
        <v>2258</v>
      </c>
      <c r="I986">
        <v>966164</v>
      </c>
      <c r="J986" s="8" t="s">
        <v>30</v>
      </c>
      <c r="K986" t="s">
        <v>788</v>
      </c>
      <c r="L986" t="s">
        <v>789</v>
      </c>
      <c r="M986" t="s">
        <v>98</v>
      </c>
      <c r="N986">
        <f t="shared" si="48"/>
        <v>4</v>
      </c>
      <c r="O986">
        <v>4</v>
      </c>
      <c r="P986" s="6">
        <v>218.99</v>
      </c>
      <c r="Q986">
        <v>0</v>
      </c>
      <c r="R986">
        <v>875.96</v>
      </c>
      <c r="S986">
        <v>43.8</v>
      </c>
      <c r="T986">
        <v>0</v>
      </c>
      <c r="U986">
        <v>20</v>
      </c>
      <c r="V986">
        <v>939.76</v>
      </c>
      <c r="W986" t="s">
        <v>27</v>
      </c>
      <c r="X986">
        <v>17</v>
      </c>
    </row>
    <row r="987" spans="1:24" ht="14.25" customHeight="1">
      <c r="A987" t="s">
        <v>1735</v>
      </c>
      <c r="B987" t="s">
        <v>2270</v>
      </c>
      <c r="C987" s="6" t="str">
        <f t="shared" si="46"/>
        <v>January</v>
      </c>
      <c r="D987" s="6" t="str">
        <f t="shared" si="47"/>
        <v>19</v>
      </c>
      <c r="E987" t="s">
        <v>391</v>
      </c>
      <c r="F987" t="s">
        <v>21</v>
      </c>
      <c r="G987" t="s">
        <v>37</v>
      </c>
      <c r="H987" s="4" t="s">
        <v>2258</v>
      </c>
      <c r="I987">
        <v>619493</v>
      </c>
      <c r="J987" s="8" t="s">
        <v>2349</v>
      </c>
      <c r="K987" t="s">
        <v>792</v>
      </c>
      <c r="L987" t="s">
        <v>793</v>
      </c>
      <c r="M987" t="s">
        <v>50</v>
      </c>
      <c r="N987">
        <f t="shared" si="48"/>
        <v>5</v>
      </c>
      <c r="O987">
        <v>1</v>
      </c>
      <c r="P987" s="6">
        <v>24.13</v>
      </c>
      <c r="Q987">
        <v>3.62</v>
      </c>
      <c r="R987">
        <v>20.51</v>
      </c>
      <c r="S987">
        <v>1.03</v>
      </c>
      <c r="T987">
        <v>10</v>
      </c>
      <c r="U987">
        <v>10</v>
      </c>
      <c r="V987">
        <v>41.54</v>
      </c>
      <c r="W987" t="s">
        <v>27</v>
      </c>
      <c r="X987">
        <v>22</v>
      </c>
    </row>
    <row r="988" spans="1:24" ht="14.25" customHeight="1">
      <c r="A988" t="s">
        <v>1736</v>
      </c>
      <c r="B988" t="s">
        <v>2307</v>
      </c>
      <c r="C988" s="6" t="str">
        <f t="shared" si="46"/>
        <v>January</v>
      </c>
      <c r="D988" s="6" t="str">
        <f t="shared" si="47"/>
        <v>17</v>
      </c>
      <c r="E988" t="s">
        <v>395</v>
      </c>
      <c r="F988" t="s">
        <v>21</v>
      </c>
      <c r="G988" t="s">
        <v>106</v>
      </c>
      <c r="H988" s="4" t="s">
        <v>2258</v>
      </c>
      <c r="I988">
        <v>985540</v>
      </c>
      <c r="J988" s="8" t="s">
        <v>62</v>
      </c>
      <c r="K988" t="s">
        <v>796</v>
      </c>
      <c r="L988" t="s">
        <v>797</v>
      </c>
      <c r="M988" t="s">
        <v>98</v>
      </c>
      <c r="N988">
        <f t="shared" si="48"/>
        <v>4</v>
      </c>
      <c r="O988">
        <v>5</v>
      </c>
      <c r="P988" s="6">
        <v>51.77</v>
      </c>
      <c r="Q988">
        <v>0</v>
      </c>
      <c r="R988">
        <v>258.85000000000002</v>
      </c>
      <c r="S988">
        <v>12.94</v>
      </c>
      <c r="T988">
        <v>30</v>
      </c>
      <c r="U988">
        <v>5</v>
      </c>
      <c r="V988">
        <v>306.79000000000002</v>
      </c>
      <c r="W988" t="s">
        <v>27</v>
      </c>
      <c r="X988">
        <v>16</v>
      </c>
    </row>
    <row r="989" spans="1:24" ht="14.25" customHeight="1">
      <c r="A989" t="s">
        <v>1737</v>
      </c>
      <c r="B989" t="s">
        <v>2268</v>
      </c>
      <c r="C989" s="6" t="str">
        <f t="shared" si="46"/>
        <v>January</v>
      </c>
      <c r="D989" s="6" t="str">
        <f t="shared" si="47"/>
        <v>21</v>
      </c>
      <c r="E989" t="s">
        <v>399</v>
      </c>
      <c r="F989" t="s">
        <v>21</v>
      </c>
      <c r="G989" t="s">
        <v>106</v>
      </c>
      <c r="H989" s="4" t="s">
        <v>2258</v>
      </c>
      <c r="I989">
        <v>385248</v>
      </c>
      <c r="J989" s="8" t="s">
        <v>30</v>
      </c>
      <c r="K989" t="s">
        <v>800</v>
      </c>
      <c r="L989" t="s">
        <v>801</v>
      </c>
      <c r="M989" t="s">
        <v>33</v>
      </c>
      <c r="N989">
        <f t="shared" si="48"/>
        <v>10</v>
      </c>
      <c r="O989">
        <v>3</v>
      </c>
      <c r="P989" s="6">
        <v>143.01</v>
      </c>
      <c r="Q989">
        <v>21.45</v>
      </c>
      <c r="R989">
        <v>407.58</v>
      </c>
      <c r="S989">
        <v>20.38</v>
      </c>
      <c r="T989">
        <v>20</v>
      </c>
      <c r="U989">
        <v>0</v>
      </c>
      <c r="V989">
        <v>447.96</v>
      </c>
      <c r="W989" t="s">
        <v>27</v>
      </c>
      <c r="X989">
        <v>19</v>
      </c>
    </row>
    <row r="990" spans="1:24" ht="14.25" customHeight="1">
      <c r="A990" t="s">
        <v>1738</v>
      </c>
      <c r="B990" t="s">
        <v>2302</v>
      </c>
      <c r="C990" s="6" t="str">
        <f t="shared" si="46"/>
        <v>January</v>
      </c>
      <c r="D990" s="6" t="str">
        <f t="shared" si="47"/>
        <v>14</v>
      </c>
      <c r="E990" t="s">
        <v>403</v>
      </c>
      <c r="F990" t="s">
        <v>21</v>
      </c>
      <c r="G990" t="s">
        <v>74</v>
      </c>
      <c r="H990" s="4" t="s">
        <v>2258</v>
      </c>
      <c r="I990">
        <v>566690</v>
      </c>
      <c r="J990" s="8" t="s">
        <v>62</v>
      </c>
      <c r="K990" t="s">
        <v>804</v>
      </c>
      <c r="L990" t="s">
        <v>805</v>
      </c>
      <c r="M990" t="s">
        <v>130</v>
      </c>
      <c r="N990">
        <f t="shared" si="48"/>
        <v>7</v>
      </c>
      <c r="O990">
        <v>1</v>
      </c>
      <c r="P990" s="6">
        <v>16.73</v>
      </c>
      <c r="Q990">
        <v>2.5099999999999998</v>
      </c>
      <c r="R990">
        <v>14.22</v>
      </c>
      <c r="S990">
        <v>0.71</v>
      </c>
      <c r="T990">
        <v>10</v>
      </c>
      <c r="U990">
        <v>5</v>
      </c>
      <c r="V990">
        <v>29.93</v>
      </c>
      <c r="W990" t="s">
        <v>27</v>
      </c>
      <c r="X990">
        <v>15</v>
      </c>
    </row>
    <row r="991" spans="1:24" ht="14.25" customHeight="1">
      <c r="A991" t="s">
        <v>1739</v>
      </c>
      <c r="B991" t="s">
        <v>2299</v>
      </c>
      <c r="C991" s="6" t="str">
        <f t="shared" si="46"/>
        <v>January</v>
      </c>
      <c r="D991" s="6" t="str">
        <f t="shared" si="47"/>
        <v>09</v>
      </c>
      <c r="E991" t="s">
        <v>407</v>
      </c>
      <c r="F991" t="s">
        <v>101</v>
      </c>
      <c r="G991" t="s">
        <v>81</v>
      </c>
      <c r="H991" s="4" t="s">
        <v>2258</v>
      </c>
      <c r="I991">
        <v>271929</v>
      </c>
      <c r="J991" s="8" t="s">
        <v>2347</v>
      </c>
      <c r="K991" t="s">
        <v>808</v>
      </c>
      <c r="L991" t="s">
        <v>809</v>
      </c>
      <c r="M991" t="s">
        <v>89</v>
      </c>
      <c r="N991">
        <f t="shared" si="48"/>
        <v>7</v>
      </c>
      <c r="O991">
        <v>1</v>
      </c>
      <c r="P991" s="6">
        <v>182.18</v>
      </c>
      <c r="Q991">
        <v>9.11</v>
      </c>
      <c r="R991">
        <v>173.07</v>
      </c>
      <c r="S991">
        <v>8.65</v>
      </c>
      <c r="T991">
        <v>20</v>
      </c>
      <c r="U991">
        <v>5</v>
      </c>
      <c r="V991">
        <v>206.72</v>
      </c>
      <c r="W991" t="s">
        <v>27</v>
      </c>
      <c r="X991">
        <v>27</v>
      </c>
    </row>
    <row r="992" spans="1:24" ht="14.25" customHeight="1">
      <c r="A992" t="s">
        <v>1740</v>
      </c>
      <c r="B992" t="s">
        <v>2321</v>
      </c>
      <c r="C992" s="6" t="str">
        <f t="shared" si="46"/>
        <v>February</v>
      </c>
      <c r="D992" s="6" t="str">
        <f t="shared" si="47"/>
        <v>15</v>
      </c>
      <c r="E992" t="s">
        <v>411</v>
      </c>
      <c r="F992" t="s">
        <v>21</v>
      </c>
      <c r="G992" t="s">
        <v>37</v>
      </c>
      <c r="H992" s="4" t="s">
        <v>2258</v>
      </c>
      <c r="I992">
        <v>804463</v>
      </c>
      <c r="J992" s="8" t="s">
        <v>30</v>
      </c>
      <c r="K992" t="s">
        <v>812</v>
      </c>
      <c r="L992" t="s">
        <v>813</v>
      </c>
      <c r="M992" t="s">
        <v>130</v>
      </c>
      <c r="N992">
        <f t="shared" si="48"/>
        <v>7</v>
      </c>
      <c r="O992">
        <v>3</v>
      </c>
      <c r="P992" s="6">
        <v>175.92</v>
      </c>
      <c r="Q992">
        <v>0</v>
      </c>
      <c r="R992">
        <v>527.76</v>
      </c>
      <c r="S992">
        <v>26.39</v>
      </c>
      <c r="T992">
        <v>0</v>
      </c>
      <c r="U992">
        <v>20</v>
      </c>
      <c r="V992">
        <v>574.15</v>
      </c>
      <c r="W992" t="s">
        <v>27</v>
      </c>
      <c r="X992">
        <v>35</v>
      </c>
    </row>
    <row r="993" spans="1:24" ht="14.25" customHeight="1">
      <c r="A993" t="s">
        <v>1741</v>
      </c>
      <c r="B993" t="s">
        <v>2316</v>
      </c>
      <c r="C993" s="6" t="str">
        <f t="shared" si="46"/>
        <v>January</v>
      </c>
      <c r="D993" s="6" t="str">
        <f t="shared" si="47"/>
        <v>01</v>
      </c>
      <c r="E993" t="s">
        <v>415</v>
      </c>
      <c r="F993" t="s">
        <v>101</v>
      </c>
      <c r="G993" t="s">
        <v>81</v>
      </c>
      <c r="H993" s="4" t="s">
        <v>2258</v>
      </c>
      <c r="I993">
        <v>344942</v>
      </c>
      <c r="J993" s="8" t="s">
        <v>30</v>
      </c>
      <c r="K993" t="s">
        <v>816</v>
      </c>
      <c r="L993" t="s">
        <v>817</v>
      </c>
      <c r="M993" t="s">
        <v>89</v>
      </c>
      <c r="N993">
        <f t="shared" si="48"/>
        <v>7</v>
      </c>
      <c r="O993">
        <v>4</v>
      </c>
      <c r="P993" s="6">
        <v>50.78</v>
      </c>
      <c r="Q993">
        <v>2.54</v>
      </c>
      <c r="R993">
        <v>200.58</v>
      </c>
      <c r="S993">
        <v>10.029999999999999</v>
      </c>
      <c r="T993">
        <v>20</v>
      </c>
      <c r="U993">
        <v>5</v>
      </c>
      <c r="V993">
        <v>235.61</v>
      </c>
      <c r="W993" t="s">
        <v>27</v>
      </c>
      <c r="X993">
        <v>0</v>
      </c>
    </row>
    <row r="994" spans="1:24" ht="14.25" customHeight="1">
      <c r="A994" t="s">
        <v>1742</v>
      </c>
      <c r="B994" t="s">
        <v>2294</v>
      </c>
      <c r="C994" s="6" t="str">
        <f t="shared" si="46"/>
        <v>February</v>
      </c>
      <c r="D994" s="6" t="str">
        <f t="shared" si="47"/>
        <v>20</v>
      </c>
      <c r="E994" t="s">
        <v>419</v>
      </c>
      <c r="F994" t="s">
        <v>21</v>
      </c>
      <c r="G994" t="s">
        <v>22</v>
      </c>
      <c r="H994" s="4" t="s">
        <v>2258</v>
      </c>
      <c r="I994">
        <v>150755</v>
      </c>
      <c r="J994" s="8" t="s">
        <v>30</v>
      </c>
      <c r="K994" t="s">
        <v>820</v>
      </c>
      <c r="L994" t="s">
        <v>821</v>
      </c>
      <c r="M994" t="s">
        <v>45</v>
      </c>
      <c r="N994">
        <f t="shared" si="48"/>
        <v>6</v>
      </c>
      <c r="O994">
        <v>6</v>
      </c>
      <c r="P994" s="6">
        <v>145.33000000000001</v>
      </c>
      <c r="Q994">
        <v>0</v>
      </c>
      <c r="R994">
        <v>871.98</v>
      </c>
      <c r="S994">
        <v>43.6</v>
      </c>
      <c r="T994">
        <v>30</v>
      </c>
      <c r="U994">
        <v>5</v>
      </c>
      <c r="V994">
        <v>950.58</v>
      </c>
      <c r="W994" t="s">
        <v>27</v>
      </c>
      <c r="X994">
        <v>40</v>
      </c>
    </row>
    <row r="995" spans="1:24" ht="14.25" customHeight="1">
      <c r="A995" t="s">
        <v>1743</v>
      </c>
      <c r="B995" t="s">
        <v>2314</v>
      </c>
      <c r="C995" s="6" t="str">
        <f t="shared" si="46"/>
        <v>February</v>
      </c>
      <c r="D995" s="6" t="str">
        <f t="shared" si="47"/>
        <v>14</v>
      </c>
      <c r="E995" t="s">
        <v>423</v>
      </c>
      <c r="F995" t="s">
        <v>21</v>
      </c>
      <c r="G995" t="s">
        <v>22</v>
      </c>
      <c r="H995" s="4" t="s">
        <v>2258</v>
      </c>
      <c r="I995">
        <v>641770</v>
      </c>
      <c r="J995" s="8" t="s">
        <v>2349</v>
      </c>
      <c r="K995" t="s">
        <v>824</v>
      </c>
      <c r="L995" t="s">
        <v>825</v>
      </c>
      <c r="M995" t="s">
        <v>71</v>
      </c>
      <c r="N995">
        <f t="shared" si="48"/>
        <v>6</v>
      </c>
      <c r="O995">
        <v>1</v>
      </c>
      <c r="P995" s="6">
        <v>100.96</v>
      </c>
      <c r="Q995">
        <v>10.1</v>
      </c>
      <c r="R995">
        <v>90.86</v>
      </c>
      <c r="S995">
        <v>4.54</v>
      </c>
      <c r="T995">
        <v>20</v>
      </c>
      <c r="U995">
        <v>5</v>
      </c>
      <c r="V995">
        <v>120.4</v>
      </c>
      <c r="W995" t="s">
        <v>27</v>
      </c>
      <c r="X995">
        <v>16</v>
      </c>
    </row>
    <row r="996" spans="1:24" ht="14.25" customHeight="1">
      <c r="A996" t="s">
        <v>1744</v>
      </c>
      <c r="B996" t="s">
        <v>2318</v>
      </c>
      <c r="C996" s="6" t="str">
        <f t="shared" si="46"/>
        <v>January</v>
      </c>
      <c r="D996" s="6" t="str">
        <f t="shared" si="47"/>
        <v>13</v>
      </c>
      <c r="E996" t="s">
        <v>427</v>
      </c>
      <c r="F996" t="s">
        <v>21</v>
      </c>
      <c r="G996" t="s">
        <v>106</v>
      </c>
      <c r="H996" s="4" t="s">
        <v>2258</v>
      </c>
      <c r="I996">
        <v>128930</v>
      </c>
      <c r="J996" s="8" t="s">
        <v>2347</v>
      </c>
      <c r="K996" t="s">
        <v>828</v>
      </c>
      <c r="L996" t="s">
        <v>829</v>
      </c>
      <c r="M996" t="s">
        <v>65</v>
      </c>
      <c r="N996">
        <f t="shared" si="48"/>
        <v>6</v>
      </c>
      <c r="O996">
        <v>4</v>
      </c>
      <c r="P996" s="6">
        <v>139.46</v>
      </c>
      <c r="Q996">
        <v>0</v>
      </c>
      <c r="R996">
        <v>557.84</v>
      </c>
      <c r="S996">
        <v>27.89</v>
      </c>
      <c r="T996">
        <v>0</v>
      </c>
      <c r="U996">
        <v>0</v>
      </c>
      <c r="V996">
        <v>585.73</v>
      </c>
      <c r="W996" t="s">
        <v>27</v>
      </c>
      <c r="X996">
        <v>47</v>
      </c>
    </row>
    <row r="997" spans="1:24" ht="14.25" customHeight="1">
      <c r="A997" t="s">
        <v>1745</v>
      </c>
      <c r="B997" t="s">
        <v>2301</v>
      </c>
      <c r="C997" s="6" t="str">
        <f t="shared" si="46"/>
        <v>January</v>
      </c>
      <c r="D997" s="6" t="str">
        <f t="shared" si="47"/>
        <v>04</v>
      </c>
      <c r="E997" t="s">
        <v>431</v>
      </c>
      <c r="F997" t="s">
        <v>21</v>
      </c>
      <c r="G997" t="s">
        <v>37</v>
      </c>
      <c r="H997" s="4" t="s">
        <v>2258</v>
      </c>
      <c r="I997">
        <v>974340</v>
      </c>
      <c r="J997" s="8" t="s">
        <v>2349</v>
      </c>
      <c r="K997" t="s">
        <v>832</v>
      </c>
      <c r="L997" t="s">
        <v>833</v>
      </c>
      <c r="M997" t="s">
        <v>77</v>
      </c>
      <c r="N997">
        <f t="shared" si="48"/>
        <v>5</v>
      </c>
      <c r="O997">
        <v>1</v>
      </c>
      <c r="P997" s="6">
        <v>92.95</v>
      </c>
      <c r="Q997">
        <v>13.94</v>
      </c>
      <c r="R997">
        <v>79.010000000000005</v>
      </c>
      <c r="S997">
        <v>3.95</v>
      </c>
      <c r="T997">
        <v>20</v>
      </c>
      <c r="U997">
        <v>15</v>
      </c>
      <c r="V997">
        <v>117.96</v>
      </c>
      <c r="W997" t="s">
        <v>27</v>
      </c>
      <c r="X997">
        <v>25</v>
      </c>
    </row>
    <row r="998" spans="1:24" ht="14.25" customHeight="1">
      <c r="A998" t="s">
        <v>1746</v>
      </c>
      <c r="B998" t="s">
        <v>2316</v>
      </c>
      <c r="C998" s="6" t="str">
        <f t="shared" si="46"/>
        <v>January</v>
      </c>
      <c r="D998" s="6" t="str">
        <f t="shared" si="47"/>
        <v>01</v>
      </c>
      <c r="E998" t="s">
        <v>435</v>
      </c>
      <c r="F998" t="s">
        <v>21</v>
      </c>
      <c r="G998" t="s">
        <v>106</v>
      </c>
      <c r="H998" s="4" t="s">
        <v>2258</v>
      </c>
      <c r="I998">
        <v>110737</v>
      </c>
      <c r="J998" s="8" t="s">
        <v>30</v>
      </c>
      <c r="K998" t="s">
        <v>836</v>
      </c>
      <c r="L998" t="s">
        <v>837</v>
      </c>
      <c r="M998" t="s">
        <v>55</v>
      </c>
      <c r="N998">
        <f t="shared" si="48"/>
        <v>5</v>
      </c>
      <c r="O998">
        <v>1</v>
      </c>
      <c r="P998" s="6">
        <v>115.37</v>
      </c>
      <c r="Q998">
        <v>0</v>
      </c>
      <c r="R998">
        <v>115.37</v>
      </c>
      <c r="S998">
        <v>5.77</v>
      </c>
      <c r="T998">
        <v>0</v>
      </c>
      <c r="U998">
        <v>0</v>
      </c>
      <c r="V998">
        <v>121.14</v>
      </c>
      <c r="W998" t="s">
        <v>27</v>
      </c>
      <c r="X998">
        <v>18</v>
      </c>
    </row>
    <row r="999" spans="1:24" ht="14.25" customHeight="1">
      <c r="A999" t="s">
        <v>1747</v>
      </c>
      <c r="B999" t="s">
        <v>2287</v>
      </c>
      <c r="C999" s="6" t="str">
        <f t="shared" si="46"/>
        <v>February</v>
      </c>
      <c r="D999" s="6" t="str">
        <f t="shared" si="47"/>
        <v>18</v>
      </c>
      <c r="E999" t="s">
        <v>439</v>
      </c>
      <c r="F999" t="s">
        <v>80</v>
      </c>
      <c r="G999" t="s">
        <v>81</v>
      </c>
      <c r="H999" s="4" t="s">
        <v>2258</v>
      </c>
      <c r="I999">
        <v>414368</v>
      </c>
      <c r="J999" s="8" t="s">
        <v>2345</v>
      </c>
      <c r="K999" t="s">
        <v>840</v>
      </c>
      <c r="L999" t="s">
        <v>841</v>
      </c>
      <c r="M999" t="s">
        <v>45</v>
      </c>
      <c r="N999">
        <f t="shared" si="48"/>
        <v>6</v>
      </c>
      <c r="O999">
        <v>1</v>
      </c>
      <c r="P999" s="6">
        <v>139.07</v>
      </c>
      <c r="Q999">
        <v>13.91</v>
      </c>
      <c r="R999">
        <v>125.16</v>
      </c>
      <c r="S999">
        <v>6.26</v>
      </c>
      <c r="T999">
        <v>20</v>
      </c>
      <c r="U999">
        <v>15</v>
      </c>
      <c r="V999">
        <v>166.42</v>
      </c>
      <c r="W999" t="s">
        <v>117</v>
      </c>
      <c r="X999">
        <v>25</v>
      </c>
    </row>
    <row r="1000" spans="1:24" ht="14.25" customHeight="1">
      <c r="A1000" t="s">
        <v>1748</v>
      </c>
      <c r="B1000" t="s">
        <v>2276</v>
      </c>
      <c r="C1000" s="6" t="str">
        <f t="shared" si="46"/>
        <v>February</v>
      </c>
      <c r="D1000" s="6" t="str">
        <f t="shared" si="47"/>
        <v>09</v>
      </c>
      <c r="E1000" t="s">
        <v>443</v>
      </c>
      <c r="F1000" t="s">
        <v>21</v>
      </c>
      <c r="G1000" t="s">
        <v>74</v>
      </c>
      <c r="H1000" s="4" t="s">
        <v>2258</v>
      </c>
      <c r="I1000">
        <v>396952</v>
      </c>
      <c r="J1000" s="8" t="s">
        <v>2348</v>
      </c>
      <c r="K1000" t="s">
        <v>844</v>
      </c>
      <c r="L1000" t="s">
        <v>845</v>
      </c>
      <c r="M1000" t="s">
        <v>45</v>
      </c>
      <c r="N1000">
        <f t="shared" si="48"/>
        <v>6</v>
      </c>
      <c r="O1000">
        <v>4</v>
      </c>
      <c r="P1000" s="6">
        <v>160.81</v>
      </c>
      <c r="Q1000">
        <v>24.12</v>
      </c>
      <c r="R1000">
        <v>619.12</v>
      </c>
      <c r="S1000">
        <v>30.96</v>
      </c>
      <c r="T1000">
        <v>30</v>
      </c>
      <c r="U1000">
        <v>0</v>
      </c>
      <c r="V1000">
        <v>680.08</v>
      </c>
      <c r="W1000" t="s">
        <v>34</v>
      </c>
      <c r="X1000">
        <v>25</v>
      </c>
    </row>
    <row r="1001" spans="1:24" ht="14.25" customHeight="1">
      <c r="A1001" t="s">
        <v>1749</v>
      </c>
      <c r="B1001" t="s">
        <v>2319</v>
      </c>
      <c r="C1001" s="6" t="str">
        <f t="shared" si="46"/>
        <v>February</v>
      </c>
      <c r="D1001" s="6" t="str">
        <f t="shared" si="47"/>
        <v>01</v>
      </c>
      <c r="E1001" t="s">
        <v>447</v>
      </c>
      <c r="F1001" t="s">
        <v>21</v>
      </c>
      <c r="G1001" t="s">
        <v>22</v>
      </c>
      <c r="H1001" s="4" t="s">
        <v>2258</v>
      </c>
      <c r="I1001">
        <v>930997</v>
      </c>
      <c r="J1001" s="8" t="s">
        <v>2346</v>
      </c>
      <c r="K1001" t="s">
        <v>848</v>
      </c>
      <c r="L1001" t="s">
        <v>849</v>
      </c>
      <c r="M1001" t="s">
        <v>26</v>
      </c>
      <c r="N1001">
        <f t="shared" si="48"/>
        <v>3</v>
      </c>
      <c r="O1001">
        <v>5</v>
      </c>
      <c r="P1001" s="6">
        <v>146.72999999999999</v>
      </c>
      <c r="Q1001">
        <v>7.34</v>
      </c>
      <c r="R1001">
        <v>726.31</v>
      </c>
      <c r="S1001">
        <v>36.32</v>
      </c>
      <c r="T1001">
        <v>0</v>
      </c>
      <c r="U1001">
        <v>5</v>
      </c>
      <c r="V1001">
        <v>767.63</v>
      </c>
      <c r="W1001" t="s">
        <v>27</v>
      </c>
      <c r="X1001">
        <v>17</v>
      </c>
    </row>
    <row r="1002" spans="1:24" ht="14.25" customHeight="1">
      <c r="A1002" t="s">
        <v>1750</v>
      </c>
      <c r="B1002" t="s">
        <v>2310</v>
      </c>
      <c r="C1002" s="6" t="str">
        <f t="shared" si="46"/>
        <v>February</v>
      </c>
      <c r="D1002" s="6" t="str">
        <f t="shared" si="47"/>
        <v>03</v>
      </c>
      <c r="E1002" t="s">
        <v>451</v>
      </c>
      <c r="F1002" t="s">
        <v>21</v>
      </c>
      <c r="G1002" t="s">
        <v>37</v>
      </c>
      <c r="H1002" s="4" t="s">
        <v>2258</v>
      </c>
      <c r="I1002">
        <v>950100</v>
      </c>
      <c r="J1002" s="8" t="s">
        <v>62</v>
      </c>
      <c r="K1002" t="s">
        <v>24</v>
      </c>
      <c r="L1002" t="s">
        <v>25</v>
      </c>
      <c r="M1002" t="s">
        <v>22</v>
      </c>
      <c r="N1002">
        <f t="shared" si="48"/>
        <v>6</v>
      </c>
      <c r="O1002">
        <v>4</v>
      </c>
      <c r="P1002" s="6">
        <v>88.46</v>
      </c>
      <c r="Q1002">
        <v>8.85</v>
      </c>
      <c r="R1002">
        <v>344.99</v>
      </c>
      <c r="S1002">
        <v>17.25</v>
      </c>
      <c r="T1002">
        <v>20</v>
      </c>
      <c r="U1002">
        <v>20</v>
      </c>
      <c r="V1002">
        <v>402.24</v>
      </c>
      <c r="W1002" t="s">
        <v>84</v>
      </c>
      <c r="X1002">
        <v>25</v>
      </c>
    </row>
    <row r="1003" spans="1:24" ht="14.25" customHeight="1">
      <c r="A1003" t="s">
        <v>1751</v>
      </c>
      <c r="B1003" t="s">
        <v>2291</v>
      </c>
      <c r="C1003" s="6" t="str">
        <f t="shared" si="46"/>
        <v>January</v>
      </c>
      <c r="D1003" s="6" t="str">
        <f t="shared" si="47"/>
        <v>28</v>
      </c>
      <c r="E1003" t="s">
        <v>455</v>
      </c>
      <c r="F1003" t="s">
        <v>21</v>
      </c>
      <c r="G1003" t="s">
        <v>22</v>
      </c>
      <c r="H1003" s="4" t="s">
        <v>2258</v>
      </c>
      <c r="I1003">
        <v>353608</v>
      </c>
      <c r="J1003" s="8" t="s">
        <v>30</v>
      </c>
      <c r="K1003" t="s">
        <v>31</v>
      </c>
      <c r="L1003" t="s">
        <v>32</v>
      </c>
      <c r="M1003" t="s">
        <v>45</v>
      </c>
      <c r="N1003">
        <f t="shared" si="48"/>
        <v>6</v>
      </c>
      <c r="O1003">
        <v>3</v>
      </c>
      <c r="P1003" s="6">
        <v>112.5</v>
      </c>
      <c r="Q1003">
        <v>5.62</v>
      </c>
      <c r="R1003">
        <v>331.88</v>
      </c>
      <c r="S1003">
        <v>16.59</v>
      </c>
      <c r="T1003">
        <v>30</v>
      </c>
      <c r="U1003">
        <v>20</v>
      </c>
      <c r="V1003">
        <v>398.47</v>
      </c>
      <c r="W1003" t="s">
        <v>34</v>
      </c>
      <c r="X1003">
        <v>25</v>
      </c>
    </row>
    <row r="1004" spans="1:24" ht="14.25" customHeight="1">
      <c r="A1004" t="s">
        <v>1752</v>
      </c>
      <c r="B1004" t="s">
        <v>2312</v>
      </c>
      <c r="C1004" s="6" t="str">
        <f t="shared" si="46"/>
        <v>January</v>
      </c>
      <c r="D1004" s="6" t="str">
        <f t="shared" si="47"/>
        <v>31</v>
      </c>
      <c r="E1004" t="s">
        <v>459</v>
      </c>
      <c r="F1004" t="s">
        <v>21</v>
      </c>
      <c r="G1004" t="s">
        <v>74</v>
      </c>
      <c r="H1004" s="4" t="s">
        <v>2258</v>
      </c>
      <c r="I1004">
        <v>331807</v>
      </c>
      <c r="J1004" s="8" t="s">
        <v>2345</v>
      </c>
      <c r="K1004" t="s">
        <v>38</v>
      </c>
      <c r="L1004" t="s">
        <v>39</v>
      </c>
      <c r="M1004" t="s">
        <v>135</v>
      </c>
      <c r="N1004">
        <f t="shared" si="48"/>
        <v>9</v>
      </c>
      <c r="O1004">
        <v>1</v>
      </c>
      <c r="P1004" s="6">
        <v>54.47</v>
      </c>
      <c r="Q1004">
        <v>8.17</v>
      </c>
      <c r="R1004">
        <v>46.3</v>
      </c>
      <c r="S1004">
        <v>2.31</v>
      </c>
      <c r="T1004">
        <v>0</v>
      </c>
      <c r="U1004">
        <v>0</v>
      </c>
      <c r="V1004">
        <v>48.61</v>
      </c>
      <c r="W1004" t="s">
        <v>27</v>
      </c>
      <c r="X1004">
        <v>26</v>
      </c>
    </row>
    <row r="1005" spans="1:24" ht="14.25" customHeight="1">
      <c r="A1005" t="s">
        <v>1753</v>
      </c>
      <c r="B1005" t="s">
        <v>2267</v>
      </c>
      <c r="C1005" s="6" t="str">
        <f t="shared" si="46"/>
        <v>January</v>
      </c>
      <c r="D1005" s="6" t="str">
        <f t="shared" si="47"/>
        <v>08</v>
      </c>
      <c r="E1005" t="s">
        <v>463</v>
      </c>
      <c r="F1005" t="s">
        <v>21</v>
      </c>
      <c r="G1005" t="s">
        <v>74</v>
      </c>
      <c r="H1005" s="4" t="s">
        <v>2258</v>
      </c>
      <c r="I1005">
        <v>550400</v>
      </c>
      <c r="J1005" s="8" t="s">
        <v>2347</v>
      </c>
      <c r="K1005" t="s">
        <v>43</v>
      </c>
      <c r="L1005" t="s">
        <v>44</v>
      </c>
      <c r="M1005" t="s">
        <v>135</v>
      </c>
      <c r="N1005">
        <f t="shared" si="48"/>
        <v>9</v>
      </c>
      <c r="O1005">
        <v>1</v>
      </c>
      <c r="P1005" s="6">
        <v>146.31</v>
      </c>
      <c r="Q1005">
        <v>0</v>
      </c>
      <c r="R1005">
        <v>146.31</v>
      </c>
      <c r="S1005">
        <v>7.32</v>
      </c>
      <c r="T1005">
        <v>20</v>
      </c>
      <c r="U1005">
        <v>0</v>
      </c>
      <c r="V1005">
        <v>173.63</v>
      </c>
      <c r="W1005" t="s">
        <v>27</v>
      </c>
      <c r="X1005">
        <v>21</v>
      </c>
    </row>
    <row r="1006" spans="1:24" ht="14.25" customHeight="1">
      <c r="A1006" t="s">
        <v>1754</v>
      </c>
      <c r="B1006" t="s">
        <v>2262</v>
      </c>
      <c r="C1006" s="6" t="str">
        <f t="shared" si="46"/>
        <v>February</v>
      </c>
      <c r="D1006" s="6" t="str">
        <f t="shared" si="47"/>
        <v>08</v>
      </c>
      <c r="E1006" t="s">
        <v>467</v>
      </c>
      <c r="F1006" t="s">
        <v>21</v>
      </c>
      <c r="G1006" t="s">
        <v>74</v>
      </c>
      <c r="H1006" s="4" t="s">
        <v>2258</v>
      </c>
      <c r="I1006">
        <v>880498</v>
      </c>
      <c r="J1006" s="8" t="s">
        <v>2349</v>
      </c>
      <c r="K1006" t="s">
        <v>48</v>
      </c>
      <c r="L1006" t="s">
        <v>49</v>
      </c>
      <c r="M1006" t="s">
        <v>45</v>
      </c>
      <c r="N1006">
        <f t="shared" si="48"/>
        <v>6</v>
      </c>
      <c r="O1006">
        <v>8</v>
      </c>
      <c r="P1006" s="6">
        <v>22.3</v>
      </c>
      <c r="Q1006">
        <v>0</v>
      </c>
      <c r="R1006">
        <v>178.4</v>
      </c>
      <c r="S1006">
        <v>8.92</v>
      </c>
      <c r="T1006">
        <v>10</v>
      </c>
      <c r="U1006">
        <v>5</v>
      </c>
      <c r="V1006">
        <v>202.32</v>
      </c>
      <c r="W1006" t="s">
        <v>27</v>
      </c>
      <c r="X1006">
        <v>45</v>
      </c>
    </row>
    <row r="1007" spans="1:24" ht="14.25" customHeight="1">
      <c r="A1007" t="s">
        <v>1755</v>
      </c>
      <c r="B1007" t="s">
        <v>2304</v>
      </c>
      <c r="C1007" s="6" t="str">
        <f t="shared" si="46"/>
        <v>January</v>
      </c>
      <c r="D1007" s="6" t="str">
        <f t="shared" si="47"/>
        <v>26</v>
      </c>
      <c r="E1007" t="s">
        <v>471</v>
      </c>
      <c r="F1007" t="s">
        <v>21</v>
      </c>
      <c r="G1007" t="s">
        <v>74</v>
      </c>
      <c r="H1007" s="4" t="s">
        <v>2258</v>
      </c>
      <c r="I1007">
        <v>189846</v>
      </c>
      <c r="J1007" s="8" t="s">
        <v>2349</v>
      </c>
      <c r="K1007" t="s">
        <v>53</v>
      </c>
      <c r="L1007" t="s">
        <v>54</v>
      </c>
      <c r="M1007" t="s">
        <v>98</v>
      </c>
      <c r="N1007">
        <f t="shared" si="48"/>
        <v>4</v>
      </c>
      <c r="O1007">
        <v>4</v>
      </c>
      <c r="P1007" s="6">
        <v>141.66999999999999</v>
      </c>
      <c r="Q1007">
        <v>21.25</v>
      </c>
      <c r="R1007">
        <v>545.42999999999995</v>
      </c>
      <c r="S1007">
        <v>27.27</v>
      </c>
      <c r="T1007">
        <v>10</v>
      </c>
      <c r="U1007">
        <v>10</v>
      </c>
      <c r="V1007">
        <v>592.69999999999993</v>
      </c>
      <c r="W1007" t="s">
        <v>27</v>
      </c>
      <c r="X1007">
        <v>32</v>
      </c>
    </row>
    <row r="1008" spans="1:24" ht="14.25" customHeight="1">
      <c r="A1008" t="s">
        <v>1756</v>
      </c>
      <c r="B1008" t="s">
        <v>2269</v>
      </c>
      <c r="C1008" s="6" t="str">
        <f t="shared" si="46"/>
        <v>February</v>
      </c>
      <c r="D1008" s="6" t="str">
        <f t="shared" si="47"/>
        <v>27</v>
      </c>
      <c r="E1008" t="s">
        <v>475</v>
      </c>
      <c r="F1008" t="s">
        <v>101</v>
      </c>
      <c r="G1008" t="s">
        <v>81</v>
      </c>
      <c r="H1008" s="4" t="s">
        <v>2258</v>
      </c>
      <c r="I1008">
        <v>707337</v>
      </c>
      <c r="J1008" s="8" t="s">
        <v>2347</v>
      </c>
      <c r="K1008" t="s">
        <v>58</v>
      </c>
      <c r="L1008" t="s">
        <v>59</v>
      </c>
      <c r="M1008" t="s">
        <v>140</v>
      </c>
      <c r="N1008">
        <f t="shared" si="48"/>
        <v>3</v>
      </c>
      <c r="O1008">
        <v>5</v>
      </c>
      <c r="P1008" s="6">
        <v>83.55</v>
      </c>
      <c r="Q1008">
        <v>12.53</v>
      </c>
      <c r="R1008">
        <v>405.22</v>
      </c>
      <c r="S1008">
        <v>20.260000000000002</v>
      </c>
      <c r="T1008">
        <v>30</v>
      </c>
      <c r="U1008">
        <v>0</v>
      </c>
      <c r="V1008">
        <v>455.48</v>
      </c>
      <c r="W1008" t="s">
        <v>27</v>
      </c>
      <c r="X1008">
        <v>20</v>
      </c>
    </row>
    <row r="1009" spans="1:24" ht="14.25" customHeight="1">
      <c r="A1009" t="s">
        <v>1757</v>
      </c>
      <c r="B1009" t="s">
        <v>2310</v>
      </c>
      <c r="C1009" s="6" t="str">
        <f t="shared" si="46"/>
        <v>February</v>
      </c>
      <c r="D1009" s="6" t="str">
        <f t="shared" si="47"/>
        <v>03</v>
      </c>
      <c r="E1009" t="s">
        <v>479</v>
      </c>
      <c r="F1009" t="s">
        <v>21</v>
      </c>
      <c r="G1009" t="s">
        <v>74</v>
      </c>
      <c r="H1009" s="4" t="s">
        <v>2258</v>
      </c>
      <c r="I1009">
        <v>419849</v>
      </c>
      <c r="J1009" s="8" t="s">
        <v>30</v>
      </c>
      <c r="K1009" t="s">
        <v>63</v>
      </c>
      <c r="L1009" t="s">
        <v>64</v>
      </c>
      <c r="M1009" t="s">
        <v>55</v>
      </c>
      <c r="N1009">
        <f t="shared" si="48"/>
        <v>5</v>
      </c>
      <c r="O1009">
        <v>5</v>
      </c>
      <c r="P1009" s="6">
        <v>95.26</v>
      </c>
      <c r="Q1009">
        <v>9.5299999999999994</v>
      </c>
      <c r="R1009">
        <v>466.77</v>
      </c>
      <c r="S1009">
        <v>23.34</v>
      </c>
      <c r="T1009">
        <v>10</v>
      </c>
      <c r="U1009">
        <v>10</v>
      </c>
      <c r="V1009">
        <v>510.11</v>
      </c>
      <c r="W1009" t="s">
        <v>27</v>
      </c>
      <c r="X1009">
        <v>30</v>
      </c>
    </row>
    <row r="1010" spans="1:24" ht="14.25" customHeight="1">
      <c r="A1010" t="s">
        <v>1758</v>
      </c>
      <c r="B1010" t="s">
        <v>2309</v>
      </c>
      <c r="C1010" s="6" t="str">
        <f t="shared" si="46"/>
        <v>February</v>
      </c>
      <c r="D1010" s="6" t="str">
        <f t="shared" si="47"/>
        <v>23</v>
      </c>
      <c r="E1010" t="s">
        <v>483</v>
      </c>
      <c r="F1010" t="s">
        <v>21</v>
      </c>
      <c r="G1010" t="s">
        <v>68</v>
      </c>
      <c r="H1010" s="4" t="s">
        <v>2258</v>
      </c>
      <c r="I1010">
        <v>945457</v>
      </c>
      <c r="J1010" s="8" t="s">
        <v>30</v>
      </c>
      <c r="K1010" t="s">
        <v>69</v>
      </c>
      <c r="L1010" t="s">
        <v>70</v>
      </c>
      <c r="M1010" t="s">
        <v>135</v>
      </c>
      <c r="N1010">
        <f t="shared" si="48"/>
        <v>9</v>
      </c>
      <c r="O1010">
        <v>4</v>
      </c>
      <c r="P1010" s="6">
        <v>162.94</v>
      </c>
      <c r="Q1010">
        <v>0</v>
      </c>
      <c r="R1010">
        <v>651.76</v>
      </c>
      <c r="S1010">
        <v>32.590000000000003</v>
      </c>
      <c r="T1010">
        <v>0</v>
      </c>
      <c r="U1010">
        <v>0</v>
      </c>
      <c r="V1010">
        <v>684.35</v>
      </c>
      <c r="W1010" t="s">
        <v>27</v>
      </c>
      <c r="X1010">
        <v>26</v>
      </c>
    </row>
    <row r="1011" spans="1:24" ht="14.25" customHeight="1">
      <c r="A1011" t="s">
        <v>1759</v>
      </c>
      <c r="B1011" t="s">
        <v>2309</v>
      </c>
      <c r="C1011" s="6" t="str">
        <f t="shared" si="46"/>
        <v>February</v>
      </c>
      <c r="D1011" s="6" t="str">
        <f t="shared" si="47"/>
        <v>23</v>
      </c>
      <c r="E1011" t="s">
        <v>487</v>
      </c>
      <c r="F1011" t="s">
        <v>21</v>
      </c>
      <c r="G1011" t="s">
        <v>68</v>
      </c>
      <c r="H1011" s="4" t="s">
        <v>2258</v>
      </c>
      <c r="I1011">
        <v>992017</v>
      </c>
      <c r="J1011" s="8" t="s">
        <v>2346</v>
      </c>
      <c r="K1011" t="s">
        <v>75</v>
      </c>
      <c r="L1011" t="s">
        <v>76</v>
      </c>
      <c r="M1011" t="s">
        <v>140</v>
      </c>
      <c r="N1011">
        <f t="shared" si="48"/>
        <v>3</v>
      </c>
      <c r="O1011">
        <v>2</v>
      </c>
      <c r="P1011" s="6">
        <v>45.54</v>
      </c>
      <c r="Q1011">
        <v>2.2799999999999998</v>
      </c>
      <c r="R1011">
        <v>88.8</v>
      </c>
      <c r="S1011">
        <v>4.4400000000000004</v>
      </c>
      <c r="T1011">
        <v>10</v>
      </c>
      <c r="U1011">
        <v>10</v>
      </c>
      <c r="V1011">
        <v>113.24</v>
      </c>
      <c r="W1011" t="s">
        <v>27</v>
      </c>
      <c r="X1011">
        <v>15</v>
      </c>
    </row>
    <row r="1012" spans="1:24" ht="14.25" customHeight="1">
      <c r="A1012" t="s">
        <v>1760</v>
      </c>
      <c r="B1012" t="s">
        <v>2277</v>
      </c>
      <c r="C1012" s="6" t="str">
        <f t="shared" si="46"/>
        <v>January</v>
      </c>
      <c r="D1012" s="6" t="str">
        <f t="shared" si="47"/>
        <v>03</v>
      </c>
      <c r="E1012" t="s">
        <v>491</v>
      </c>
      <c r="F1012" t="s">
        <v>21</v>
      </c>
      <c r="G1012" t="s">
        <v>106</v>
      </c>
      <c r="H1012" s="4" t="s">
        <v>2258</v>
      </c>
      <c r="I1012">
        <v>290545</v>
      </c>
      <c r="J1012" s="8" t="s">
        <v>62</v>
      </c>
      <c r="K1012" t="s">
        <v>82</v>
      </c>
      <c r="L1012" t="s">
        <v>83</v>
      </c>
      <c r="M1012" t="s">
        <v>77</v>
      </c>
      <c r="N1012">
        <f t="shared" si="48"/>
        <v>5</v>
      </c>
      <c r="O1012">
        <v>1</v>
      </c>
      <c r="P1012" s="6">
        <v>15.64</v>
      </c>
      <c r="Q1012">
        <v>0</v>
      </c>
      <c r="R1012">
        <v>15.64</v>
      </c>
      <c r="S1012">
        <v>0.78</v>
      </c>
      <c r="T1012">
        <v>20</v>
      </c>
      <c r="U1012">
        <v>10</v>
      </c>
      <c r="V1012">
        <v>46.42</v>
      </c>
      <c r="W1012" t="s">
        <v>27</v>
      </c>
      <c r="X1012">
        <v>14</v>
      </c>
    </row>
    <row r="1013" spans="1:24" ht="14.25" customHeight="1">
      <c r="A1013" t="s">
        <v>1761</v>
      </c>
      <c r="B1013" t="s">
        <v>2289</v>
      </c>
      <c r="C1013" s="6" t="str">
        <f t="shared" si="46"/>
        <v>February</v>
      </c>
      <c r="D1013" s="6" t="str">
        <f t="shared" si="47"/>
        <v>28</v>
      </c>
      <c r="E1013" t="s">
        <v>495</v>
      </c>
      <c r="F1013" t="s">
        <v>21</v>
      </c>
      <c r="G1013" t="s">
        <v>106</v>
      </c>
      <c r="H1013" s="4" t="s">
        <v>2258</v>
      </c>
      <c r="I1013">
        <v>821615</v>
      </c>
      <c r="J1013" s="8" t="s">
        <v>2348</v>
      </c>
      <c r="K1013" t="s">
        <v>87</v>
      </c>
      <c r="L1013" t="s">
        <v>88</v>
      </c>
      <c r="M1013" t="s">
        <v>45</v>
      </c>
      <c r="N1013">
        <f t="shared" si="48"/>
        <v>6</v>
      </c>
      <c r="O1013">
        <v>3</v>
      </c>
      <c r="P1013" s="6">
        <v>83.11</v>
      </c>
      <c r="Q1013">
        <v>12.47</v>
      </c>
      <c r="R1013">
        <v>236.86</v>
      </c>
      <c r="S1013">
        <v>11.84</v>
      </c>
      <c r="T1013">
        <v>30</v>
      </c>
      <c r="U1013">
        <v>0</v>
      </c>
      <c r="V1013">
        <v>278.7</v>
      </c>
      <c r="W1013" t="s">
        <v>117</v>
      </c>
      <c r="X1013">
        <v>25</v>
      </c>
    </row>
    <row r="1014" spans="1:24" ht="14.25" customHeight="1">
      <c r="A1014" t="s">
        <v>1762</v>
      </c>
      <c r="B1014" t="s">
        <v>2303</v>
      </c>
      <c r="C1014" s="6" t="str">
        <f t="shared" si="46"/>
        <v>February</v>
      </c>
      <c r="D1014" s="6" t="str">
        <f t="shared" si="47"/>
        <v>19</v>
      </c>
      <c r="E1014" t="s">
        <v>499</v>
      </c>
      <c r="F1014" t="s">
        <v>21</v>
      </c>
      <c r="G1014" t="s">
        <v>68</v>
      </c>
      <c r="H1014" s="4" t="s">
        <v>2258</v>
      </c>
      <c r="I1014">
        <v>455288</v>
      </c>
      <c r="J1014" s="8" t="s">
        <v>2347</v>
      </c>
      <c r="K1014" t="s">
        <v>92</v>
      </c>
      <c r="L1014" t="s">
        <v>93</v>
      </c>
      <c r="M1014" t="s">
        <v>22</v>
      </c>
      <c r="N1014">
        <f t="shared" si="48"/>
        <v>6</v>
      </c>
      <c r="O1014">
        <v>8</v>
      </c>
      <c r="P1014" s="6">
        <v>184.54</v>
      </c>
      <c r="Q1014">
        <v>9.23</v>
      </c>
      <c r="R1014">
        <v>1467.09</v>
      </c>
      <c r="S1014">
        <v>73.349999999999994</v>
      </c>
      <c r="T1014">
        <v>0</v>
      </c>
      <c r="U1014">
        <v>15</v>
      </c>
      <c r="V1014">
        <v>1555.44</v>
      </c>
      <c r="W1014" t="s">
        <v>27</v>
      </c>
      <c r="X1014">
        <v>19</v>
      </c>
    </row>
    <row r="1015" spans="1:24" ht="14.25" customHeight="1">
      <c r="A1015" t="s">
        <v>1763</v>
      </c>
      <c r="B1015" t="s">
        <v>2285</v>
      </c>
      <c r="C1015" s="6" t="str">
        <f t="shared" si="46"/>
        <v>January</v>
      </c>
      <c r="D1015" s="6" t="str">
        <f t="shared" si="47"/>
        <v>12</v>
      </c>
      <c r="E1015" t="s">
        <v>503</v>
      </c>
      <c r="F1015" t="s">
        <v>21</v>
      </c>
      <c r="G1015" t="s">
        <v>37</v>
      </c>
      <c r="H1015" s="4" t="s">
        <v>2258</v>
      </c>
      <c r="I1015">
        <v>284100</v>
      </c>
      <c r="J1015" s="8" t="s">
        <v>62</v>
      </c>
      <c r="K1015" t="s">
        <v>96</v>
      </c>
      <c r="L1015" t="s">
        <v>97</v>
      </c>
      <c r="M1015" t="s">
        <v>26</v>
      </c>
      <c r="N1015">
        <f t="shared" si="48"/>
        <v>3</v>
      </c>
      <c r="O1015">
        <v>2</v>
      </c>
      <c r="P1015" s="6">
        <v>152.44999999999999</v>
      </c>
      <c r="Q1015">
        <v>7.62</v>
      </c>
      <c r="R1015">
        <v>297.27999999999997</v>
      </c>
      <c r="S1015">
        <v>14.86</v>
      </c>
      <c r="T1015">
        <v>30</v>
      </c>
      <c r="U1015">
        <v>10</v>
      </c>
      <c r="V1015">
        <v>352.14</v>
      </c>
      <c r="W1015" t="s">
        <v>27</v>
      </c>
      <c r="X1015">
        <v>33</v>
      </c>
    </row>
    <row r="1016" spans="1:24" ht="14.25" customHeight="1">
      <c r="A1016" t="s">
        <v>1764</v>
      </c>
      <c r="B1016" t="s">
        <v>2316</v>
      </c>
      <c r="C1016" s="6" t="str">
        <f t="shared" si="46"/>
        <v>January</v>
      </c>
      <c r="D1016" s="6" t="str">
        <f t="shared" si="47"/>
        <v>01</v>
      </c>
      <c r="E1016" t="s">
        <v>507</v>
      </c>
      <c r="F1016" t="s">
        <v>101</v>
      </c>
      <c r="G1016" t="s">
        <v>81</v>
      </c>
      <c r="H1016" s="4" t="s">
        <v>2258</v>
      </c>
      <c r="I1016">
        <v>121058</v>
      </c>
      <c r="J1016" s="8" t="s">
        <v>2346</v>
      </c>
      <c r="K1016" t="s">
        <v>102</v>
      </c>
      <c r="L1016" t="s">
        <v>103</v>
      </c>
      <c r="M1016" t="s">
        <v>177</v>
      </c>
      <c r="N1016">
        <f t="shared" si="48"/>
        <v>5</v>
      </c>
      <c r="O1016">
        <v>1</v>
      </c>
      <c r="P1016" s="6">
        <v>29.88</v>
      </c>
      <c r="Q1016">
        <v>0</v>
      </c>
      <c r="R1016">
        <v>29.88</v>
      </c>
      <c r="S1016">
        <v>1.49</v>
      </c>
      <c r="T1016">
        <v>30</v>
      </c>
      <c r="U1016">
        <v>0</v>
      </c>
      <c r="V1016">
        <v>61.37</v>
      </c>
      <c r="W1016" t="s">
        <v>27</v>
      </c>
      <c r="X1016">
        <v>31</v>
      </c>
    </row>
    <row r="1017" spans="1:24" ht="14.25" customHeight="1">
      <c r="A1017" t="s">
        <v>1765</v>
      </c>
      <c r="B1017" t="s">
        <v>2309</v>
      </c>
      <c r="C1017" s="6" t="str">
        <f t="shared" si="46"/>
        <v>February</v>
      </c>
      <c r="D1017" s="6" t="str">
        <f t="shared" si="47"/>
        <v>23</v>
      </c>
      <c r="E1017" t="s">
        <v>511</v>
      </c>
      <c r="F1017" t="s">
        <v>21</v>
      </c>
      <c r="G1017" t="s">
        <v>68</v>
      </c>
      <c r="H1017" s="4" t="s">
        <v>2258</v>
      </c>
      <c r="I1017">
        <v>710777</v>
      </c>
      <c r="J1017" s="8" t="s">
        <v>30</v>
      </c>
      <c r="K1017" t="s">
        <v>107</v>
      </c>
      <c r="L1017" t="s">
        <v>108</v>
      </c>
      <c r="M1017" t="s">
        <v>65</v>
      </c>
      <c r="N1017">
        <f t="shared" si="48"/>
        <v>6</v>
      </c>
      <c r="O1017">
        <v>2</v>
      </c>
      <c r="P1017" s="6">
        <v>115.91</v>
      </c>
      <c r="Q1017">
        <v>11.59</v>
      </c>
      <c r="R1017">
        <v>220.23</v>
      </c>
      <c r="S1017">
        <v>11.01</v>
      </c>
      <c r="T1017">
        <v>10</v>
      </c>
      <c r="U1017">
        <v>20</v>
      </c>
      <c r="V1017">
        <v>261.24</v>
      </c>
      <c r="W1017" t="s">
        <v>27</v>
      </c>
      <c r="X1017">
        <v>27</v>
      </c>
    </row>
    <row r="1018" spans="1:24" ht="14.25" customHeight="1">
      <c r="A1018" t="s">
        <v>1766</v>
      </c>
      <c r="B1018" t="s">
        <v>2280</v>
      </c>
      <c r="C1018" s="6" t="str">
        <f t="shared" si="46"/>
        <v>February</v>
      </c>
      <c r="D1018" s="6" t="str">
        <f t="shared" si="47"/>
        <v>13</v>
      </c>
      <c r="E1018" t="s">
        <v>515</v>
      </c>
      <c r="F1018" t="s">
        <v>21</v>
      </c>
      <c r="G1018" t="s">
        <v>68</v>
      </c>
      <c r="H1018" s="4" t="s">
        <v>2258</v>
      </c>
      <c r="I1018">
        <v>724152</v>
      </c>
      <c r="J1018" s="8" t="s">
        <v>2347</v>
      </c>
      <c r="K1018" t="s">
        <v>111</v>
      </c>
      <c r="L1018" t="s">
        <v>112</v>
      </c>
      <c r="M1018" t="s">
        <v>50</v>
      </c>
      <c r="N1018">
        <f t="shared" si="48"/>
        <v>5</v>
      </c>
      <c r="O1018">
        <v>4</v>
      </c>
      <c r="P1018" s="6">
        <v>163.69</v>
      </c>
      <c r="Q1018">
        <v>24.55</v>
      </c>
      <c r="R1018">
        <v>630.21</v>
      </c>
      <c r="S1018">
        <v>31.51</v>
      </c>
      <c r="T1018">
        <v>0</v>
      </c>
      <c r="U1018">
        <v>20</v>
      </c>
      <c r="V1018">
        <v>681.72</v>
      </c>
      <c r="W1018" t="s">
        <v>27</v>
      </c>
      <c r="X1018">
        <v>15</v>
      </c>
    </row>
    <row r="1019" spans="1:24" ht="14.25" customHeight="1">
      <c r="A1019" t="s">
        <v>1767</v>
      </c>
      <c r="B1019" t="s">
        <v>2317</v>
      </c>
      <c r="C1019" s="6" t="str">
        <f t="shared" si="46"/>
        <v>January</v>
      </c>
      <c r="D1019" s="6" t="str">
        <f t="shared" si="47"/>
        <v>05</v>
      </c>
      <c r="E1019" t="s">
        <v>519</v>
      </c>
      <c r="F1019" t="s">
        <v>21</v>
      </c>
      <c r="G1019" t="s">
        <v>106</v>
      </c>
      <c r="H1019" s="4" t="s">
        <v>2258</v>
      </c>
      <c r="I1019">
        <v>307158</v>
      </c>
      <c r="J1019" s="8" t="s">
        <v>30</v>
      </c>
      <c r="K1019" t="s">
        <v>115</v>
      </c>
      <c r="L1019" t="s">
        <v>116</v>
      </c>
      <c r="M1019" t="s">
        <v>65</v>
      </c>
      <c r="N1019">
        <f t="shared" si="48"/>
        <v>6</v>
      </c>
      <c r="O1019">
        <v>4</v>
      </c>
      <c r="P1019" s="6">
        <v>141.02000000000001</v>
      </c>
      <c r="Q1019">
        <v>21.15</v>
      </c>
      <c r="R1019">
        <v>542.93000000000006</v>
      </c>
      <c r="S1019">
        <v>27.15</v>
      </c>
      <c r="T1019">
        <v>30</v>
      </c>
      <c r="U1019">
        <v>5</v>
      </c>
      <c r="V1019">
        <v>605.08000000000004</v>
      </c>
      <c r="W1019" t="s">
        <v>117</v>
      </c>
      <c r="X1019">
        <v>25</v>
      </c>
    </row>
    <row r="1020" spans="1:24" ht="14.25" customHeight="1">
      <c r="A1020" t="s">
        <v>1768</v>
      </c>
      <c r="B1020" t="s">
        <v>2281</v>
      </c>
      <c r="C1020" s="6" t="str">
        <f t="shared" si="46"/>
        <v>January</v>
      </c>
      <c r="D1020" s="6" t="str">
        <f t="shared" si="47"/>
        <v>30</v>
      </c>
      <c r="E1020" t="s">
        <v>523</v>
      </c>
      <c r="F1020" t="s">
        <v>21</v>
      </c>
      <c r="G1020" t="s">
        <v>106</v>
      </c>
      <c r="H1020" s="4" t="s">
        <v>2258</v>
      </c>
      <c r="I1020">
        <v>793201</v>
      </c>
      <c r="J1020" s="8" t="s">
        <v>2349</v>
      </c>
      <c r="K1020" t="s">
        <v>120</v>
      </c>
      <c r="L1020" t="s">
        <v>121</v>
      </c>
      <c r="M1020" t="s">
        <v>140</v>
      </c>
      <c r="N1020">
        <f t="shared" si="48"/>
        <v>3</v>
      </c>
      <c r="O1020">
        <v>1</v>
      </c>
      <c r="P1020" s="6">
        <v>119.72</v>
      </c>
      <c r="Q1020">
        <v>0</v>
      </c>
      <c r="R1020">
        <v>119.72</v>
      </c>
      <c r="S1020">
        <v>5.99</v>
      </c>
      <c r="T1020">
        <v>20</v>
      </c>
      <c r="U1020">
        <v>0</v>
      </c>
      <c r="V1020">
        <v>145.71</v>
      </c>
      <c r="W1020" t="s">
        <v>84</v>
      </c>
      <c r="X1020">
        <v>25</v>
      </c>
    </row>
    <row r="1021" spans="1:24" ht="14.25" customHeight="1">
      <c r="A1021" t="s">
        <v>1769</v>
      </c>
      <c r="B1021" t="s">
        <v>2281</v>
      </c>
      <c r="C1021" s="6" t="str">
        <f t="shared" si="46"/>
        <v>January</v>
      </c>
      <c r="D1021" s="6" t="str">
        <f t="shared" si="47"/>
        <v>30</v>
      </c>
      <c r="E1021" t="s">
        <v>527</v>
      </c>
      <c r="F1021" t="s">
        <v>21</v>
      </c>
      <c r="G1021" t="s">
        <v>37</v>
      </c>
      <c r="H1021" s="4" t="s">
        <v>2258</v>
      </c>
      <c r="I1021">
        <v>475595</v>
      </c>
      <c r="J1021" s="8" t="s">
        <v>2345</v>
      </c>
      <c r="K1021" t="s">
        <v>124</v>
      </c>
      <c r="L1021" t="s">
        <v>125</v>
      </c>
      <c r="M1021" t="s">
        <v>140</v>
      </c>
      <c r="N1021">
        <f t="shared" si="48"/>
        <v>3</v>
      </c>
      <c r="O1021">
        <v>3</v>
      </c>
      <c r="P1021" s="6">
        <v>120.46</v>
      </c>
      <c r="Q1021">
        <v>6.02</v>
      </c>
      <c r="R1021">
        <v>355.36</v>
      </c>
      <c r="S1021">
        <v>17.77</v>
      </c>
      <c r="T1021">
        <v>0</v>
      </c>
      <c r="U1021">
        <v>0</v>
      </c>
      <c r="V1021">
        <v>373.13</v>
      </c>
      <c r="W1021" t="s">
        <v>27</v>
      </c>
      <c r="X1021">
        <v>42</v>
      </c>
    </row>
    <row r="1022" spans="1:24" ht="14.25" customHeight="1">
      <c r="A1022" t="s">
        <v>1770</v>
      </c>
      <c r="B1022" t="s">
        <v>2289</v>
      </c>
      <c r="C1022" s="6" t="str">
        <f t="shared" si="46"/>
        <v>February</v>
      </c>
      <c r="D1022" s="6" t="str">
        <f t="shared" si="47"/>
        <v>28</v>
      </c>
      <c r="E1022" t="s">
        <v>531</v>
      </c>
      <c r="F1022" t="s">
        <v>21</v>
      </c>
      <c r="G1022" t="s">
        <v>68</v>
      </c>
      <c r="H1022" s="4" t="s">
        <v>2258</v>
      </c>
      <c r="I1022">
        <v>667256</v>
      </c>
      <c r="J1022" s="8" t="s">
        <v>62</v>
      </c>
      <c r="K1022" t="s">
        <v>128</v>
      </c>
      <c r="L1022" t="s">
        <v>129</v>
      </c>
      <c r="M1022" t="s">
        <v>77</v>
      </c>
      <c r="N1022">
        <f t="shared" si="48"/>
        <v>5</v>
      </c>
      <c r="O1022">
        <v>1</v>
      </c>
      <c r="P1022" s="6">
        <v>1.19</v>
      </c>
      <c r="Q1022">
        <v>0.18</v>
      </c>
      <c r="R1022">
        <v>1.01</v>
      </c>
      <c r="S1022">
        <v>0.05</v>
      </c>
      <c r="T1022">
        <v>10</v>
      </c>
      <c r="U1022">
        <v>5</v>
      </c>
      <c r="V1022">
        <v>16.059999999999999</v>
      </c>
      <c r="W1022" t="s">
        <v>27</v>
      </c>
      <c r="X1022">
        <v>22</v>
      </c>
    </row>
    <row r="1023" spans="1:24" ht="14.25" customHeight="1">
      <c r="A1023" t="s">
        <v>1771</v>
      </c>
      <c r="B1023" t="s">
        <v>2296</v>
      </c>
      <c r="C1023" s="6" t="str">
        <f t="shared" si="46"/>
        <v>February</v>
      </c>
      <c r="D1023" s="6" t="str">
        <f t="shared" si="47"/>
        <v>26</v>
      </c>
      <c r="E1023" t="s">
        <v>535</v>
      </c>
      <c r="F1023" t="s">
        <v>21</v>
      </c>
      <c r="G1023" t="s">
        <v>22</v>
      </c>
      <c r="H1023" s="4" t="s">
        <v>2258</v>
      </c>
      <c r="I1023">
        <v>661548</v>
      </c>
      <c r="J1023" s="8" t="s">
        <v>2347</v>
      </c>
      <c r="K1023" t="s">
        <v>133</v>
      </c>
      <c r="L1023" t="s">
        <v>134</v>
      </c>
      <c r="M1023" t="s">
        <v>50</v>
      </c>
      <c r="N1023">
        <f t="shared" si="48"/>
        <v>5</v>
      </c>
      <c r="O1023">
        <v>5</v>
      </c>
      <c r="P1023" s="6">
        <v>270.87</v>
      </c>
      <c r="Q1023">
        <v>40.630000000000003</v>
      </c>
      <c r="R1023">
        <v>1313.72</v>
      </c>
      <c r="S1023">
        <v>65.69</v>
      </c>
      <c r="T1023">
        <v>0</v>
      </c>
      <c r="U1023">
        <v>20</v>
      </c>
      <c r="V1023">
        <v>1399.41</v>
      </c>
      <c r="W1023" t="s">
        <v>27</v>
      </c>
      <c r="X1023">
        <v>33</v>
      </c>
    </row>
    <row r="1024" spans="1:24" ht="14.25" customHeight="1">
      <c r="A1024" t="s">
        <v>1772</v>
      </c>
      <c r="B1024" t="s">
        <v>2307</v>
      </c>
      <c r="C1024" s="6" t="str">
        <f t="shared" si="46"/>
        <v>January</v>
      </c>
      <c r="D1024" s="6" t="str">
        <f t="shared" si="47"/>
        <v>17</v>
      </c>
      <c r="E1024" t="s">
        <v>539</v>
      </c>
      <c r="F1024" t="s">
        <v>101</v>
      </c>
      <c r="G1024" t="s">
        <v>81</v>
      </c>
      <c r="H1024" s="4" t="s">
        <v>2258</v>
      </c>
      <c r="I1024">
        <v>883924</v>
      </c>
      <c r="J1024" s="8" t="s">
        <v>30</v>
      </c>
      <c r="K1024" t="s">
        <v>138</v>
      </c>
      <c r="L1024" t="s">
        <v>139</v>
      </c>
      <c r="M1024" t="s">
        <v>50</v>
      </c>
      <c r="N1024">
        <f t="shared" si="48"/>
        <v>5</v>
      </c>
      <c r="O1024">
        <v>4</v>
      </c>
      <c r="P1024" s="6">
        <v>175.37</v>
      </c>
      <c r="Q1024">
        <v>8.77</v>
      </c>
      <c r="R1024">
        <v>692.71</v>
      </c>
      <c r="S1024">
        <v>34.64</v>
      </c>
      <c r="T1024">
        <v>20</v>
      </c>
      <c r="U1024">
        <v>0</v>
      </c>
      <c r="V1024">
        <v>747.35</v>
      </c>
      <c r="W1024" t="s">
        <v>27</v>
      </c>
      <c r="X1024">
        <v>20</v>
      </c>
    </row>
    <row r="1025" spans="1:24" ht="14.25" customHeight="1">
      <c r="A1025" t="s">
        <v>1773</v>
      </c>
      <c r="B1025" t="s">
        <v>2313</v>
      </c>
      <c r="C1025" s="6" t="str">
        <f t="shared" si="46"/>
        <v>February</v>
      </c>
      <c r="D1025" s="6" t="str">
        <f t="shared" si="47"/>
        <v>17</v>
      </c>
      <c r="E1025" t="s">
        <v>543</v>
      </c>
      <c r="F1025" t="s">
        <v>21</v>
      </c>
      <c r="G1025" t="s">
        <v>37</v>
      </c>
      <c r="H1025" s="4" t="s">
        <v>2258</v>
      </c>
      <c r="I1025">
        <v>342113</v>
      </c>
      <c r="J1025" s="8" t="s">
        <v>30</v>
      </c>
      <c r="K1025" t="s">
        <v>143</v>
      </c>
      <c r="L1025" t="s">
        <v>144</v>
      </c>
      <c r="M1025" t="s">
        <v>40</v>
      </c>
      <c r="N1025">
        <f t="shared" si="48"/>
        <v>6</v>
      </c>
      <c r="O1025">
        <v>2</v>
      </c>
      <c r="P1025" s="6">
        <v>112.16</v>
      </c>
      <c r="Q1025">
        <v>0</v>
      </c>
      <c r="R1025">
        <v>224.32</v>
      </c>
      <c r="S1025">
        <v>11.22</v>
      </c>
      <c r="T1025">
        <v>10</v>
      </c>
      <c r="U1025">
        <v>0</v>
      </c>
      <c r="V1025">
        <v>245.54</v>
      </c>
      <c r="W1025" t="s">
        <v>27</v>
      </c>
      <c r="X1025">
        <v>30</v>
      </c>
    </row>
    <row r="1026" spans="1:24" ht="14.25" customHeight="1">
      <c r="A1026" t="s">
        <v>1774</v>
      </c>
      <c r="B1026" t="s">
        <v>2293</v>
      </c>
      <c r="C1026" s="6" t="str">
        <f t="shared" si="46"/>
        <v>February</v>
      </c>
      <c r="D1026" s="6" t="str">
        <f t="shared" si="47"/>
        <v>16</v>
      </c>
      <c r="E1026" t="s">
        <v>547</v>
      </c>
      <c r="F1026" t="s">
        <v>21</v>
      </c>
      <c r="G1026" t="s">
        <v>74</v>
      </c>
      <c r="H1026" s="4" t="s">
        <v>2258</v>
      </c>
      <c r="I1026">
        <v>207092</v>
      </c>
      <c r="J1026" s="8" t="s">
        <v>30</v>
      </c>
      <c r="K1026" t="s">
        <v>147</v>
      </c>
      <c r="L1026" t="s">
        <v>148</v>
      </c>
      <c r="M1026" t="s">
        <v>89</v>
      </c>
      <c r="N1026">
        <f t="shared" si="48"/>
        <v>7</v>
      </c>
      <c r="O1026">
        <v>1</v>
      </c>
      <c r="P1026" s="6">
        <v>123.86</v>
      </c>
      <c r="Q1026">
        <v>12.39</v>
      </c>
      <c r="R1026">
        <v>111.47</v>
      </c>
      <c r="S1026">
        <v>5.57</v>
      </c>
      <c r="T1026">
        <v>0</v>
      </c>
      <c r="U1026">
        <v>15</v>
      </c>
      <c r="V1026">
        <v>132.04</v>
      </c>
      <c r="W1026" t="s">
        <v>27</v>
      </c>
      <c r="X1026">
        <v>19</v>
      </c>
    </row>
    <row r="1027" spans="1:24" ht="14.25" customHeight="1">
      <c r="A1027" t="s">
        <v>1775</v>
      </c>
      <c r="B1027" t="s">
        <v>2271</v>
      </c>
      <c r="C1027" s="6" t="str">
        <f t="shared" ref="C1027:C1090" si="49">TEXT(B1027,"mmmm")</f>
        <v>January</v>
      </c>
      <c r="D1027" s="6" t="str">
        <f t="shared" ref="D1027:D1090" si="50">TEXT(B1027,"dd")</f>
        <v>23</v>
      </c>
      <c r="E1027" t="s">
        <v>551</v>
      </c>
      <c r="F1027" t="s">
        <v>21</v>
      </c>
      <c r="G1027" t="s">
        <v>68</v>
      </c>
      <c r="H1027" s="4" t="s">
        <v>2258</v>
      </c>
      <c r="I1027">
        <v>292180</v>
      </c>
      <c r="J1027" s="8" t="s">
        <v>62</v>
      </c>
      <c r="K1027" t="s">
        <v>151</v>
      </c>
      <c r="L1027" t="s">
        <v>152</v>
      </c>
      <c r="M1027" t="s">
        <v>71</v>
      </c>
      <c r="N1027">
        <f t="shared" si="48"/>
        <v>6</v>
      </c>
      <c r="O1027">
        <v>4</v>
      </c>
      <c r="P1027" s="6">
        <v>116.26</v>
      </c>
      <c r="Q1027">
        <v>0</v>
      </c>
      <c r="R1027">
        <v>465.04</v>
      </c>
      <c r="S1027">
        <v>23.25</v>
      </c>
      <c r="T1027">
        <v>30</v>
      </c>
      <c r="U1027">
        <v>0</v>
      </c>
      <c r="V1027">
        <v>518.29</v>
      </c>
      <c r="W1027" t="s">
        <v>27</v>
      </c>
      <c r="X1027">
        <v>29</v>
      </c>
    </row>
    <row r="1028" spans="1:24" ht="14.25" customHeight="1">
      <c r="A1028" t="s">
        <v>1776</v>
      </c>
      <c r="B1028" t="s">
        <v>2265</v>
      </c>
      <c r="C1028" s="6" t="str">
        <f t="shared" si="49"/>
        <v>January</v>
      </c>
      <c r="D1028" s="6" t="str">
        <f t="shared" si="50"/>
        <v>15</v>
      </c>
      <c r="E1028" t="s">
        <v>555</v>
      </c>
      <c r="F1028" t="s">
        <v>80</v>
      </c>
      <c r="G1028" t="s">
        <v>81</v>
      </c>
      <c r="H1028" s="4" t="s">
        <v>2258</v>
      </c>
      <c r="I1028">
        <v>699649</v>
      </c>
      <c r="J1028" s="8" t="s">
        <v>2349</v>
      </c>
      <c r="K1028" t="s">
        <v>155</v>
      </c>
      <c r="L1028" t="s">
        <v>156</v>
      </c>
      <c r="M1028" t="s">
        <v>65</v>
      </c>
      <c r="N1028">
        <f t="shared" si="48"/>
        <v>6</v>
      </c>
      <c r="O1028">
        <v>4</v>
      </c>
      <c r="P1028" s="6">
        <v>167.47</v>
      </c>
      <c r="Q1028">
        <v>16.75</v>
      </c>
      <c r="R1028">
        <v>653.13</v>
      </c>
      <c r="S1028">
        <v>32.659999999999997</v>
      </c>
      <c r="T1028">
        <v>30</v>
      </c>
      <c r="U1028">
        <v>5</v>
      </c>
      <c r="V1028">
        <v>720.79</v>
      </c>
      <c r="W1028" t="s">
        <v>84</v>
      </c>
      <c r="X1028">
        <v>25</v>
      </c>
    </row>
    <row r="1029" spans="1:24" ht="14.25" customHeight="1">
      <c r="A1029" t="s">
        <v>1777</v>
      </c>
      <c r="B1029" t="s">
        <v>2297</v>
      </c>
      <c r="C1029" s="6" t="str">
        <f t="shared" si="49"/>
        <v>February</v>
      </c>
      <c r="D1029" s="6" t="str">
        <f t="shared" si="50"/>
        <v>06</v>
      </c>
      <c r="E1029" t="s">
        <v>559</v>
      </c>
      <c r="F1029" t="s">
        <v>21</v>
      </c>
      <c r="G1029" t="s">
        <v>74</v>
      </c>
      <c r="H1029" s="4" t="s">
        <v>2258</v>
      </c>
      <c r="I1029">
        <v>317256</v>
      </c>
      <c r="J1029" s="8" t="s">
        <v>2347</v>
      </c>
      <c r="K1029" t="s">
        <v>159</v>
      </c>
      <c r="L1029" t="s">
        <v>160</v>
      </c>
      <c r="M1029" t="s">
        <v>26</v>
      </c>
      <c r="N1029">
        <f t="shared" si="48"/>
        <v>3</v>
      </c>
      <c r="O1029">
        <v>3</v>
      </c>
      <c r="P1029" s="6">
        <v>159.88999999999999</v>
      </c>
      <c r="Q1029">
        <v>0</v>
      </c>
      <c r="R1029">
        <v>479.67</v>
      </c>
      <c r="S1029">
        <v>23.98</v>
      </c>
      <c r="T1029">
        <v>30</v>
      </c>
      <c r="U1029">
        <v>20</v>
      </c>
      <c r="V1029">
        <v>553.65</v>
      </c>
      <c r="W1029" t="s">
        <v>117</v>
      </c>
      <c r="X1029">
        <v>25</v>
      </c>
    </row>
    <row r="1030" spans="1:24" ht="14.25" customHeight="1">
      <c r="A1030" t="s">
        <v>1778</v>
      </c>
      <c r="B1030" t="s">
        <v>2268</v>
      </c>
      <c r="C1030" s="6" t="str">
        <f t="shared" si="49"/>
        <v>January</v>
      </c>
      <c r="D1030" s="6" t="str">
        <f t="shared" si="50"/>
        <v>21</v>
      </c>
      <c r="E1030" t="s">
        <v>563</v>
      </c>
      <c r="F1030" t="s">
        <v>21</v>
      </c>
      <c r="G1030" t="s">
        <v>106</v>
      </c>
      <c r="H1030" s="4" t="s">
        <v>2258</v>
      </c>
      <c r="I1030">
        <v>393132</v>
      </c>
      <c r="J1030" s="8" t="s">
        <v>2349</v>
      </c>
      <c r="K1030" t="s">
        <v>163</v>
      </c>
      <c r="L1030" t="s">
        <v>164</v>
      </c>
      <c r="M1030" t="s">
        <v>71</v>
      </c>
      <c r="N1030">
        <f t="shared" si="48"/>
        <v>6</v>
      </c>
      <c r="O1030">
        <v>1</v>
      </c>
      <c r="P1030" s="6">
        <v>185.67</v>
      </c>
      <c r="Q1030">
        <v>0</v>
      </c>
      <c r="R1030">
        <v>185.67</v>
      </c>
      <c r="S1030">
        <v>9.2799999999999994</v>
      </c>
      <c r="T1030">
        <v>20</v>
      </c>
      <c r="U1030">
        <v>0</v>
      </c>
      <c r="V1030">
        <v>214.95</v>
      </c>
      <c r="W1030" t="s">
        <v>84</v>
      </c>
      <c r="X1030">
        <v>25</v>
      </c>
    </row>
    <row r="1031" spans="1:24" ht="14.25" customHeight="1">
      <c r="A1031" t="s">
        <v>1779</v>
      </c>
      <c r="B1031" t="s">
        <v>2302</v>
      </c>
      <c r="C1031" s="6" t="str">
        <f t="shared" si="49"/>
        <v>January</v>
      </c>
      <c r="D1031" s="6" t="str">
        <f t="shared" si="50"/>
        <v>14</v>
      </c>
      <c r="E1031" t="s">
        <v>567</v>
      </c>
      <c r="F1031" t="s">
        <v>21</v>
      </c>
      <c r="G1031" t="s">
        <v>22</v>
      </c>
      <c r="H1031" s="4" t="s">
        <v>2258</v>
      </c>
      <c r="I1031">
        <v>560522</v>
      </c>
      <c r="J1031" s="8" t="s">
        <v>30</v>
      </c>
      <c r="K1031" t="s">
        <v>167</v>
      </c>
      <c r="L1031" t="s">
        <v>168</v>
      </c>
      <c r="M1031" t="s">
        <v>140</v>
      </c>
      <c r="N1031">
        <f t="shared" si="48"/>
        <v>3</v>
      </c>
      <c r="O1031">
        <v>1</v>
      </c>
      <c r="P1031" s="6">
        <v>131.78</v>
      </c>
      <c r="Q1031">
        <v>13.18</v>
      </c>
      <c r="R1031">
        <v>118.6</v>
      </c>
      <c r="S1031">
        <v>5.93</v>
      </c>
      <c r="T1031">
        <v>20</v>
      </c>
      <c r="U1031">
        <v>10</v>
      </c>
      <c r="V1031">
        <v>154.53</v>
      </c>
      <c r="W1031" t="s">
        <v>27</v>
      </c>
      <c r="X1031">
        <v>28</v>
      </c>
    </row>
    <row r="1032" spans="1:24" ht="14.25" customHeight="1">
      <c r="A1032" t="s">
        <v>1780</v>
      </c>
      <c r="B1032" t="s">
        <v>2279</v>
      </c>
      <c r="C1032" s="6" t="str">
        <f t="shared" si="49"/>
        <v>January</v>
      </c>
      <c r="D1032" s="6" t="str">
        <f t="shared" si="50"/>
        <v>02</v>
      </c>
      <c r="E1032" t="s">
        <v>571</v>
      </c>
      <c r="F1032" t="s">
        <v>21</v>
      </c>
      <c r="G1032" t="s">
        <v>68</v>
      </c>
      <c r="H1032" s="4" t="s">
        <v>2258</v>
      </c>
      <c r="I1032">
        <v>529199</v>
      </c>
      <c r="J1032" s="8" t="s">
        <v>62</v>
      </c>
      <c r="K1032" t="s">
        <v>171</v>
      </c>
      <c r="L1032" t="s">
        <v>172</v>
      </c>
      <c r="M1032" t="s">
        <v>89</v>
      </c>
      <c r="N1032">
        <f t="shared" si="48"/>
        <v>7</v>
      </c>
      <c r="O1032">
        <v>5</v>
      </c>
      <c r="P1032" s="6">
        <v>184.05</v>
      </c>
      <c r="Q1032">
        <v>18.41</v>
      </c>
      <c r="R1032">
        <v>901.84</v>
      </c>
      <c r="S1032">
        <v>45.09</v>
      </c>
      <c r="T1032">
        <v>30</v>
      </c>
      <c r="U1032">
        <v>0</v>
      </c>
      <c r="V1032">
        <v>976.93000000000006</v>
      </c>
      <c r="W1032" t="s">
        <v>84</v>
      </c>
      <c r="X1032">
        <v>25</v>
      </c>
    </row>
    <row r="1033" spans="1:24" ht="14.25" customHeight="1">
      <c r="A1033" t="s">
        <v>1781</v>
      </c>
      <c r="B1033" t="s">
        <v>2272</v>
      </c>
      <c r="C1033" s="6" t="str">
        <f t="shared" si="49"/>
        <v>January</v>
      </c>
      <c r="D1033" s="6" t="str">
        <f t="shared" si="50"/>
        <v>11</v>
      </c>
      <c r="E1033" t="s">
        <v>575</v>
      </c>
      <c r="F1033" t="s">
        <v>21</v>
      </c>
      <c r="G1033" t="s">
        <v>106</v>
      </c>
      <c r="H1033" s="4" t="s">
        <v>2258</v>
      </c>
      <c r="I1033">
        <v>134160</v>
      </c>
      <c r="J1033" s="8" t="s">
        <v>30</v>
      </c>
      <c r="K1033" t="s">
        <v>175</v>
      </c>
      <c r="L1033" t="s">
        <v>176</v>
      </c>
      <c r="M1033" t="s">
        <v>140</v>
      </c>
      <c r="N1033">
        <f t="shared" si="48"/>
        <v>3</v>
      </c>
      <c r="O1033">
        <v>4</v>
      </c>
      <c r="P1033" s="6">
        <v>158.82</v>
      </c>
      <c r="Q1033">
        <v>15.88</v>
      </c>
      <c r="R1033">
        <v>619.4</v>
      </c>
      <c r="S1033">
        <v>30.97</v>
      </c>
      <c r="T1033">
        <v>20</v>
      </c>
      <c r="U1033">
        <v>10</v>
      </c>
      <c r="V1033">
        <v>680.37</v>
      </c>
      <c r="W1033" t="s">
        <v>27</v>
      </c>
      <c r="X1033">
        <v>24</v>
      </c>
    </row>
    <row r="1034" spans="1:24" ht="14.25" customHeight="1">
      <c r="A1034" t="s">
        <v>1782</v>
      </c>
      <c r="B1034" t="s">
        <v>2294</v>
      </c>
      <c r="C1034" s="6" t="str">
        <f t="shared" si="49"/>
        <v>February</v>
      </c>
      <c r="D1034" s="6" t="str">
        <f t="shared" si="50"/>
        <v>20</v>
      </c>
      <c r="E1034" t="s">
        <v>579</v>
      </c>
      <c r="F1034" t="s">
        <v>21</v>
      </c>
      <c r="G1034" t="s">
        <v>37</v>
      </c>
      <c r="H1034" s="4" t="s">
        <v>2258</v>
      </c>
      <c r="I1034">
        <v>396694</v>
      </c>
      <c r="J1034" s="8" t="s">
        <v>30</v>
      </c>
      <c r="K1034" t="s">
        <v>180</v>
      </c>
      <c r="L1034" t="s">
        <v>181</v>
      </c>
      <c r="M1034" t="s">
        <v>55</v>
      </c>
      <c r="N1034">
        <f t="shared" si="48"/>
        <v>5</v>
      </c>
      <c r="O1034">
        <v>2</v>
      </c>
      <c r="P1034" s="6">
        <v>99.7</v>
      </c>
      <c r="Q1034">
        <v>0</v>
      </c>
      <c r="R1034">
        <v>199.4</v>
      </c>
      <c r="S1034">
        <v>9.9700000000000006</v>
      </c>
      <c r="T1034">
        <v>10</v>
      </c>
      <c r="U1034">
        <v>5</v>
      </c>
      <c r="V1034">
        <v>224.37</v>
      </c>
      <c r="W1034" t="s">
        <v>27</v>
      </c>
      <c r="X1034">
        <v>25</v>
      </c>
    </row>
    <row r="1035" spans="1:24" ht="14.25" customHeight="1">
      <c r="A1035" t="s">
        <v>1783</v>
      </c>
      <c r="B1035" t="s">
        <v>2262</v>
      </c>
      <c r="C1035" s="6" t="str">
        <f t="shared" si="49"/>
        <v>February</v>
      </c>
      <c r="D1035" s="6" t="str">
        <f t="shared" si="50"/>
        <v>08</v>
      </c>
      <c r="E1035" t="s">
        <v>583</v>
      </c>
      <c r="F1035" t="s">
        <v>21</v>
      </c>
      <c r="G1035" t="s">
        <v>37</v>
      </c>
      <c r="H1035" s="4" t="s">
        <v>2258</v>
      </c>
      <c r="I1035">
        <v>437547</v>
      </c>
      <c r="J1035" s="8" t="s">
        <v>2346</v>
      </c>
      <c r="K1035" t="s">
        <v>184</v>
      </c>
      <c r="L1035" t="s">
        <v>185</v>
      </c>
      <c r="M1035" t="s">
        <v>26</v>
      </c>
      <c r="N1035">
        <f t="shared" si="48"/>
        <v>3</v>
      </c>
      <c r="O1035">
        <v>2</v>
      </c>
      <c r="P1035" s="6">
        <v>69.290000000000006</v>
      </c>
      <c r="Q1035">
        <v>3.46</v>
      </c>
      <c r="R1035">
        <v>135.12</v>
      </c>
      <c r="S1035">
        <v>6.76</v>
      </c>
      <c r="T1035">
        <v>20</v>
      </c>
      <c r="U1035">
        <v>20</v>
      </c>
      <c r="V1035">
        <v>181.88</v>
      </c>
      <c r="W1035" t="s">
        <v>27</v>
      </c>
      <c r="X1035">
        <v>30</v>
      </c>
    </row>
    <row r="1036" spans="1:24" ht="14.25" customHeight="1">
      <c r="A1036" t="s">
        <v>1784</v>
      </c>
      <c r="B1036" t="s">
        <v>2282</v>
      </c>
      <c r="C1036" s="6" t="str">
        <f t="shared" si="49"/>
        <v>February</v>
      </c>
      <c r="D1036" s="6" t="str">
        <f t="shared" si="50"/>
        <v>07</v>
      </c>
      <c r="E1036" t="s">
        <v>587</v>
      </c>
      <c r="F1036" t="s">
        <v>21</v>
      </c>
      <c r="G1036" t="s">
        <v>106</v>
      </c>
      <c r="H1036" s="4" t="s">
        <v>2258</v>
      </c>
      <c r="I1036">
        <v>481382</v>
      </c>
      <c r="J1036" s="8" t="s">
        <v>62</v>
      </c>
      <c r="K1036" t="s">
        <v>188</v>
      </c>
      <c r="L1036" t="s">
        <v>189</v>
      </c>
      <c r="M1036" t="s">
        <v>40</v>
      </c>
      <c r="N1036">
        <f t="shared" si="48"/>
        <v>6</v>
      </c>
      <c r="O1036">
        <v>2</v>
      </c>
      <c r="P1036" s="6">
        <v>119.31</v>
      </c>
      <c r="Q1036">
        <v>5.97</v>
      </c>
      <c r="R1036">
        <v>232.65</v>
      </c>
      <c r="S1036">
        <v>11.63</v>
      </c>
      <c r="T1036">
        <v>10</v>
      </c>
      <c r="U1036">
        <v>20</v>
      </c>
      <c r="V1036">
        <v>274.27999999999997</v>
      </c>
      <c r="W1036" t="s">
        <v>27</v>
      </c>
      <c r="X1036">
        <v>25</v>
      </c>
    </row>
    <row r="1037" spans="1:24" ht="14.25" customHeight="1">
      <c r="A1037" t="s">
        <v>1785</v>
      </c>
      <c r="B1037" t="s">
        <v>2283</v>
      </c>
      <c r="C1037" s="6" t="str">
        <f t="shared" si="49"/>
        <v>March</v>
      </c>
      <c r="D1037" s="6" t="str">
        <f t="shared" si="50"/>
        <v>01</v>
      </c>
      <c r="E1037" t="s">
        <v>591</v>
      </c>
      <c r="F1037" t="s">
        <v>21</v>
      </c>
      <c r="G1037" t="s">
        <v>37</v>
      </c>
      <c r="H1037" s="4" t="s">
        <v>2258</v>
      </c>
      <c r="I1037">
        <v>883077</v>
      </c>
      <c r="J1037" s="8" t="s">
        <v>30</v>
      </c>
      <c r="K1037" t="s">
        <v>192</v>
      </c>
      <c r="L1037" t="s">
        <v>193</v>
      </c>
      <c r="M1037" t="s">
        <v>33</v>
      </c>
      <c r="N1037">
        <f t="shared" ref="N1037:N1100" si="51">LEN(M1037)</f>
        <v>10</v>
      </c>
      <c r="O1037">
        <v>6</v>
      </c>
      <c r="P1037" s="6">
        <v>159.9</v>
      </c>
      <c r="Q1037">
        <v>0</v>
      </c>
      <c r="R1037">
        <v>959.40000000000009</v>
      </c>
      <c r="S1037">
        <v>47.97</v>
      </c>
      <c r="T1037">
        <v>0</v>
      </c>
      <c r="U1037">
        <v>20</v>
      </c>
      <c r="V1037">
        <v>1027.3699999999999</v>
      </c>
      <c r="W1037" t="s">
        <v>27</v>
      </c>
      <c r="X1037">
        <v>17</v>
      </c>
    </row>
    <row r="1038" spans="1:24" ht="14.25" customHeight="1">
      <c r="A1038" t="s">
        <v>1786</v>
      </c>
      <c r="B1038" t="s">
        <v>2310</v>
      </c>
      <c r="C1038" s="6" t="str">
        <f t="shared" si="49"/>
        <v>February</v>
      </c>
      <c r="D1038" s="6" t="str">
        <f t="shared" si="50"/>
        <v>03</v>
      </c>
      <c r="E1038" t="s">
        <v>595</v>
      </c>
      <c r="F1038" t="s">
        <v>21</v>
      </c>
      <c r="G1038" t="s">
        <v>22</v>
      </c>
      <c r="H1038" s="4" t="s">
        <v>2258</v>
      </c>
      <c r="I1038">
        <v>733669</v>
      </c>
      <c r="J1038" s="8" t="s">
        <v>2345</v>
      </c>
      <c r="K1038" t="s">
        <v>196</v>
      </c>
      <c r="L1038" t="s">
        <v>197</v>
      </c>
      <c r="M1038" t="s">
        <v>55</v>
      </c>
      <c r="N1038">
        <f t="shared" si="51"/>
        <v>5</v>
      </c>
      <c r="O1038">
        <v>3</v>
      </c>
      <c r="P1038" s="6">
        <v>67.02</v>
      </c>
      <c r="Q1038">
        <v>0</v>
      </c>
      <c r="R1038">
        <v>201.06</v>
      </c>
      <c r="S1038">
        <v>10.050000000000001</v>
      </c>
      <c r="T1038">
        <v>20</v>
      </c>
      <c r="U1038">
        <v>20</v>
      </c>
      <c r="V1038">
        <v>251.11</v>
      </c>
      <c r="W1038" t="s">
        <v>27</v>
      </c>
      <c r="X1038">
        <v>24</v>
      </c>
    </row>
    <row r="1039" spans="1:24" ht="14.25" customHeight="1">
      <c r="A1039" t="s">
        <v>1787</v>
      </c>
      <c r="B1039" t="s">
        <v>2282</v>
      </c>
      <c r="C1039" s="6" t="str">
        <f t="shared" si="49"/>
        <v>February</v>
      </c>
      <c r="D1039" s="6" t="str">
        <f t="shared" si="50"/>
        <v>07</v>
      </c>
      <c r="E1039" t="s">
        <v>599</v>
      </c>
      <c r="F1039" t="s">
        <v>80</v>
      </c>
      <c r="G1039" t="s">
        <v>81</v>
      </c>
      <c r="H1039" s="4" t="s">
        <v>2258</v>
      </c>
      <c r="I1039">
        <v>561122</v>
      </c>
      <c r="J1039" s="8" t="s">
        <v>2348</v>
      </c>
      <c r="K1039" t="s">
        <v>200</v>
      </c>
      <c r="L1039" t="s">
        <v>201</v>
      </c>
      <c r="M1039" t="s">
        <v>130</v>
      </c>
      <c r="N1039">
        <f t="shared" si="51"/>
        <v>7</v>
      </c>
      <c r="O1039">
        <v>5</v>
      </c>
      <c r="P1039" s="6">
        <v>10.18</v>
      </c>
      <c r="Q1039">
        <v>1.02</v>
      </c>
      <c r="R1039">
        <v>49.88</v>
      </c>
      <c r="S1039">
        <v>2.4900000000000002</v>
      </c>
      <c r="T1039">
        <v>30</v>
      </c>
      <c r="U1039">
        <v>15</v>
      </c>
      <c r="V1039">
        <v>97.37</v>
      </c>
      <c r="W1039" t="s">
        <v>27</v>
      </c>
      <c r="X1039">
        <v>13</v>
      </c>
    </row>
    <row r="1040" spans="1:24" ht="14.25" customHeight="1">
      <c r="A1040" t="s">
        <v>1788</v>
      </c>
      <c r="B1040" t="s">
        <v>2303</v>
      </c>
      <c r="C1040" s="6" t="str">
        <f t="shared" si="49"/>
        <v>February</v>
      </c>
      <c r="D1040" s="6" t="str">
        <f t="shared" si="50"/>
        <v>19</v>
      </c>
      <c r="E1040" t="s">
        <v>603</v>
      </c>
      <c r="F1040" t="s">
        <v>21</v>
      </c>
      <c r="G1040" t="s">
        <v>74</v>
      </c>
      <c r="H1040" s="4" t="s">
        <v>2258</v>
      </c>
      <c r="I1040">
        <v>237821</v>
      </c>
      <c r="J1040" s="8" t="s">
        <v>2347</v>
      </c>
      <c r="K1040" t="s">
        <v>204</v>
      </c>
      <c r="L1040" t="s">
        <v>205</v>
      </c>
      <c r="M1040" t="s">
        <v>135</v>
      </c>
      <c r="N1040">
        <f t="shared" si="51"/>
        <v>9</v>
      </c>
      <c r="O1040">
        <v>1</v>
      </c>
      <c r="P1040" s="6">
        <v>57.38</v>
      </c>
      <c r="Q1040">
        <v>5.74</v>
      </c>
      <c r="R1040">
        <v>51.64</v>
      </c>
      <c r="S1040">
        <v>2.58</v>
      </c>
      <c r="T1040">
        <v>30</v>
      </c>
      <c r="U1040">
        <v>10</v>
      </c>
      <c r="V1040">
        <v>94.22</v>
      </c>
      <c r="W1040" t="s">
        <v>27</v>
      </c>
      <c r="X1040">
        <v>9</v>
      </c>
    </row>
    <row r="1041" spans="1:24" ht="14.25" customHeight="1">
      <c r="A1041" t="s">
        <v>1789</v>
      </c>
      <c r="B1041" t="s">
        <v>2310</v>
      </c>
      <c r="C1041" s="6" t="str">
        <f t="shared" si="49"/>
        <v>February</v>
      </c>
      <c r="D1041" s="6" t="str">
        <f t="shared" si="50"/>
        <v>03</v>
      </c>
      <c r="E1041" t="s">
        <v>607</v>
      </c>
      <c r="F1041" t="s">
        <v>80</v>
      </c>
      <c r="G1041" t="s">
        <v>81</v>
      </c>
      <c r="H1041" s="4" t="s">
        <v>2258</v>
      </c>
      <c r="I1041">
        <v>446140</v>
      </c>
      <c r="J1041" s="8" t="s">
        <v>30</v>
      </c>
      <c r="K1041" t="s">
        <v>208</v>
      </c>
      <c r="L1041" t="s">
        <v>209</v>
      </c>
      <c r="M1041" t="s">
        <v>130</v>
      </c>
      <c r="N1041">
        <f t="shared" si="51"/>
        <v>7</v>
      </c>
      <c r="O1041">
        <v>3</v>
      </c>
      <c r="P1041" s="6">
        <v>153.22999999999999</v>
      </c>
      <c r="Q1041">
        <v>7.66</v>
      </c>
      <c r="R1041">
        <v>452.02999999999992</v>
      </c>
      <c r="S1041">
        <v>22.6</v>
      </c>
      <c r="T1041">
        <v>20</v>
      </c>
      <c r="U1041">
        <v>15</v>
      </c>
      <c r="V1041">
        <v>509.62999999999988</v>
      </c>
      <c r="W1041" t="s">
        <v>34</v>
      </c>
      <c r="X1041">
        <v>25</v>
      </c>
    </row>
    <row r="1042" spans="1:24" ht="14.25" customHeight="1">
      <c r="A1042" t="s">
        <v>1790</v>
      </c>
      <c r="B1042" t="s">
        <v>2300</v>
      </c>
      <c r="C1042" s="6" t="str">
        <f t="shared" si="49"/>
        <v>January</v>
      </c>
      <c r="D1042" s="6" t="str">
        <f t="shared" si="50"/>
        <v>18</v>
      </c>
      <c r="E1042" t="s">
        <v>611</v>
      </c>
      <c r="F1042" t="s">
        <v>80</v>
      </c>
      <c r="G1042" t="s">
        <v>81</v>
      </c>
      <c r="H1042" s="4" t="s">
        <v>2258</v>
      </c>
      <c r="I1042">
        <v>551989</v>
      </c>
      <c r="J1042" s="8" t="s">
        <v>2346</v>
      </c>
      <c r="K1042" t="s">
        <v>212</v>
      </c>
      <c r="L1042" t="s">
        <v>213</v>
      </c>
      <c r="M1042" t="s">
        <v>45</v>
      </c>
      <c r="N1042">
        <f t="shared" si="51"/>
        <v>6</v>
      </c>
      <c r="O1042">
        <v>2</v>
      </c>
      <c r="P1042" s="6">
        <v>40.49</v>
      </c>
      <c r="Q1042">
        <v>6.07</v>
      </c>
      <c r="R1042">
        <v>74.91</v>
      </c>
      <c r="S1042">
        <v>3.75</v>
      </c>
      <c r="T1042">
        <v>30</v>
      </c>
      <c r="U1042">
        <v>0</v>
      </c>
      <c r="V1042">
        <v>108.66</v>
      </c>
      <c r="W1042" t="s">
        <v>27</v>
      </c>
      <c r="X1042">
        <v>30</v>
      </c>
    </row>
    <row r="1043" spans="1:24" ht="14.25" customHeight="1">
      <c r="A1043" t="s">
        <v>1791</v>
      </c>
      <c r="B1043" t="s">
        <v>2281</v>
      </c>
      <c r="C1043" s="6" t="str">
        <f t="shared" si="49"/>
        <v>January</v>
      </c>
      <c r="D1043" s="6" t="str">
        <f t="shared" si="50"/>
        <v>30</v>
      </c>
      <c r="E1043" t="s">
        <v>615</v>
      </c>
      <c r="F1043" t="s">
        <v>21</v>
      </c>
      <c r="G1043" t="s">
        <v>74</v>
      </c>
      <c r="H1043" s="4" t="s">
        <v>2258</v>
      </c>
      <c r="I1043">
        <v>340270</v>
      </c>
      <c r="J1043" s="8" t="s">
        <v>2345</v>
      </c>
      <c r="K1043" t="s">
        <v>216</v>
      </c>
      <c r="L1043" t="s">
        <v>217</v>
      </c>
      <c r="M1043" t="s">
        <v>140</v>
      </c>
      <c r="N1043">
        <f t="shared" si="51"/>
        <v>3</v>
      </c>
      <c r="O1043">
        <v>1</v>
      </c>
      <c r="P1043" s="6">
        <v>155.08000000000001</v>
      </c>
      <c r="Q1043">
        <v>7.75</v>
      </c>
      <c r="R1043">
        <v>147.33000000000001</v>
      </c>
      <c r="S1043">
        <v>7.37</v>
      </c>
      <c r="T1043">
        <v>30</v>
      </c>
      <c r="U1043">
        <v>15</v>
      </c>
      <c r="V1043">
        <v>199.7</v>
      </c>
      <c r="W1043" t="s">
        <v>34</v>
      </c>
      <c r="X1043">
        <v>25</v>
      </c>
    </row>
    <row r="1044" spans="1:24" ht="14.25" customHeight="1">
      <c r="A1044" t="s">
        <v>1792</v>
      </c>
      <c r="B1044" t="s">
        <v>2265</v>
      </c>
      <c r="C1044" s="6" t="str">
        <f t="shared" si="49"/>
        <v>January</v>
      </c>
      <c r="D1044" s="6" t="str">
        <f t="shared" si="50"/>
        <v>15</v>
      </c>
      <c r="E1044" t="s">
        <v>619</v>
      </c>
      <c r="F1044" t="s">
        <v>21</v>
      </c>
      <c r="G1044" t="s">
        <v>68</v>
      </c>
      <c r="H1044" s="4" t="s">
        <v>2258</v>
      </c>
      <c r="I1044">
        <v>728431</v>
      </c>
      <c r="J1044" s="8" t="s">
        <v>30</v>
      </c>
      <c r="K1044" t="s">
        <v>220</v>
      </c>
      <c r="L1044" t="s">
        <v>221</v>
      </c>
      <c r="M1044" t="s">
        <v>55</v>
      </c>
      <c r="N1044">
        <f t="shared" si="51"/>
        <v>5</v>
      </c>
      <c r="O1044">
        <v>1</v>
      </c>
      <c r="P1044" s="6">
        <v>116.65</v>
      </c>
      <c r="Q1044">
        <v>0</v>
      </c>
      <c r="R1044">
        <v>116.65</v>
      </c>
      <c r="S1044">
        <v>5.83</v>
      </c>
      <c r="T1044">
        <v>30</v>
      </c>
      <c r="U1044">
        <v>20</v>
      </c>
      <c r="V1044">
        <v>172.48</v>
      </c>
      <c r="W1044" t="s">
        <v>34</v>
      </c>
      <c r="X1044">
        <v>25</v>
      </c>
    </row>
    <row r="1045" spans="1:24" ht="14.25" customHeight="1">
      <c r="A1045" t="s">
        <v>1793</v>
      </c>
      <c r="B1045" t="s">
        <v>2288</v>
      </c>
      <c r="C1045" s="6" t="str">
        <f t="shared" si="49"/>
        <v>January</v>
      </c>
      <c r="D1045" s="6" t="str">
        <f t="shared" si="50"/>
        <v>27</v>
      </c>
      <c r="E1045" t="s">
        <v>623</v>
      </c>
      <c r="F1045" t="s">
        <v>80</v>
      </c>
      <c r="G1045" t="s">
        <v>81</v>
      </c>
      <c r="H1045" s="4" t="s">
        <v>2258</v>
      </c>
      <c r="I1045">
        <v>289773</v>
      </c>
      <c r="J1045" s="8" t="s">
        <v>2347</v>
      </c>
      <c r="K1045" t="s">
        <v>224</v>
      </c>
      <c r="L1045" t="s">
        <v>225</v>
      </c>
      <c r="M1045" t="s">
        <v>140</v>
      </c>
      <c r="N1045">
        <f t="shared" si="51"/>
        <v>3</v>
      </c>
      <c r="O1045">
        <v>4</v>
      </c>
      <c r="P1045" s="6">
        <v>281.54000000000002</v>
      </c>
      <c r="Q1045">
        <v>42.23</v>
      </c>
      <c r="R1045">
        <v>1083.93</v>
      </c>
      <c r="S1045">
        <v>54.2</v>
      </c>
      <c r="T1045">
        <v>30</v>
      </c>
      <c r="U1045">
        <v>10</v>
      </c>
      <c r="V1045">
        <v>1178.1300000000001</v>
      </c>
      <c r="W1045" t="s">
        <v>27</v>
      </c>
      <c r="X1045">
        <v>20</v>
      </c>
    </row>
    <row r="1046" spans="1:24" ht="14.25" customHeight="1">
      <c r="A1046" t="s">
        <v>1794</v>
      </c>
      <c r="B1046" t="s">
        <v>2294</v>
      </c>
      <c r="C1046" s="6" t="str">
        <f t="shared" si="49"/>
        <v>February</v>
      </c>
      <c r="D1046" s="6" t="str">
        <f t="shared" si="50"/>
        <v>20</v>
      </c>
      <c r="E1046" t="s">
        <v>627</v>
      </c>
      <c r="F1046" t="s">
        <v>21</v>
      </c>
      <c r="G1046" t="s">
        <v>22</v>
      </c>
      <c r="H1046" s="4" t="s">
        <v>2258</v>
      </c>
      <c r="I1046">
        <v>995781</v>
      </c>
      <c r="J1046" s="8" t="s">
        <v>30</v>
      </c>
      <c r="K1046" t="s">
        <v>228</v>
      </c>
      <c r="L1046" t="s">
        <v>229</v>
      </c>
      <c r="M1046" t="s">
        <v>135</v>
      </c>
      <c r="N1046">
        <f t="shared" si="51"/>
        <v>9</v>
      </c>
      <c r="O1046">
        <v>3</v>
      </c>
      <c r="P1046" s="6">
        <v>221.18</v>
      </c>
      <c r="Q1046">
        <v>11.06</v>
      </c>
      <c r="R1046">
        <v>652.48</v>
      </c>
      <c r="S1046">
        <v>32.619999999999997</v>
      </c>
      <c r="T1046">
        <v>10</v>
      </c>
      <c r="U1046">
        <v>15</v>
      </c>
      <c r="V1046">
        <v>710.1</v>
      </c>
      <c r="W1046" t="s">
        <v>27</v>
      </c>
      <c r="X1046">
        <v>21</v>
      </c>
    </row>
    <row r="1047" spans="1:24" ht="14.25" customHeight="1">
      <c r="A1047" t="s">
        <v>1795</v>
      </c>
      <c r="B1047" t="s">
        <v>2310</v>
      </c>
      <c r="C1047" s="6" t="str">
        <f t="shared" si="49"/>
        <v>February</v>
      </c>
      <c r="D1047" s="6" t="str">
        <f t="shared" si="50"/>
        <v>03</v>
      </c>
      <c r="E1047" t="s">
        <v>631</v>
      </c>
      <c r="F1047" t="s">
        <v>21</v>
      </c>
      <c r="G1047" t="s">
        <v>22</v>
      </c>
      <c r="H1047" s="4" t="s">
        <v>2258</v>
      </c>
      <c r="I1047">
        <v>923578</v>
      </c>
      <c r="J1047" s="8" t="s">
        <v>2345</v>
      </c>
      <c r="K1047" t="s">
        <v>232</v>
      </c>
      <c r="L1047" t="s">
        <v>233</v>
      </c>
      <c r="M1047" t="s">
        <v>33</v>
      </c>
      <c r="N1047">
        <f t="shared" si="51"/>
        <v>10</v>
      </c>
      <c r="O1047">
        <v>1</v>
      </c>
      <c r="P1047" s="6">
        <v>125.58</v>
      </c>
      <c r="Q1047">
        <v>0</v>
      </c>
      <c r="R1047">
        <v>125.58</v>
      </c>
      <c r="S1047">
        <v>6.28</v>
      </c>
      <c r="T1047">
        <v>10</v>
      </c>
      <c r="U1047">
        <v>15</v>
      </c>
      <c r="V1047">
        <v>156.86000000000001</v>
      </c>
      <c r="W1047" t="s">
        <v>27</v>
      </c>
      <c r="X1047">
        <v>20</v>
      </c>
    </row>
    <row r="1048" spans="1:24" ht="14.25" customHeight="1">
      <c r="A1048" t="s">
        <v>1796</v>
      </c>
      <c r="B1048" t="s">
        <v>2263</v>
      </c>
      <c r="C1048" s="6" t="str">
        <f t="shared" si="49"/>
        <v>February</v>
      </c>
      <c r="D1048" s="6" t="str">
        <f t="shared" si="50"/>
        <v>21</v>
      </c>
      <c r="E1048" t="s">
        <v>635</v>
      </c>
      <c r="F1048" t="s">
        <v>21</v>
      </c>
      <c r="G1048" t="s">
        <v>74</v>
      </c>
      <c r="H1048" s="4" t="s">
        <v>2258</v>
      </c>
      <c r="I1048">
        <v>299294</v>
      </c>
      <c r="J1048" s="8" t="s">
        <v>30</v>
      </c>
      <c r="K1048" t="s">
        <v>236</v>
      </c>
      <c r="L1048" t="s">
        <v>237</v>
      </c>
      <c r="M1048" t="s">
        <v>40</v>
      </c>
      <c r="N1048">
        <f t="shared" si="51"/>
        <v>6</v>
      </c>
      <c r="O1048">
        <v>5</v>
      </c>
      <c r="P1048" s="6">
        <v>43.66</v>
      </c>
      <c r="Q1048">
        <v>4.37</v>
      </c>
      <c r="R1048">
        <v>213.93</v>
      </c>
      <c r="S1048">
        <v>10.7</v>
      </c>
      <c r="T1048">
        <v>0</v>
      </c>
      <c r="U1048">
        <v>15</v>
      </c>
      <c r="V1048">
        <v>239.63</v>
      </c>
      <c r="W1048" t="s">
        <v>27</v>
      </c>
      <c r="X1048">
        <v>18</v>
      </c>
    </row>
    <row r="1049" spans="1:24" ht="14.25" customHeight="1">
      <c r="A1049" t="s">
        <v>1797</v>
      </c>
      <c r="B1049" t="s">
        <v>2296</v>
      </c>
      <c r="C1049" s="6" t="str">
        <f t="shared" si="49"/>
        <v>February</v>
      </c>
      <c r="D1049" s="6" t="str">
        <f t="shared" si="50"/>
        <v>26</v>
      </c>
      <c r="E1049" t="s">
        <v>639</v>
      </c>
      <c r="F1049" t="s">
        <v>21</v>
      </c>
      <c r="G1049" t="s">
        <v>22</v>
      </c>
      <c r="H1049" s="4" t="s">
        <v>2258</v>
      </c>
      <c r="I1049">
        <v>509675</v>
      </c>
      <c r="J1049" s="8" t="s">
        <v>2347</v>
      </c>
      <c r="K1049" t="s">
        <v>240</v>
      </c>
      <c r="L1049" t="s">
        <v>241</v>
      </c>
      <c r="M1049" t="s">
        <v>98</v>
      </c>
      <c r="N1049">
        <f t="shared" si="51"/>
        <v>4</v>
      </c>
      <c r="O1049">
        <v>3</v>
      </c>
      <c r="P1049" s="6">
        <v>46.45</v>
      </c>
      <c r="Q1049">
        <v>0</v>
      </c>
      <c r="R1049">
        <v>139.35</v>
      </c>
      <c r="S1049">
        <v>6.97</v>
      </c>
      <c r="T1049">
        <v>20</v>
      </c>
      <c r="U1049">
        <v>0</v>
      </c>
      <c r="V1049">
        <v>166.32</v>
      </c>
      <c r="W1049" t="s">
        <v>27</v>
      </c>
      <c r="X1049">
        <v>30</v>
      </c>
    </row>
    <row r="1050" spans="1:24" ht="14.25" customHeight="1">
      <c r="A1050" t="s">
        <v>1798</v>
      </c>
      <c r="B1050" t="s">
        <v>2282</v>
      </c>
      <c r="C1050" s="6" t="str">
        <f t="shared" si="49"/>
        <v>February</v>
      </c>
      <c r="D1050" s="6" t="str">
        <f t="shared" si="50"/>
        <v>07</v>
      </c>
      <c r="E1050" t="s">
        <v>643</v>
      </c>
      <c r="F1050" t="s">
        <v>80</v>
      </c>
      <c r="G1050" t="s">
        <v>81</v>
      </c>
      <c r="H1050" s="4" t="s">
        <v>2258</v>
      </c>
      <c r="I1050">
        <v>477224</v>
      </c>
      <c r="J1050" s="8" t="s">
        <v>2348</v>
      </c>
      <c r="K1050" t="s">
        <v>244</v>
      </c>
      <c r="L1050" t="s">
        <v>245</v>
      </c>
      <c r="M1050" t="s">
        <v>77</v>
      </c>
      <c r="N1050">
        <f t="shared" si="51"/>
        <v>5</v>
      </c>
      <c r="O1050">
        <v>1</v>
      </c>
      <c r="P1050" s="6">
        <v>164.55</v>
      </c>
      <c r="Q1050">
        <v>24.68</v>
      </c>
      <c r="R1050">
        <v>139.87</v>
      </c>
      <c r="S1050">
        <v>6.99</v>
      </c>
      <c r="T1050">
        <v>10</v>
      </c>
      <c r="U1050">
        <v>5</v>
      </c>
      <c r="V1050">
        <v>161.86000000000001</v>
      </c>
      <c r="W1050" t="s">
        <v>27</v>
      </c>
      <c r="X1050">
        <v>18</v>
      </c>
    </row>
    <row r="1051" spans="1:24" ht="14.25" customHeight="1">
      <c r="A1051" t="s">
        <v>1799</v>
      </c>
      <c r="B1051" t="s">
        <v>2284</v>
      </c>
      <c r="C1051" s="6" t="str">
        <f t="shared" si="49"/>
        <v>February</v>
      </c>
      <c r="D1051" s="6" t="str">
        <f t="shared" si="50"/>
        <v>02</v>
      </c>
      <c r="E1051" t="s">
        <v>647</v>
      </c>
      <c r="F1051" t="s">
        <v>21</v>
      </c>
      <c r="G1051" t="s">
        <v>106</v>
      </c>
      <c r="H1051" s="4" t="s">
        <v>2258</v>
      </c>
      <c r="I1051">
        <v>548934</v>
      </c>
      <c r="J1051" s="8" t="s">
        <v>2346</v>
      </c>
      <c r="K1051" t="s">
        <v>248</v>
      </c>
      <c r="L1051" t="s">
        <v>249</v>
      </c>
      <c r="M1051" t="s">
        <v>26</v>
      </c>
      <c r="N1051">
        <f t="shared" si="51"/>
        <v>3</v>
      </c>
      <c r="O1051">
        <v>3</v>
      </c>
      <c r="P1051" s="6">
        <v>139.22</v>
      </c>
      <c r="Q1051">
        <v>0</v>
      </c>
      <c r="R1051">
        <v>417.66</v>
      </c>
      <c r="S1051">
        <v>20.88</v>
      </c>
      <c r="T1051">
        <v>10</v>
      </c>
      <c r="U1051">
        <v>0</v>
      </c>
      <c r="V1051">
        <v>448.54</v>
      </c>
      <c r="W1051" t="s">
        <v>27</v>
      </c>
      <c r="X1051">
        <v>14</v>
      </c>
    </row>
    <row r="1052" spans="1:24" ht="14.25" customHeight="1">
      <c r="A1052" t="s">
        <v>1800</v>
      </c>
      <c r="B1052" t="s">
        <v>2273</v>
      </c>
      <c r="C1052" s="6" t="str">
        <f t="shared" si="49"/>
        <v>January</v>
      </c>
      <c r="D1052" s="6" t="str">
        <f t="shared" si="50"/>
        <v>24</v>
      </c>
      <c r="E1052" t="s">
        <v>651</v>
      </c>
      <c r="F1052" t="s">
        <v>21</v>
      </c>
      <c r="G1052" t="s">
        <v>37</v>
      </c>
      <c r="H1052" s="4" t="s">
        <v>2258</v>
      </c>
      <c r="I1052">
        <v>921939</v>
      </c>
      <c r="J1052" s="8" t="s">
        <v>62</v>
      </c>
      <c r="K1052" t="s">
        <v>252</v>
      </c>
      <c r="L1052" t="s">
        <v>253</v>
      </c>
      <c r="M1052" t="s">
        <v>71</v>
      </c>
      <c r="N1052">
        <f t="shared" si="51"/>
        <v>6</v>
      </c>
      <c r="O1052">
        <v>6</v>
      </c>
      <c r="P1052" s="6">
        <v>128.11000000000001</v>
      </c>
      <c r="Q1052">
        <v>0</v>
      </c>
      <c r="R1052">
        <v>768.66000000000008</v>
      </c>
      <c r="S1052">
        <v>38.43</v>
      </c>
      <c r="T1052">
        <v>30</v>
      </c>
      <c r="U1052">
        <v>0</v>
      </c>
      <c r="V1052">
        <v>837.09</v>
      </c>
      <c r="W1052" t="s">
        <v>34</v>
      </c>
      <c r="X1052">
        <v>25</v>
      </c>
    </row>
    <row r="1053" spans="1:24" ht="14.25" customHeight="1">
      <c r="A1053" t="s">
        <v>1801</v>
      </c>
      <c r="B1053" t="s">
        <v>2265</v>
      </c>
      <c r="C1053" s="6" t="str">
        <f t="shared" si="49"/>
        <v>January</v>
      </c>
      <c r="D1053" s="6" t="str">
        <f t="shared" si="50"/>
        <v>15</v>
      </c>
      <c r="E1053" t="s">
        <v>655</v>
      </c>
      <c r="F1053" t="s">
        <v>21</v>
      </c>
      <c r="G1053" t="s">
        <v>68</v>
      </c>
      <c r="H1053" s="4" t="s">
        <v>2258</v>
      </c>
      <c r="I1053">
        <v>230364</v>
      </c>
      <c r="J1053" s="8" t="s">
        <v>2345</v>
      </c>
      <c r="K1053" t="s">
        <v>256</v>
      </c>
      <c r="L1053" t="s">
        <v>257</v>
      </c>
      <c r="M1053" t="s">
        <v>26</v>
      </c>
      <c r="N1053">
        <f t="shared" si="51"/>
        <v>3</v>
      </c>
      <c r="O1053">
        <v>1</v>
      </c>
      <c r="P1053" s="6">
        <v>161.32</v>
      </c>
      <c r="Q1053">
        <v>16.13</v>
      </c>
      <c r="R1053">
        <v>145.19</v>
      </c>
      <c r="S1053">
        <v>7.26</v>
      </c>
      <c r="T1053">
        <v>10</v>
      </c>
      <c r="U1053">
        <v>10</v>
      </c>
      <c r="V1053">
        <v>172.45</v>
      </c>
      <c r="W1053" t="s">
        <v>34</v>
      </c>
      <c r="X1053">
        <v>25</v>
      </c>
    </row>
    <row r="1054" spans="1:24" ht="14.25" customHeight="1">
      <c r="A1054" t="s">
        <v>1802</v>
      </c>
      <c r="B1054" t="s">
        <v>2283</v>
      </c>
      <c r="C1054" s="6" t="str">
        <f t="shared" si="49"/>
        <v>March</v>
      </c>
      <c r="D1054" s="6" t="str">
        <f t="shared" si="50"/>
        <v>01</v>
      </c>
      <c r="E1054" t="s">
        <v>659</v>
      </c>
      <c r="F1054" t="s">
        <v>101</v>
      </c>
      <c r="G1054" t="s">
        <v>81</v>
      </c>
      <c r="H1054" s="4" t="s">
        <v>2258</v>
      </c>
      <c r="I1054">
        <v>961864</v>
      </c>
      <c r="J1054" s="8" t="s">
        <v>2345</v>
      </c>
      <c r="K1054" t="s">
        <v>260</v>
      </c>
      <c r="L1054" t="s">
        <v>261</v>
      </c>
      <c r="M1054" t="s">
        <v>77</v>
      </c>
      <c r="N1054">
        <f t="shared" si="51"/>
        <v>5</v>
      </c>
      <c r="O1054">
        <v>2</v>
      </c>
      <c r="P1054" s="6">
        <v>66.819999999999993</v>
      </c>
      <c r="Q1054">
        <v>3.34</v>
      </c>
      <c r="R1054">
        <v>130.30000000000001</v>
      </c>
      <c r="S1054">
        <v>6.51</v>
      </c>
      <c r="T1054">
        <v>10</v>
      </c>
      <c r="U1054">
        <v>0</v>
      </c>
      <c r="V1054">
        <v>146.81</v>
      </c>
      <c r="W1054" t="s">
        <v>84</v>
      </c>
      <c r="X1054">
        <v>25</v>
      </c>
    </row>
    <row r="1055" spans="1:24" ht="14.25" customHeight="1">
      <c r="A1055" t="s">
        <v>1803</v>
      </c>
      <c r="B1055" t="s">
        <v>2281</v>
      </c>
      <c r="C1055" s="6" t="str">
        <f t="shared" si="49"/>
        <v>January</v>
      </c>
      <c r="D1055" s="6" t="str">
        <f t="shared" si="50"/>
        <v>30</v>
      </c>
      <c r="E1055" t="s">
        <v>663</v>
      </c>
      <c r="F1055" t="s">
        <v>21</v>
      </c>
      <c r="G1055" t="s">
        <v>37</v>
      </c>
      <c r="H1055" s="4" t="s">
        <v>2258</v>
      </c>
      <c r="I1055">
        <v>432548</v>
      </c>
      <c r="J1055" s="8" t="s">
        <v>2349</v>
      </c>
      <c r="K1055" t="s">
        <v>264</v>
      </c>
      <c r="L1055" t="s">
        <v>265</v>
      </c>
      <c r="M1055" t="s">
        <v>130</v>
      </c>
      <c r="N1055">
        <f t="shared" si="51"/>
        <v>7</v>
      </c>
      <c r="O1055">
        <v>4</v>
      </c>
      <c r="P1055" s="6">
        <v>144.63</v>
      </c>
      <c r="Q1055">
        <v>14.46</v>
      </c>
      <c r="R1055">
        <v>564.05999999999995</v>
      </c>
      <c r="S1055">
        <v>28.2</v>
      </c>
      <c r="T1055">
        <v>0</v>
      </c>
      <c r="U1055">
        <v>10</v>
      </c>
      <c r="V1055">
        <v>602.26</v>
      </c>
      <c r="W1055" t="s">
        <v>27</v>
      </c>
      <c r="X1055">
        <v>22</v>
      </c>
    </row>
    <row r="1056" spans="1:24" ht="14.25" customHeight="1">
      <c r="A1056" t="s">
        <v>1804</v>
      </c>
      <c r="B1056" t="s">
        <v>2295</v>
      </c>
      <c r="C1056" s="6" t="str">
        <f t="shared" si="49"/>
        <v>February</v>
      </c>
      <c r="D1056" s="6" t="str">
        <f t="shared" si="50"/>
        <v>24</v>
      </c>
      <c r="E1056" t="s">
        <v>667</v>
      </c>
      <c r="F1056" t="s">
        <v>21</v>
      </c>
      <c r="G1056" t="s">
        <v>106</v>
      </c>
      <c r="H1056" s="4" t="s">
        <v>2258</v>
      </c>
      <c r="I1056">
        <v>720804</v>
      </c>
      <c r="J1056" s="8" t="s">
        <v>62</v>
      </c>
      <c r="K1056" t="s">
        <v>268</v>
      </c>
      <c r="L1056" t="s">
        <v>269</v>
      </c>
      <c r="M1056" t="s">
        <v>98</v>
      </c>
      <c r="N1056">
        <f t="shared" si="51"/>
        <v>4</v>
      </c>
      <c r="O1056">
        <v>1</v>
      </c>
      <c r="P1056" s="6">
        <v>172.38</v>
      </c>
      <c r="Q1056">
        <v>8.6199999999999992</v>
      </c>
      <c r="R1056">
        <v>163.76</v>
      </c>
      <c r="S1056">
        <v>8.19</v>
      </c>
      <c r="T1056">
        <v>10</v>
      </c>
      <c r="U1056">
        <v>10</v>
      </c>
      <c r="V1056">
        <v>191.95</v>
      </c>
      <c r="W1056" t="s">
        <v>27</v>
      </c>
      <c r="X1056">
        <v>31</v>
      </c>
    </row>
    <row r="1057" spans="1:24" ht="14.25" customHeight="1">
      <c r="A1057" t="s">
        <v>1805</v>
      </c>
      <c r="B1057" t="s">
        <v>2290</v>
      </c>
      <c r="C1057" s="6" t="str">
        <f t="shared" si="49"/>
        <v>February</v>
      </c>
      <c r="D1057" s="6" t="str">
        <f t="shared" si="50"/>
        <v>11</v>
      </c>
      <c r="E1057" t="s">
        <v>671</v>
      </c>
      <c r="F1057" t="s">
        <v>21</v>
      </c>
      <c r="G1057" t="s">
        <v>74</v>
      </c>
      <c r="H1057" s="4" t="s">
        <v>2258</v>
      </c>
      <c r="I1057">
        <v>375381</v>
      </c>
      <c r="J1057" s="8" t="s">
        <v>2349</v>
      </c>
      <c r="K1057" t="s">
        <v>272</v>
      </c>
      <c r="L1057" t="s">
        <v>273</v>
      </c>
      <c r="M1057" t="s">
        <v>33</v>
      </c>
      <c r="N1057">
        <f t="shared" si="51"/>
        <v>10</v>
      </c>
      <c r="O1057">
        <v>5</v>
      </c>
      <c r="P1057" s="6">
        <v>65.739999999999995</v>
      </c>
      <c r="Q1057">
        <v>6.57</v>
      </c>
      <c r="R1057">
        <v>322.13</v>
      </c>
      <c r="S1057">
        <v>16.11</v>
      </c>
      <c r="T1057">
        <v>30</v>
      </c>
      <c r="U1057">
        <v>5</v>
      </c>
      <c r="V1057">
        <v>373.24</v>
      </c>
      <c r="W1057" t="s">
        <v>27</v>
      </c>
      <c r="X1057">
        <v>24</v>
      </c>
    </row>
    <row r="1058" spans="1:24" ht="14.25" customHeight="1">
      <c r="A1058" t="s">
        <v>1806</v>
      </c>
      <c r="B1058" t="s">
        <v>2294</v>
      </c>
      <c r="C1058" s="6" t="str">
        <f t="shared" si="49"/>
        <v>February</v>
      </c>
      <c r="D1058" s="6" t="str">
        <f t="shared" si="50"/>
        <v>20</v>
      </c>
      <c r="E1058" t="s">
        <v>675</v>
      </c>
      <c r="F1058" t="s">
        <v>21</v>
      </c>
      <c r="G1058" t="s">
        <v>22</v>
      </c>
      <c r="H1058" s="4" t="s">
        <v>2258</v>
      </c>
      <c r="I1058">
        <v>728935</v>
      </c>
      <c r="J1058" s="8" t="s">
        <v>30</v>
      </c>
      <c r="K1058" t="s">
        <v>276</v>
      </c>
      <c r="L1058" t="s">
        <v>277</v>
      </c>
      <c r="M1058" t="s">
        <v>89</v>
      </c>
      <c r="N1058">
        <f t="shared" si="51"/>
        <v>7</v>
      </c>
      <c r="O1058">
        <v>2</v>
      </c>
      <c r="P1058" s="6">
        <v>131.36000000000001</v>
      </c>
      <c r="Q1058">
        <v>19.7</v>
      </c>
      <c r="R1058">
        <v>243.02</v>
      </c>
      <c r="S1058">
        <v>12.15</v>
      </c>
      <c r="T1058">
        <v>30</v>
      </c>
      <c r="U1058">
        <v>0</v>
      </c>
      <c r="V1058">
        <v>285.17000000000007</v>
      </c>
      <c r="W1058" t="s">
        <v>27</v>
      </c>
      <c r="X1058">
        <v>32</v>
      </c>
    </row>
    <row r="1059" spans="1:24" ht="14.25" customHeight="1">
      <c r="A1059" t="s">
        <v>1807</v>
      </c>
      <c r="B1059" t="s">
        <v>2307</v>
      </c>
      <c r="C1059" s="6" t="str">
        <f t="shared" si="49"/>
        <v>January</v>
      </c>
      <c r="D1059" s="6" t="str">
        <f t="shared" si="50"/>
        <v>17</v>
      </c>
      <c r="E1059" t="s">
        <v>679</v>
      </c>
      <c r="F1059" t="s">
        <v>21</v>
      </c>
      <c r="G1059" t="s">
        <v>68</v>
      </c>
      <c r="H1059" s="4" t="s">
        <v>2258</v>
      </c>
      <c r="I1059">
        <v>157196</v>
      </c>
      <c r="J1059" s="8" t="s">
        <v>2347</v>
      </c>
      <c r="K1059" t="s">
        <v>280</v>
      </c>
      <c r="L1059" t="s">
        <v>281</v>
      </c>
      <c r="M1059" t="s">
        <v>40</v>
      </c>
      <c r="N1059">
        <f t="shared" si="51"/>
        <v>6</v>
      </c>
      <c r="O1059">
        <v>1</v>
      </c>
      <c r="P1059" s="6">
        <v>223.85</v>
      </c>
      <c r="Q1059">
        <v>11.19</v>
      </c>
      <c r="R1059">
        <v>212.66</v>
      </c>
      <c r="S1059">
        <v>10.63</v>
      </c>
      <c r="T1059">
        <v>10</v>
      </c>
      <c r="U1059">
        <v>0</v>
      </c>
      <c r="V1059">
        <v>233.29</v>
      </c>
      <c r="W1059" t="s">
        <v>27</v>
      </c>
      <c r="X1059">
        <v>16</v>
      </c>
    </row>
    <row r="1060" spans="1:24" ht="14.25" customHeight="1">
      <c r="A1060" t="s">
        <v>1808</v>
      </c>
      <c r="B1060" t="s">
        <v>2317</v>
      </c>
      <c r="C1060" s="6" t="str">
        <f t="shared" si="49"/>
        <v>January</v>
      </c>
      <c r="D1060" s="6" t="str">
        <f t="shared" si="50"/>
        <v>05</v>
      </c>
      <c r="E1060" t="s">
        <v>683</v>
      </c>
      <c r="F1060" t="s">
        <v>101</v>
      </c>
      <c r="G1060" t="s">
        <v>81</v>
      </c>
      <c r="H1060" s="4" t="s">
        <v>2258</v>
      </c>
      <c r="I1060">
        <v>143822</v>
      </c>
      <c r="J1060" s="8" t="s">
        <v>2349</v>
      </c>
      <c r="K1060" t="s">
        <v>284</v>
      </c>
      <c r="L1060" t="s">
        <v>285</v>
      </c>
      <c r="M1060" t="s">
        <v>33</v>
      </c>
      <c r="N1060">
        <f t="shared" si="51"/>
        <v>10</v>
      </c>
      <c r="O1060">
        <v>3</v>
      </c>
      <c r="P1060" s="6">
        <v>110.96</v>
      </c>
      <c r="Q1060">
        <v>16.64</v>
      </c>
      <c r="R1060">
        <v>316.24</v>
      </c>
      <c r="S1060">
        <v>15.81</v>
      </c>
      <c r="T1060">
        <v>10</v>
      </c>
      <c r="U1060">
        <v>0</v>
      </c>
      <c r="V1060">
        <v>342.05</v>
      </c>
      <c r="W1060" t="s">
        <v>27</v>
      </c>
      <c r="X1060">
        <v>25</v>
      </c>
    </row>
    <row r="1061" spans="1:24" ht="14.25" customHeight="1">
      <c r="A1061" t="s">
        <v>1809</v>
      </c>
      <c r="B1061" t="s">
        <v>2264</v>
      </c>
      <c r="C1061" s="6" t="str">
        <f t="shared" si="49"/>
        <v>January</v>
      </c>
      <c r="D1061" s="6" t="str">
        <f t="shared" si="50"/>
        <v>29</v>
      </c>
      <c r="E1061" t="s">
        <v>687</v>
      </c>
      <c r="F1061" t="s">
        <v>21</v>
      </c>
      <c r="G1061" t="s">
        <v>68</v>
      </c>
      <c r="H1061" s="4" t="s">
        <v>2258</v>
      </c>
      <c r="I1061">
        <v>492575</v>
      </c>
      <c r="J1061" s="8" t="s">
        <v>2346</v>
      </c>
      <c r="K1061" t="s">
        <v>288</v>
      </c>
      <c r="L1061" t="s">
        <v>289</v>
      </c>
      <c r="M1061" t="s">
        <v>65</v>
      </c>
      <c r="N1061">
        <f t="shared" si="51"/>
        <v>6</v>
      </c>
      <c r="O1061">
        <v>2</v>
      </c>
      <c r="P1061" s="6">
        <v>102.91</v>
      </c>
      <c r="Q1061">
        <v>5.15</v>
      </c>
      <c r="R1061">
        <v>200.67</v>
      </c>
      <c r="S1061">
        <v>10.029999999999999</v>
      </c>
      <c r="T1061">
        <v>30</v>
      </c>
      <c r="U1061">
        <v>20</v>
      </c>
      <c r="V1061">
        <v>260.7</v>
      </c>
      <c r="W1061" t="s">
        <v>27</v>
      </c>
      <c r="X1061">
        <v>20</v>
      </c>
    </row>
    <row r="1062" spans="1:24" ht="14.25" customHeight="1">
      <c r="A1062" t="s">
        <v>1810</v>
      </c>
      <c r="B1062" t="s">
        <v>2301</v>
      </c>
      <c r="C1062" s="6" t="str">
        <f t="shared" si="49"/>
        <v>January</v>
      </c>
      <c r="D1062" s="6" t="str">
        <f t="shared" si="50"/>
        <v>04</v>
      </c>
      <c r="E1062" t="s">
        <v>691</v>
      </c>
      <c r="F1062" t="s">
        <v>21</v>
      </c>
      <c r="G1062" t="s">
        <v>74</v>
      </c>
      <c r="H1062" s="4" t="s">
        <v>2258</v>
      </c>
      <c r="I1062">
        <v>113265</v>
      </c>
      <c r="J1062" s="8" t="s">
        <v>30</v>
      </c>
      <c r="K1062" t="s">
        <v>292</v>
      </c>
      <c r="L1062" t="s">
        <v>293</v>
      </c>
      <c r="M1062" t="s">
        <v>22</v>
      </c>
      <c r="N1062">
        <f t="shared" si="51"/>
        <v>6</v>
      </c>
      <c r="O1062">
        <v>1</v>
      </c>
      <c r="P1062" s="6">
        <v>106.71</v>
      </c>
      <c r="Q1062">
        <v>0</v>
      </c>
      <c r="R1062">
        <v>106.71</v>
      </c>
      <c r="S1062">
        <v>5.34</v>
      </c>
      <c r="T1062">
        <v>20</v>
      </c>
      <c r="U1062">
        <v>10</v>
      </c>
      <c r="V1062">
        <v>142.05000000000001</v>
      </c>
      <c r="W1062" t="s">
        <v>27</v>
      </c>
      <c r="X1062">
        <v>25</v>
      </c>
    </row>
    <row r="1063" spans="1:24" ht="14.25" customHeight="1">
      <c r="A1063" t="s">
        <v>1811</v>
      </c>
      <c r="B1063" t="s">
        <v>2311</v>
      </c>
      <c r="C1063" s="6" t="str">
        <f t="shared" si="49"/>
        <v>January</v>
      </c>
      <c r="D1063" s="6" t="str">
        <f t="shared" si="50"/>
        <v>10</v>
      </c>
      <c r="E1063" t="s">
        <v>695</v>
      </c>
      <c r="F1063" t="s">
        <v>21</v>
      </c>
      <c r="G1063" t="s">
        <v>68</v>
      </c>
      <c r="H1063" s="4" t="s">
        <v>2258</v>
      </c>
      <c r="I1063">
        <v>711868</v>
      </c>
      <c r="J1063" s="8" t="s">
        <v>30</v>
      </c>
      <c r="K1063" t="s">
        <v>296</v>
      </c>
      <c r="L1063" t="s">
        <v>297</v>
      </c>
      <c r="M1063" t="s">
        <v>45</v>
      </c>
      <c r="N1063">
        <f t="shared" si="51"/>
        <v>6</v>
      </c>
      <c r="O1063">
        <v>3</v>
      </c>
      <c r="P1063" s="6">
        <v>152.11000000000001</v>
      </c>
      <c r="Q1063">
        <v>0</v>
      </c>
      <c r="R1063">
        <v>456.33</v>
      </c>
      <c r="S1063">
        <v>22.82</v>
      </c>
      <c r="T1063">
        <v>0</v>
      </c>
      <c r="U1063">
        <v>10</v>
      </c>
      <c r="V1063">
        <v>489.15</v>
      </c>
      <c r="W1063" t="s">
        <v>27</v>
      </c>
      <c r="X1063">
        <v>27</v>
      </c>
    </row>
    <row r="1064" spans="1:24" ht="14.25" customHeight="1">
      <c r="A1064" t="s">
        <v>1812</v>
      </c>
      <c r="B1064" t="s">
        <v>2320</v>
      </c>
      <c r="C1064" s="6" t="str">
        <f t="shared" si="49"/>
        <v>February</v>
      </c>
      <c r="D1064" s="6" t="str">
        <f t="shared" si="50"/>
        <v>25</v>
      </c>
      <c r="E1064" t="s">
        <v>699</v>
      </c>
      <c r="F1064" t="s">
        <v>21</v>
      </c>
      <c r="G1064" t="s">
        <v>37</v>
      </c>
      <c r="H1064" s="4" t="s">
        <v>2258</v>
      </c>
      <c r="I1064">
        <v>411072</v>
      </c>
      <c r="J1064" s="8" t="s">
        <v>2348</v>
      </c>
      <c r="K1064" t="s">
        <v>300</v>
      </c>
      <c r="L1064" t="s">
        <v>301</v>
      </c>
      <c r="M1064" t="s">
        <v>177</v>
      </c>
      <c r="N1064">
        <f t="shared" si="51"/>
        <v>5</v>
      </c>
      <c r="O1064">
        <v>3</v>
      </c>
      <c r="P1064" s="6">
        <v>65.260000000000005</v>
      </c>
      <c r="Q1064">
        <v>9.7899999999999991</v>
      </c>
      <c r="R1064">
        <v>185.99</v>
      </c>
      <c r="S1064">
        <v>9.3000000000000007</v>
      </c>
      <c r="T1064">
        <v>0</v>
      </c>
      <c r="U1064">
        <v>10</v>
      </c>
      <c r="V1064">
        <v>205.29</v>
      </c>
      <c r="W1064" t="s">
        <v>27</v>
      </c>
      <c r="X1064">
        <v>32</v>
      </c>
    </row>
    <row r="1065" spans="1:24" ht="14.25" customHeight="1">
      <c r="A1065" t="s">
        <v>1813</v>
      </c>
      <c r="B1065" t="s">
        <v>2307</v>
      </c>
      <c r="C1065" s="6" t="str">
        <f t="shared" si="49"/>
        <v>January</v>
      </c>
      <c r="D1065" s="6" t="str">
        <f t="shared" si="50"/>
        <v>17</v>
      </c>
      <c r="E1065" t="s">
        <v>703</v>
      </c>
      <c r="F1065" t="s">
        <v>21</v>
      </c>
      <c r="G1065" t="s">
        <v>37</v>
      </c>
      <c r="H1065" s="4" t="s">
        <v>2258</v>
      </c>
      <c r="I1065">
        <v>369670</v>
      </c>
      <c r="J1065" s="8" t="s">
        <v>2347</v>
      </c>
      <c r="K1065" t="s">
        <v>304</v>
      </c>
      <c r="L1065" t="s">
        <v>305</v>
      </c>
      <c r="M1065" t="s">
        <v>45</v>
      </c>
      <c r="N1065">
        <f t="shared" si="51"/>
        <v>6</v>
      </c>
      <c r="O1065">
        <v>3</v>
      </c>
      <c r="P1065" s="6">
        <v>109.92</v>
      </c>
      <c r="Q1065">
        <v>10.99</v>
      </c>
      <c r="R1065">
        <v>318.77</v>
      </c>
      <c r="S1065">
        <v>15.94</v>
      </c>
      <c r="T1065">
        <v>20</v>
      </c>
      <c r="U1065">
        <v>0</v>
      </c>
      <c r="V1065">
        <v>354.71</v>
      </c>
      <c r="W1065" t="s">
        <v>34</v>
      </c>
      <c r="X1065">
        <v>25</v>
      </c>
    </row>
    <row r="1066" spans="1:24" ht="14.25" customHeight="1">
      <c r="A1066" t="s">
        <v>1814</v>
      </c>
      <c r="B1066" t="s">
        <v>2311</v>
      </c>
      <c r="C1066" s="6" t="str">
        <f t="shared" si="49"/>
        <v>January</v>
      </c>
      <c r="D1066" s="6" t="str">
        <f t="shared" si="50"/>
        <v>10</v>
      </c>
      <c r="E1066" t="s">
        <v>707</v>
      </c>
      <c r="F1066" t="s">
        <v>21</v>
      </c>
      <c r="G1066" t="s">
        <v>68</v>
      </c>
      <c r="H1066" s="4" t="s">
        <v>2258</v>
      </c>
      <c r="I1066">
        <v>552333</v>
      </c>
      <c r="J1066" s="8" t="s">
        <v>2349</v>
      </c>
      <c r="K1066" t="s">
        <v>308</v>
      </c>
      <c r="L1066" t="s">
        <v>309</v>
      </c>
      <c r="M1066" t="s">
        <v>33</v>
      </c>
      <c r="N1066">
        <f t="shared" si="51"/>
        <v>10</v>
      </c>
      <c r="O1066">
        <v>1</v>
      </c>
      <c r="P1066" s="6">
        <v>130.03</v>
      </c>
      <c r="Q1066">
        <v>6.5</v>
      </c>
      <c r="R1066">
        <v>123.53</v>
      </c>
      <c r="S1066">
        <v>6.18</v>
      </c>
      <c r="T1066">
        <v>10</v>
      </c>
      <c r="U1066">
        <v>20</v>
      </c>
      <c r="V1066">
        <v>159.71</v>
      </c>
      <c r="W1066" t="s">
        <v>27</v>
      </c>
      <c r="X1066">
        <v>25</v>
      </c>
    </row>
    <row r="1067" spans="1:24" ht="14.25" customHeight="1">
      <c r="A1067" t="s">
        <v>1815</v>
      </c>
      <c r="B1067" t="s">
        <v>2307</v>
      </c>
      <c r="C1067" s="6" t="str">
        <f t="shared" si="49"/>
        <v>January</v>
      </c>
      <c r="D1067" s="6" t="str">
        <f t="shared" si="50"/>
        <v>17</v>
      </c>
      <c r="E1067" t="s">
        <v>711</v>
      </c>
      <c r="F1067" t="s">
        <v>21</v>
      </c>
      <c r="G1067" t="s">
        <v>68</v>
      </c>
      <c r="H1067" s="4" t="s">
        <v>2258</v>
      </c>
      <c r="I1067">
        <v>179888</v>
      </c>
      <c r="J1067" s="8" t="s">
        <v>30</v>
      </c>
      <c r="K1067" t="s">
        <v>312</v>
      </c>
      <c r="L1067" t="s">
        <v>313</v>
      </c>
      <c r="M1067" t="s">
        <v>65</v>
      </c>
      <c r="N1067">
        <f t="shared" si="51"/>
        <v>6</v>
      </c>
      <c r="O1067">
        <v>3</v>
      </c>
      <c r="P1067" s="6">
        <v>219.09</v>
      </c>
      <c r="Q1067">
        <v>32.86</v>
      </c>
      <c r="R1067">
        <v>624.41</v>
      </c>
      <c r="S1067">
        <v>31.22</v>
      </c>
      <c r="T1067">
        <v>10</v>
      </c>
      <c r="U1067">
        <v>20</v>
      </c>
      <c r="V1067">
        <v>685.63</v>
      </c>
      <c r="W1067" t="s">
        <v>27</v>
      </c>
      <c r="X1067">
        <v>30</v>
      </c>
    </row>
    <row r="1068" spans="1:24" ht="14.25" customHeight="1">
      <c r="A1068" t="s">
        <v>1816</v>
      </c>
      <c r="B1068" t="s">
        <v>2283</v>
      </c>
      <c r="C1068" s="6" t="str">
        <f t="shared" si="49"/>
        <v>March</v>
      </c>
      <c r="D1068" s="6" t="str">
        <f t="shared" si="50"/>
        <v>01</v>
      </c>
      <c r="E1068" t="s">
        <v>715</v>
      </c>
      <c r="F1068" t="s">
        <v>21</v>
      </c>
      <c r="G1068" t="s">
        <v>106</v>
      </c>
      <c r="H1068" s="4" t="s">
        <v>2258</v>
      </c>
      <c r="I1068">
        <v>354793</v>
      </c>
      <c r="J1068" s="8" t="s">
        <v>2349</v>
      </c>
      <c r="K1068" t="s">
        <v>316</v>
      </c>
      <c r="L1068" t="s">
        <v>317</v>
      </c>
      <c r="M1068" t="s">
        <v>65</v>
      </c>
      <c r="N1068">
        <f t="shared" si="51"/>
        <v>6</v>
      </c>
      <c r="O1068">
        <v>1</v>
      </c>
      <c r="P1068" s="6">
        <v>125.88</v>
      </c>
      <c r="Q1068">
        <v>12.59</v>
      </c>
      <c r="R1068">
        <v>113.29</v>
      </c>
      <c r="S1068">
        <v>5.66</v>
      </c>
      <c r="T1068">
        <v>10</v>
      </c>
      <c r="U1068">
        <v>15</v>
      </c>
      <c r="V1068">
        <v>143.94999999999999</v>
      </c>
      <c r="W1068" t="s">
        <v>27</v>
      </c>
      <c r="X1068">
        <v>21</v>
      </c>
    </row>
    <row r="1069" spans="1:24" ht="14.25" customHeight="1">
      <c r="A1069" t="s">
        <v>1817</v>
      </c>
      <c r="B1069" t="s">
        <v>2305</v>
      </c>
      <c r="C1069" s="6" t="str">
        <f t="shared" si="49"/>
        <v>January</v>
      </c>
      <c r="D1069" s="6" t="str">
        <f t="shared" si="50"/>
        <v>20</v>
      </c>
      <c r="E1069" t="s">
        <v>719</v>
      </c>
      <c r="F1069" t="s">
        <v>21</v>
      </c>
      <c r="G1069" t="s">
        <v>106</v>
      </c>
      <c r="H1069" s="4" t="s">
        <v>2258</v>
      </c>
      <c r="I1069">
        <v>658086</v>
      </c>
      <c r="J1069" s="8" t="s">
        <v>2346</v>
      </c>
      <c r="K1069" t="s">
        <v>320</v>
      </c>
      <c r="L1069" t="s">
        <v>321</v>
      </c>
      <c r="M1069" t="s">
        <v>50</v>
      </c>
      <c r="N1069">
        <f t="shared" si="51"/>
        <v>5</v>
      </c>
      <c r="O1069">
        <v>1</v>
      </c>
      <c r="P1069" s="6">
        <v>23.63</v>
      </c>
      <c r="Q1069">
        <v>3.54</v>
      </c>
      <c r="R1069">
        <v>20.09</v>
      </c>
      <c r="S1069">
        <v>1</v>
      </c>
      <c r="T1069">
        <v>20</v>
      </c>
      <c r="U1069">
        <v>0</v>
      </c>
      <c r="V1069">
        <v>41.09</v>
      </c>
      <c r="W1069" t="s">
        <v>27</v>
      </c>
      <c r="X1069">
        <v>22</v>
      </c>
    </row>
    <row r="1070" spans="1:24" ht="14.25" customHeight="1">
      <c r="A1070" t="s">
        <v>1818</v>
      </c>
      <c r="B1070" t="s">
        <v>2273</v>
      </c>
      <c r="C1070" s="6" t="str">
        <f t="shared" si="49"/>
        <v>January</v>
      </c>
      <c r="D1070" s="6" t="str">
        <f t="shared" si="50"/>
        <v>24</v>
      </c>
      <c r="E1070" t="s">
        <v>723</v>
      </c>
      <c r="F1070" t="s">
        <v>21</v>
      </c>
      <c r="G1070" t="s">
        <v>74</v>
      </c>
      <c r="H1070" s="4" t="s">
        <v>2258</v>
      </c>
      <c r="I1070">
        <v>587947</v>
      </c>
      <c r="J1070" s="8" t="s">
        <v>2346</v>
      </c>
      <c r="K1070" t="s">
        <v>324</v>
      </c>
      <c r="L1070" t="s">
        <v>325</v>
      </c>
      <c r="M1070" t="s">
        <v>22</v>
      </c>
      <c r="N1070">
        <f t="shared" si="51"/>
        <v>6</v>
      </c>
      <c r="O1070">
        <v>4</v>
      </c>
      <c r="P1070" s="6">
        <v>140.13</v>
      </c>
      <c r="Q1070">
        <v>7.01</v>
      </c>
      <c r="R1070">
        <v>553.51</v>
      </c>
      <c r="S1070">
        <v>27.68</v>
      </c>
      <c r="T1070">
        <v>10</v>
      </c>
      <c r="U1070">
        <v>15</v>
      </c>
      <c r="V1070">
        <v>606.18999999999994</v>
      </c>
      <c r="W1070" t="s">
        <v>27</v>
      </c>
      <c r="X1070">
        <v>22</v>
      </c>
    </row>
    <row r="1071" spans="1:24" ht="14.25" customHeight="1">
      <c r="A1071" t="s">
        <v>1819</v>
      </c>
      <c r="B1071" t="s">
        <v>2317</v>
      </c>
      <c r="C1071" s="6" t="str">
        <f t="shared" si="49"/>
        <v>January</v>
      </c>
      <c r="D1071" s="6" t="str">
        <f t="shared" si="50"/>
        <v>05</v>
      </c>
      <c r="E1071" t="s">
        <v>727</v>
      </c>
      <c r="F1071" t="s">
        <v>21</v>
      </c>
      <c r="G1071" t="s">
        <v>106</v>
      </c>
      <c r="H1071" s="4" t="s">
        <v>2258</v>
      </c>
      <c r="I1071">
        <v>254607</v>
      </c>
      <c r="J1071" s="8" t="s">
        <v>2345</v>
      </c>
      <c r="K1071" t="s">
        <v>328</v>
      </c>
      <c r="L1071" t="s">
        <v>329</v>
      </c>
      <c r="M1071" t="s">
        <v>89</v>
      </c>
      <c r="N1071">
        <f t="shared" si="51"/>
        <v>7</v>
      </c>
      <c r="O1071">
        <v>2</v>
      </c>
      <c r="P1071" s="6">
        <v>124.87</v>
      </c>
      <c r="Q1071">
        <v>6.24</v>
      </c>
      <c r="R1071">
        <v>243.5</v>
      </c>
      <c r="S1071">
        <v>12.18</v>
      </c>
      <c r="T1071">
        <v>20</v>
      </c>
      <c r="U1071">
        <v>10</v>
      </c>
      <c r="V1071">
        <v>285.68</v>
      </c>
      <c r="W1071" t="s">
        <v>34</v>
      </c>
      <c r="X1071">
        <v>25</v>
      </c>
    </row>
    <row r="1072" spans="1:24" ht="14.25" customHeight="1">
      <c r="A1072" t="s">
        <v>1820</v>
      </c>
      <c r="B1072" t="s">
        <v>2310</v>
      </c>
      <c r="C1072" s="6" t="str">
        <f t="shared" si="49"/>
        <v>February</v>
      </c>
      <c r="D1072" s="6" t="str">
        <f t="shared" si="50"/>
        <v>03</v>
      </c>
      <c r="E1072" t="s">
        <v>731</v>
      </c>
      <c r="F1072" t="s">
        <v>21</v>
      </c>
      <c r="G1072" t="s">
        <v>74</v>
      </c>
      <c r="H1072" s="4" t="s">
        <v>2258</v>
      </c>
      <c r="I1072">
        <v>390395</v>
      </c>
      <c r="J1072" s="8" t="s">
        <v>62</v>
      </c>
      <c r="K1072" t="s">
        <v>332</v>
      </c>
      <c r="L1072" t="s">
        <v>333</v>
      </c>
      <c r="M1072" t="s">
        <v>130</v>
      </c>
      <c r="N1072">
        <f t="shared" si="51"/>
        <v>7</v>
      </c>
      <c r="O1072">
        <v>1</v>
      </c>
      <c r="P1072" s="6">
        <v>79.81</v>
      </c>
      <c r="Q1072">
        <v>11.97</v>
      </c>
      <c r="R1072">
        <v>67.84</v>
      </c>
      <c r="S1072">
        <v>3.39</v>
      </c>
      <c r="T1072">
        <v>0</v>
      </c>
      <c r="U1072">
        <v>10</v>
      </c>
      <c r="V1072">
        <v>81.23</v>
      </c>
      <c r="W1072" t="s">
        <v>27</v>
      </c>
      <c r="X1072">
        <v>29</v>
      </c>
    </row>
    <row r="1073" spans="1:24" ht="14.25" customHeight="1">
      <c r="A1073" t="s">
        <v>1821</v>
      </c>
      <c r="B1073" t="s">
        <v>2308</v>
      </c>
      <c r="C1073" s="6" t="str">
        <f t="shared" si="49"/>
        <v>January</v>
      </c>
      <c r="D1073" s="6" t="str">
        <f t="shared" si="50"/>
        <v>06</v>
      </c>
      <c r="E1073" t="s">
        <v>735</v>
      </c>
      <c r="F1073" t="s">
        <v>21</v>
      </c>
      <c r="G1073" t="s">
        <v>68</v>
      </c>
      <c r="H1073" s="4" t="s">
        <v>2258</v>
      </c>
      <c r="I1073">
        <v>572032</v>
      </c>
      <c r="J1073" s="8" t="s">
        <v>2345</v>
      </c>
      <c r="K1073" t="s">
        <v>336</v>
      </c>
      <c r="L1073" t="s">
        <v>337</v>
      </c>
      <c r="M1073" t="s">
        <v>33</v>
      </c>
      <c r="N1073">
        <f t="shared" si="51"/>
        <v>10</v>
      </c>
      <c r="O1073">
        <v>1</v>
      </c>
      <c r="P1073" s="6">
        <v>206.52</v>
      </c>
      <c r="Q1073">
        <v>10.33</v>
      </c>
      <c r="R1073">
        <v>196.19</v>
      </c>
      <c r="S1073">
        <v>9.81</v>
      </c>
      <c r="T1073">
        <v>10</v>
      </c>
      <c r="U1073">
        <v>5</v>
      </c>
      <c r="V1073">
        <v>221</v>
      </c>
      <c r="W1073" t="s">
        <v>27</v>
      </c>
      <c r="X1073">
        <v>19</v>
      </c>
    </row>
    <row r="1074" spans="1:24" ht="14.25" customHeight="1">
      <c r="A1074" t="s">
        <v>1822</v>
      </c>
      <c r="B1074" t="s">
        <v>2274</v>
      </c>
      <c r="C1074" s="6" t="str">
        <f t="shared" si="49"/>
        <v>February</v>
      </c>
      <c r="D1074" s="6" t="str">
        <f t="shared" si="50"/>
        <v>22</v>
      </c>
      <c r="E1074" t="s">
        <v>739</v>
      </c>
      <c r="F1074" t="s">
        <v>21</v>
      </c>
      <c r="G1074" t="s">
        <v>74</v>
      </c>
      <c r="H1074" s="4" t="s">
        <v>2258</v>
      </c>
      <c r="I1074">
        <v>323457</v>
      </c>
      <c r="J1074" s="8" t="s">
        <v>2345</v>
      </c>
      <c r="K1074" t="s">
        <v>340</v>
      </c>
      <c r="L1074" t="s">
        <v>341</v>
      </c>
      <c r="M1074" t="s">
        <v>140</v>
      </c>
      <c r="N1074">
        <f t="shared" si="51"/>
        <v>3</v>
      </c>
      <c r="O1074">
        <v>3</v>
      </c>
      <c r="P1074" s="6">
        <v>128.41999999999999</v>
      </c>
      <c r="Q1074">
        <v>0</v>
      </c>
      <c r="R1074">
        <v>385.26</v>
      </c>
      <c r="S1074">
        <v>19.260000000000002</v>
      </c>
      <c r="T1074">
        <v>0</v>
      </c>
      <c r="U1074">
        <v>15</v>
      </c>
      <c r="V1074">
        <v>419.52</v>
      </c>
      <c r="W1074" t="s">
        <v>27</v>
      </c>
      <c r="X1074">
        <v>35</v>
      </c>
    </row>
    <row r="1075" spans="1:24" ht="14.25" customHeight="1">
      <c r="A1075" t="s">
        <v>1823</v>
      </c>
      <c r="B1075" t="s">
        <v>2279</v>
      </c>
      <c r="C1075" s="6" t="str">
        <f t="shared" si="49"/>
        <v>January</v>
      </c>
      <c r="D1075" s="6" t="str">
        <f t="shared" si="50"/>
        <v>02</v>
      </c>
      <c r="E1075" t="s">
        <v>743</v>
      </c>
      <c r="F1075" t="s">
        <v>21</v>
      </c>
      <c r="G1075" t="s">
        <v>22</v>
      </c>
      <c r="H1075" s="4" t="s">
        <v>2258</v>
      </c>
      <c r="I1075">
        <v>608670</v>
      </c>
      <c r="J1075" s="8" t="s">
        <v>30</v>
      </c>
      <c r="K1075" t="s">
        <v>344</v>
      </c>
      <c r="L1075" t="s">
        <v>345</v>
      </c>
      <c r="M1075" t="s">
        <v>22</v>
      </c>
      <c r="N1075">
        <f t="shared" si="51"/>
        <v>6</v>
      </c>
      <c r="O1075">
        <v>1</v>
      </c>
      <c r="P1075" s="6">
        <v>158.09</v>
      </c>
      <c r="Q1075">
        <v>7.9</v>
      </c>
      <c r="R1075">
        <v>150.19</v>
      </c>
      <c r="S1075">
        <v>7.51</v>
      </c>
      <c r="T1075">
        <v>20</v>
      </c>
      <c r="U1075">
        <v>20</v>
      </c>
      <c r="V1075">
        <v>197.7</v>
      </c>
      <c r="W1075" t="s">
        <v>84</v>
      </c>
      <c r="X1075">
        <v>25</v>
      </c>
    </row>
    <row r="1076" spans="1:24" ht="14.25" customHeight="1">
      <c r="A1076" t="s">
        <v>1824</v>
      </c>
      <c r="B1076" t="s">
        <v>2318</v>
      </c>
      <c r="C1076" s="6" t="str">
        <f t="shared" si="49"/>
        <v>January</v>
      </c>
      <c r="D1076" s="6" t="str">
        <f t="shared" si="50"/>
        <v>13</v>
      </c>
      <c r="E1076" t="s">
        <v>747</v>
      </c>
      <c r="F1076" t="s">
        <v>21</v>
      </c>
      <c r="G1076" t="s">
        <v>74</v>
      </c>
      <c r="H1076" s="4" t="s">
        <v>2258</v>
      </c>
      <c r="I1076">
        <v>839945</v>
      </c>
      <c r="J1076" s="8" t="s">
        <v>62</v>
      </c>
      <c r="K1076" t="s">
        <v>348</v>
      </c>
      <c r="L1076" t="s">
        <v>349</v>
      </c>
      <c r="M1076" t="s">
        <v>33</v>
      </c>
      <c r="N1076">
        <f t="shared" si="51"/>
        <v>10</v>
      </c>
      <c r="O1076">
        <v>1</v>
      </c>
      <c r="P1076" s="6">
        <v>50.69</v>
      </c>
      <c r="Q1076">
        <v>5.07</v>
      </c>
      <c r="R1076">
        <v>45.62</v>
      </c>
      <c r="S1076">
        <v>2.2799999999999998</v>
      </c>
      <c r="T1076">
        <v>20</v>
      </c>
      <c r="U1076">
        <v>10</v>
      </c>
      <c r="V1076">
        <v>77.900000000000006</v>
      </c>
      <c r="W1076" t="s">
        <v>27</v>
      </c>
      <c r="X1076">
        <v>20</v>
      </c>
    </row>
    <row r="1077" spans="1:24" ht="14.25" customHeight="1">
      <c r="A1077" t="s">
        <v>1825</v>
      </c>
      <c r="B1077" t="s">
        <v>2266</v>
      </c>
      <c r="C1077" s="6" t="str">
        <f t="shared" si="49"/>
        <v>February</v>
      </c>
      <c r="D1077" s="6" t="str">
        <f t="shared" si="50"/>
        <v>12</v>
      </c>
      <c r="E1077" t="s">
        <v>751</v>
      </c>
      <c r="F1077" t="s">
        <v>21</v>
      </c>
      <c r="G1077" t="s">
        <v>74</v>
      </c>
      <c r="H1077" s="4" t="s">
        <v>2258</v>
      </c>
      <c r="I1077">
        <v>731121</v>
      </c>
      <c r="J1077" s="8" t="s">
        <v>30</v>
      </c>
      <c r="K1077" t="s">
        <v>352</v>
      </c>
      <c r="L1077" t="s">
        <v>353</v>
      </c>
      <c r="M1077" t="s">
        <v>140</v>
      </c>
      <c r="N1077">
        <f t="shared" si="51"/>
        <v>3</v>
      </c>
      <c r="O1077">
        <v>4</v>
      </c>
      <c r="P1077" s="6">
        <v>41.05</v>
      </c>
      <c r="Q1077">
        <v>2.0499999999999998</v>
      </c>
      <c r="R1077">
        <v>162.15</v>
      </c>
      <c r="S1077">
        <v>8.11</v>
      </c>
      <c r="T1077">
        <v>0</v>
      </c>
      <c r="U1077">
        <v>0</v>
      </c>
      <c r="V1077">
        <v>170.26</v>
      </c>
      <c r="W1077" t="s">
        <v>27</v>
      </c>
      <c r="X1077">
        <v>9</v>
      </c>
    </row>
    <row r="1078" spans="1:24" ht="14.25" customHeight="1">
      <c r="A1078" t="s">
        <v>1826</v>
      </c>
      <c r="B1078" t="s">
        <v>2266</v>
      </c>
      <c r="C1078" s="6" t="str">
        <f t="shared" si="49"/>
        <v>February</v>
      </c>
      <c r="D1078" s="6" t="str">
        <f t="shared" si="50"/>
        <v>12</v>
      </c>
      <c r="E1078" t="s">
        <v>755</v>
      </c>
      <c r="F1078" t="s">
        <v>21</v>
      </c>
      <c r="G1078" t="s">
        <v>68</v>
      </c>
      <c r="H1078" s="4" t="s">
        <v>2258</v>
      </c>
      <c r="I1078">
        <v>764467</v>
      </c>
      <c r="J1078" s="8" t="s">
        <v>30</v>
      </c>
      <c r="K1078" t="s">
        <v>356</v>
      </c>
      <c r="L1078" t="s">
        <v>357</v>
      </c>
      <c r="M1078" t="s">
        <v>177</v>
      </c>
      <c r="N1078">
        <f t="shared" si="51"/>
        <v>5</v>
      </c>
      <c r="O1078">
        <v>1</v>
      </c>
      <c r="P1078" s="6">
        <v>122.48</v>
      </c>
      <c r="Q1078">
        <v>12.25</v>
      </c>
      <c r="R1078">
        <v>110.23</v>
      </c>
      <c r="S1078">
        <v>5.51</v>
      </c>
      <c r="T1078">
        <v>10</v>
      </c>
      <c r="U1078">
        <v>15</v>
      </c>
      <c r="V1078">
        <v>140.74</v>
      </c>
      <c r="W1078" t="s">
        <v>27</v>
      </c>
      <c r="X1078">
        <v>20</v>
      </c>
    </row>
    <row r="1079" spans="1:24" ht="14.25" customHeight="1">
      <c r="A1079" t="s">
        <v>1827</v>
      </c>
      <c r="B1079" t="s">
        <v>2313</v>
      </c>
      <c r="C1079" s="6" t="str">
        <f t="shared" si="49"/>
        <v>February</v>
      </c>
      <c r="D1079" s="6" t="str">
        <f t="shared" si="50"/>
        <v>17</v>
      </c>
      <c r="E1079" t="s">
        <v>759</v>
      </c>
      <c r="F1079" t="s">
        <v>101</v>
      </c>
      <c r="G1079" t="s">
        <v>81</v>
      </c>
      <c r="H1079" s="4" t="s">
        <v>2258</v>
      </c>
      <c r="I1079">
        <v>116138</v>
      </c>
      <c r="J1079" s="8" t="s">
        <v>30</v>
      </c>
      <c r="K1079" t="s">
        <v>360</v>
      </c>
      <c r="L1079" t="s">
        <v>361</v>
      </c>
      <c r="M1079" t="s">
        <v>33</v>
      </c>
      <c r="N1079">
        <f t="shared" si="51"/>
        <v>10</v>
      </c>
      <c r="O1079">
        <v>2</v>
      </c>
      <c r="P1079" s="6">
        <v>127.82</v>
      </c>
      <c r="Q1079">
        <v>12.78</v>
      </c>
      <c r="R1079">
        <v>242.86</v>
      </c>
      <c r="S1079">
        <v>12.14</v>
      </c>
      <c r="T1079">
        <v>0</v>
      </c>
      <c r="U1079">
        <v>20</v>
      </c>
      <c r="V1079">
        <v>275</v>
      </c>
      <c r="W1079" t="s">
        <v>34</v>
      </c>
      <c r="X1079">
        <v>25</v>
      </c>
    </row>
    <row r="1080" spans="1:24" ht="14.25" customHeight="1">
      <c r="A1080" t="s">
        <v>1828</v>
      </c>
      <c r="B1080" t="s">
        <v>2272</v>
      </c>
      <c r="C1080" s="6" t="str">
        <f t="shared" si="49"/>
        <v>January</v>
      </c>
      <c r="D1080" s="6" t="str">
        <f t="shared" si="50"/>
        <v>11</v>
      </c>
      <c r="E1080" t="s">
        <v>763</v>
      </c>
      <c r="F1080" t="s">
        <v>21</v>
      </c>
      <c r="G1080" t="s">
        <v>37</v>
      </c>
      <c r="H1080" s="4" t="s">
        <v>2258</v>
      </c>
      <c r="I1080">
        <v>178422</v>
      </c>
      <c r="J1080" s="8" t="s">
        <v>30</v>
      </c>
      <c r="K1080" t="s">
        <v>364</v>
      </c>
      <c r="L1080" t="s">
        <v>365</v>
      </c>
      <c r="M1080" t="s">
        <v>33</v>
      </c>
      <c r="N1080">
        <f t="shared" si="51"/>
        <v>10</v>
      </c>
      <c r="O1080">
        <v>3</v>
      </c>
      <c r="P1080" s="6">
        <v>234.1</v>
      </c>
      <c r="Q1080">
        <v>11.71</v>
      </c>
      <c r="R1080">
        <v>690.58999999999992</v>
      </c>
      <c r="S1080">
        <v>34.53</v>
      </c>
      <c r="T1080">
        <v>10</v>
      </c>
      <c r="U1080">
        <v>10</v>
      </c>
      <c r="V1080">
        <v>745.11999999999989</v>
      </c>
      <c r="W1080" t="s">
        <v>27</v>
      </c>
      <c r="X1080">
        <v>52</v>
      </c>
    </row>
    <row r="1081" spans="1:24" ht="14.25" customHeight="1">
      <c r="A1081" t="s">
        <v>1829</v>
      </c>
      <c r="B1081" t="s">
        <v>2294</v>
      </c>
      <c r="C1081" s="6" t="str">
        <f t="shared" si="49"/>
        <v>February</v>
      </c>
      <c r="D1081" s="6" t="str">
        <f t="shared" si="50"/>
        <v>20</v>
      </c>
      <c r="E1081" t="s">
        <v>767</v>
      </c>
      <c r="F1081" t="s">
        <v>21</v>
      </c>
      <c r="G1081" t="s">
        <v>74</v>
      </c>
      <c r="H1081" s="4" t="s">
        <v>2258</v>
      </c>
      <c r="I1081">
        <v>840970</v>
      </c>
      <c r="J1081" s="8" t="s">
        <v>30</v>
      </c>
      <c r="K1081" t="s">
        <v>368</v>
      </c>
      <c r="L1081" t="s">
        <v>369</v>
      </c>
      <c r="M1081" t="s">
        <v>40</v>
      </c>
      <c r="N1081">
        <f t="shared" si="51"/>
        <v>6</v>
      </c>
      <c r="O1081">
        <v>1</v>
      </c>
      <c r="P1081" s="6">
        <v>167.66</v>
      </c>
      <c r="Q1081">
        <v>8.3800000000000008</v>
      </c>
      <c r="R1081">
        <v>159.28</v>
      </c>
      <c r="S1081">
        <v>7.96</v>
      </c>
      <c r="T1081">
        <v>20</v>
      </c>
      <c r="U1081">
        <v>15</v>
      </c>
      <c r="V1081">
        <v>202.24</v>
      </c>
      <c r="W1081" t="s">
        <v>27</v>
      </c>
      <c r="X1081">
        <v>39</v>
      </c>
    </row>
    <row r="1082" spans="1:24" ht="14.25" customHeight="1">
      <c r="A1082" t="s">
        <v>1830</v>
      </c>
      <c r="B1082" t="s">
        <v>2293</v>
      </c>
      <c r="C1082" s="6" t="str">
        <f t="shared" si="49"/>
        <v>February</v>
      </c>
      <c r="D1082" s="6" t="str">
        <f t="shared" si="50"/>
        <v>16</v>
      </c>
      <c r="E1082" t="s">
        <v>771</v>
      </c>
      <c r="F1082" t="s">
        <v>21</v>
      </c>
      <c r="G1082" t="s">
        <v>106</v>
      </c>
      <c r="H1082" s="4" t="s">
        <v>2258</v>
      </c>
      <c r="I1082">
        <v>938821</v>
      </c>
      <c r="J1082" s="8" t="s">
        <v>30</v>
      </c>
      <c r="K1082" t="s">
        <v>372</v>
      </c>
      <c r="L1082" t="s">
        <v>373</v>
      </c>
      <c r="M1082" t="s">
        <v>77</v>
      </c>
      <c r="N1082">
        <f t="shared" si="51"/>
        <v>5</v>
      </c>
      <c r="O1082">
        <v>1</v>
      </c>
      <c r="P1082" s="6">
        <v>72.2</v>
      </c>
      <c r="Q1082">
        <v>3.61</v>
      </c>
      <c r="R1082">
        <v>68.59</v>
      </c>
      <c r="S1082">
        <v>3.43</v>
      </c>
      <c r="T1082">
        <v>0</v>
      </c>
      <c r="U1082">
        <v>15</v>
      </c>
      <c r="V1082">
        <v>87.02000000000001</v>
      </c>
      <c r="W1082" t="s">
        <v>27</v>
      </c>
      <c r="X1082">
        <v>14</v>
      </c>
    </row>
    <row r="1083" spans="1:24" ht="14.25" customHeight="1">
      <c r="A1083" t="s">
        <v>1831</v>
      </c>
      <c r="B1083" t="s">
        <v>2296</v>
      </c>
      <c r="C1083" s="6" t="str">
        <f t="shared" si="49"/>
        <v>February</v>
      </c>
      <c r="D1083" s="6" t="str">
        <f t="shared" si="50"/>
        <v>26</v>
      </c>
      <c r="E1083" t="s">
        <v>775</v>
      </c>
      <c r="F1083" t="s">
        <v>21</v>
      </c>
      <c r="G1083" t="s">
        <v>22</v>
      </c>
      <c r="H1083" s="4" t="s">
        <v>2258</v>
      </c>
      <c r="I1083">
        <v>718119</v>
      </c>
      <c r="J1083" s="8" t="s">
        <v>2346</v>
      </c>
      <c r="K1083" t="s">
        <v>376</v>
      </c>
      <c r="L1083" t="s">
        <v>377</v>
      </c>
      <c r="M1083" t="s">
        <v>65</v>
      </c>
      <c r="N1083">
        <f t="shared" si="51"/>
        <v>6</v>
      </c>
      <c r="O1083">
        <v>1</v>
      </c>
      <c r="P1083" s="6">
        <v>162.21</v>
      </c>
      <c r="Q1083">
        <v>16.22</v>
      </c>
      <c r="R1083">
        <v>145.99</v>
      </c>
      <c r="S1083">
        <v>7.3</v>
      </c>
      <c r="T1083">
        <v>0</v>
      </c>
      <c r="U1083">
        <v>10</v>
      </c>
      <c r="V1083">
        <v>163.29</v>
      </c>
      <c r="W1083" t="s">
        <v>27</v>
      </c>
      <c r="X1083">
        <v>46</v>
      </c>
    </row>
    <row r="1084" spans="1:24" ht="14.25" customHeight="1">
      <c r="A1084" t="s">
        <v>1832</v>
      </c>
      <c r="B1084" t="s">
        <v>2271</v>
      </c>
      <c r="C1084" s="6" t="str">
        <f t="shared" si="49"/>
        <v>January</v>
      </c>
      <c r="D1084" s="6" t="str">
        <f t="shared" si="50"/>
        <v>23</v>
      </c>
      <c r="E1084" t="s">
        <v>779</v>
      </c>
      <c r="F1084" t="s">
        <v>21</v>
      </c>
      <c r="G1084" t="s">
        <v>68</v>
      </c>
      <c r="H1084" s="4" t="s">
        <v>2258</v>
      </c>
      <c r="I1084">
        <v>246429</v>
      </c>
      <c r="J1084" s="8" t="s">
        <v>2346</v>
      </c>
      <c r="K1084" t="s">
        <v>380</v>
      </c>
      <c r="L1084" t="s">
        <v>381</v>
      </c>
      <c r="M1084" t="s">
        <v>45</v>
      </c>
      <c r="N1084">
        <f t="shared" si="51"/>
        <v>6</v>
      </c>
      <c r="O1084">
        <v>1</v>
      </c>
      <c r="P1084" s="6">
        <v>109.73</v>
      </c>
      <c r="Q1084">
        <v>10.97</v>
      </c>
      <c r="R1084">
        <v>98.76</v>
      </c>
      <c r="S1084">
        <v>4.9400000000000004</v>
      </c>
      <c r="T1084">
        <v>10</v>
      </c>
      <c r="U1084">
        <v>15</v>
      </c>
      <c r="V1084">
        <v>128.69999999999999</v>
      </c>
      <c r="W1084" t="s">
        <v>27</v>
      </c>
      <c r="X1084">
        <v>19</v>
      </c>
    </row>
    <row r="1085" spans="1:24" ht="14.25" customHeight="1">
      <c r="A1085" t="s">
        <v>1833</v>
      </c>
      <c r="B1085" t="s">
        <v>2295</v>
      </c>
      <c r="C1085" s="6" t="str">
        <f t="shared" si="49"/>
        <v>February</v>
      </c>
      <c r="D1085" s="6" t="str">
        <f t="shared" si="50"/>
        <v>24</v>
      </c>
      <c r="E1085" t="s">
        <v>783</v>
      </c>
      <c r="F1085" t="s">
        <v>101</v>
      </c>
      <c r="G1085" t="s">
        <v>81</v>
      </c>
      <c r="H1085" s="4" t="s">
        <v>2258</v>
      </c>
      <c r="I1085">
        <v>341474</v>
      </c>
      <c r="J1085" s="8" t="s">
        <v>2347</v>
      </c>
      <c r="K1085" t="s">
        <v>384</v>
      </c>
      <c r="L1085" t="s">
        <v>385</v>
      </c>
      <c r="M1085" t="s">
        <v>89</v>
      </c>
      <c r="N1085">
        <f t="shared" si="51"/>
        <v>7</v>
      </c>
      <c r="O1085">
        <v>2</v>
      </c>
      <c r="P1085" s="6">
        <v>163.11000000000001</v>
      </c>
      <c r="Q1085">
        <v>24.47</v>
      </c>
      <c r="R1085">
        <v>301.75</v>
      </c>
      <c r="S1085">
        <v>15.09</v>
      </c>
      <c r="T1085">
        <v>10</v>
      </c>
      <c r="U1085">
        <v>10</v>
      </c>
      <c r="V1085">
        <v>336.84</v>
      </c>
      <c r="W1085" t="s">
        <v>84</v>
      </c>
      <c r="X1085">
        <v>25</v>
      </c>
    </row>
    <row r="1086" spans="1:24" ht="14.25" customHeight="1">
      <c r="A1086" t="s">
        <v>1834</v>
      </c>
      <c r="B1086" t="s">
        <v>2292</v>
      </c>
      <c r="C1086" s="6" t="str">
        <f t="shared" si="49"/>
        <v>January</v>
      </c>
      <c r="D1086" s="6" t="str">
        <f t="shared" si="50"/>
        <v>16</v>
      </c>
      <c r="E1086" t="s">
        <v>787</v>
      </c>
      <c r="F1086" t="s">
        <v>21</v>
      </c>
      <c r="G1086" t="s">
        <v>106</v>
      </c>
      <c r="H1086" s="4" t="s">
        <v>2258</v>
      </c>
      <c r="I1086">
        <v>628943</v>
      </c>
      <c r="J1086" s="8" t="s">
        <v>2347</v>
      </c>
      <c r="K1086" t="s">
        <v>388</v>
      </c>
      <c r="L1086" t="s">
        <v>389</v>
      </c>
      <c r="M1086" t="s">
        <v>22</v>
      </c>
      <c r="N1086">
        <f t="shared" si="51"/>
        <v>6</v>
      </c>
      <c r="O1086">
        <v>2</v>
      </c>
      <c r="P1086" s="6">
        <v>100.59</v>
      </c>
      <c r="Q1086">
        <v>0</v>
      </c>
      <c r="R1086">
        <v>201.18</v>
      </c>
      <c r="S1086">
        <v>10.06</v>
      </c>
      <c r="T1086">
        <v>10</v>
      </c>
      <c r="U1086">
        <v>15</v>
      </c>
      <c r="V1086">
        <v>236.24</v>
      </c>
      <c r="W1086" t="s">
        <v>27</v>
      </c>
      <c r="X1086">
        <v>24</v>
      </c>
    </row>
    <row r="1087" spans="1:24" ht="14.25" customHeight="1">
      <c r="A1087" t="s">
        <v>1835</v>
      </c>
      <c r="B1087" t="s">
        <v>2312</v>
      </c>
      <c r="C1087" s="6" t="str">
        <f t="shared" si="49"/>
        <v>January</v>
      </c>
      <c r="D1087" s="6" t="str">
        <f t="shared" si="50"/>
        <v>31</v>
      </c>
      <c r="E1087" t="s">
        <v>791</v>
      </c>
      <c r="F1087" t="s">
        <v>21</v>
      </c>
      <c r="G1087" t="s">
        <v>74</v>
      </c>
      <c r="H1087" s="4" t="s">
        <v>2258</v>
      </c>
      <c r="I1087">
        <v>207779</v>
      </c>
      <c r="J1087" s="8" t="s">
        <v>2348</v>
      </c>
      <c r="K1087" t="s">
        <v>392</v>
      </c>
      <c r="L1087" t="s">
        <v>393</v>
      </c>
      <c r="M1087" t="s">
        <v>130</v>
      </c>
      <c r="N1087">
        <f t="shared" si="51"/>
        <v>7</v>
      </c>
      <c r="O1087">
        <v>5</v>
      </c>
      <c r="P1087" s="6">
        <v>34.130000000000003</v>
      </c>
      <c r="Q1087">
        <v>5.12</v>
      </c>
      <c r="R1087">
        <v>165.53</v>
      </c>
      <c r="S1087">
        <v>8.2799999999999994</v>
      </c>
      <c r="T1087">
        <v>30</v>
      </c>
      <c r="U1087">
        <v>20</v>
      </c>
      <c r="V1087">
        <v>223.81</v>
      </c>
      <c r="W1087" t="s">
        <v>84</v>
      </c>
      <c r="X1087">
        <v>25</v>
      </c>
    </row>
    <row r="1088" spans="1:24" ht="14.25" customHeight="1">
      <c r="A1088" t="s">
        <v>1836</v>
      </c>
      <c r="B1088" t="s">
        <v>2272</v>
      </c>
      <c r="C1088" s="6" t="str">
        <f t="shared" si="49"/>
        <v>January</v>
      </c>
      <c r="D1088" s="6" t="str">
        <f t="shared" si="50"/>
        <v>11</v>
      </c>
      <c r="E1088" t="s">
        <v>795</v>
      </c>
      <c r="F1088" t="s">
        <v>21</v>
      </c>
      <c r="G1088" t="s">
        <v>74</v>
      </c>
      <c r="H1088" s="4" t="s">
        <v>2258</v>
      </c>
      <c r="I1088">
        <v>773166</v>
      </c>
      <c r="J1088" s="8" t="s">
        <v>2346</v>
      </c>
      <c r="K1088" t="s">
        <v>396</v>
      </c>
      <c r="L1088" t="s">
        <v>397</v>
      </c>
      <c r="M1088" t="s">
        <v>77</v>
      </c>
      <c r="N1088">
        <f t="shared" si="51"/>
        <v>5</v>
      </c>
      <c r="O1088">
        <v>1</v>
      </c>
      <c r="P1088" s="6">
        <v>81.48</v>
      </c>
      <c r="Q1088">
        <v>0</v>
      </c>
      <c r="R1088">
        <v>81.48</v>
      </c>
      <c r="S1088">
        <v>4.07</v>
      </c>
      <c r="T1088">
        <v>10</v>
      </c>
      <c r="U1088">
        <v>5</v>
      </c>
      <c r="V1088">
        <v>100.55</v>
      </c>
      <c r="W1088" t="s">
        <v>27</v>
      </c>
      <c r="X1088">
        <v>12</v>
      </c>
    </row>
    <row r="1089" spans="1:24" ht="14.25" customHeight="1">
      <c r="A1089" t="s">
        <v>1837</v>
      </c>
      <c r="B1089" t="s">
        <v>2309</v>
      </c>
      <c r="C1089" s="6" t="str">
        <f t="shared" si="49"/>
        <v>February</v>
      </c>
      <c r="D1089" s="6" t="str">
        <f t="shared" si="50"/>
        <v>23</v>
      </c>
      <c r="E1089" t="s">
        <v>799</v>
      </c>
      <c r="F1089" t="s">
        <v>21</v>
      </c>
      <c r="G1089" t="s">
        <v>106</v>
      </c>
      <c r="H1089" s="4" t="s">
        <v>2258</v>
      </c>
      <c r="I1089">
        <v>249725</v>
      </c>
      <c r="J1089" s="8" t="s">
        <v>30</v>
      </c>
      <c r="K1089" t="s">
        <v>400</v>
      </c>
      <c r="L1089" t="s">
        <v>401</v>
      </c>
      <c r="M1089" t="s">
        <v>26</v>
      </c>
      <c r="N1089">
        <f t="shared" si="51"/>
        <v>3</v>
      </c>
      <c r="O1089">
        <v>4</v>
      </c>
      <c r="P1089" s="6">
        <v>148.09</v>
      </c>
      <c r="Q1089">
        <v>7.4</v>
      </c>
      <c r="R1089">
        <v>584.96</v>
      </c>
      <c r="S1089">
        <v>29.25</v>
      </c>
      <c r="T1089">
        <v>0</v>
      </c>
      <c r="U1089">
        <v>5</v>
      </c>
      <c r="V1089">
        <v>619.21</v>
      </c>
      <c r="W1089" t="s">
        <v>34</v>
      </c>
      <c r="X1089">
        <v>25</v>
      </c>
    </row>
    <row r="1090" spans="1:24" ht="14.25" customHeight="1">
      <c r="A1090" t="s">
        <v>1838</v>
      </c>
      <c r="B1090" t="s">
        <v>2292</v>
      </c>
      <c r="C1090" s="6" t="str">
        <f t="shared" si="49"/>
        <v>January</v>
      </c>
      <c r="D1090" s="6" t="str">
        <f t="shared" si="50"/>
        <v>16</v>
      </c>
      <c r="E1090" t="s">
        <v>803</v>
      </c>
      <c r="F1090" t="s">
        <v>21</v>
      </c>
      <c r="G1090" t="s">
        <v>22</v>
      </c>
      <c r="H1090" s="4" t="s">
        <v>2258</v>
      </c>
      <c r="I1090">
        <v>812932</v>
      </c>
      <c r="J1090" s="8" t="s">
        <v>2349</v>
      </c>
      <c r="K1090" t="s">
        <v>404</v>
      </c>
      <c r="L1090" t="s">
        <v>405</v>
      </c>
      <c r="M1090" t="s">
        <v>98</v>
      </c>
      <c r="N1090">
        <f t="shared" si="51"/>
        <v>4</v>
      </c>
      <c r="O1090">
        <v>2</v>
      </c>
      <c r="P1090" s="6">
        <v>49.56</v>
      </c>
      <c r="Q1090">
        <v>0</v>
      </c>
      <c r="R1090">
        <v>99.12</v>
      </c>
      <c r="S1090">
        <v>4.96</v>
      </c>
      <c r="T1090">
        <v>20</v>
      </c>
      <c r="U1090">
        <v>0</v>
      </c>
      <c r="V1090">
        <v>124.08</v>
      </c>
      <c r="W1090" t="s">
        <v>27</v>
      </c>
      <c r="X1090">
        <v>17</v>
      </c>
    </row>
    <row r="1091" spans="1:24" ht="14.25" customHeight="1">
      <c r="A1091" t="s">
        <v>1839</v>
      </c>
      <c r="B1091" t="s">
        <v>2267</v>
      </c>
      <c r="C1091" s="6" t="str">
        <f t="shared" ref="C1091:C1154" si="52">TEXT(B1091,"mmmm")</f>
        <v>January</v>
      </c>
      <c r="D1091" s="6" t="str">
        <f t="shared" ref="D1091:D1154" si="53">TEXT(B1091,"dd")</f>
        <v>08</v>
      </c>
      <c r="E1091" t="s">
        <v>807</v>
      </c>
      <c r="F1091" t="s">
        <v>21</v>
      </c>
      <c r="G1091" t="s">
        <v>68</v>
      </c>
      <c r="H1091" s="4" t="s">
        <v>2258</v>
      </c>
      <c r="I1091">
        <v>241002</v>
      </c>
      <c r="J1091" s="8" t="s">
        <v>30</v>
      </c>
      <c r="K1091" t="s">
        <v>408</v>
      </c>
      <c r="L1091" t="s">
        <v>409</v>
      </c>
      <c r="M1091" t="s">
        <v>177</v>
      </c>
      <c r="N1091">
        <f t="shared" si="51"/>
        <v>5</v>
      </c>
      <c r="O1091">
        <v>4</v>
      </c>
      <c r="P1091" s="6">
        <v>187.81</v>
      </c>
      <c r="Q1091">
        <v>9.39</v>
      </c>
      <c r="R1091">
        <v>741.85</v>
      </c>
      <c r="S1091">
        <v>37.090000000000003</v>
      </c>
      <c r="T1091">
        <v>20</v>
      </c>
      <c r="U1091">
        <v>0</v>
      </c>
      <c r="V1091">
        <v>798.94</v>
      </c>
      <c r="W1091" t="s">
        <v>27</v>
      </c>
      <c r="X1091">
        <v>28</v>
      </c>
    </row>
    <row r="1092" spans="1:24" ht="14.25" customHeight="1">
      <c r="A1092" t="s">
        <v>1840</v>
      </c>
      <c r="B1092" t="s">
        <v>2301</v>
      </c>
      <c r="C1092" s="6" t="str">
        <f t="shared" si="52"/>
        <v>January</v>
      </c>
      <c r="D1092" s="6" t="str">
        <f t="shared" si="53"/>
        <v>04</v>
      </c>
      <c r="E1092" t="s">
        <v>811</v>
      </c>
      <c r="F1092" t="s">
        <v>21</v>
      </c>
      <c r="G1092" t="s">
        <v>68</v>
      </c>
      <c r="H1092" s="4" t="s">
        <v>2258</v>
      </c>
      <c r="I1092">
        <v>153915</v>
      </c>
      <c r="J1092" s="8" t="s">
        <v>2349</v>
      </c>
      <c r="K1092" t="s">
        <v>412</v>
      </c>
      <c r="L1092" t="s">
        <v>413</v>
      </c>
      <c r="M1092" t="s">
        <v>77</v>
      </c>
      <c r="N1092">
        <f t="shared" si="51"/>
        <v>5</v>
      </c>
      <c r="O1092">
        <v>5</v>
      </c>
      <c r="P1092" s="6">
        <v>33.380000000000003</v>
      </c>
      <c r="Q1092">
        <v>1.67</v>
      </c>
      <c r="R1092">
        <v>165.23</v>
      </c>
      <c r="S1092">
        <v>8.26</v>
      </c>
      <c r="T1092">
        <v>10</v>
      </c>
      <c r="U1092">
        <v>15</v>
      </c>
      <c r="V1092">
        <v>198.49</v>
      </c>
      <c r="W1092" t="s">
        <v>27</v>
      </c>
      <c r="X1092">
        <v>20</v>
      </c>
    </row>
    <row r="1093" spans="1:24" ht="14.25" customHeight="1">
      <c r="A1093" t="s">
        <v>1841</v>
      </c>
      <c r="B1093" t="s">
        <v>2276</v>
      </c>
      <c r="C1093" s="6" t="str">
        <f t="shared" si="52"/>
        <v>February</v>
      </c>
      <c r="D1093" s="6" t="str">
        <f t="shared" si="53"/>
        <v>09</v>
      </c>
      <c r="E1093" t="s">
        <v>815</v>
      </c>
      <c r="F1093" t="s">
        <v>21</v>
      </c>
      <c r="G1093" t="s">
        <v>74</v>
      </c>
      <c r="H1093" s="4" t="s">
        <v>2258</v>
      </c>
      <c r="I1093">
        <v>473410</v>
      </c>
      <c r="J1093" s="8" t="s">
        <v>30</v>
      </c>
      <c r="K1093" t="s">
        <v>416</v>
      </c>
      <c r="L1093" t="s">
        <v>417</v>
      </c>
      <c r="M1093" t="s">
        <v>71</v>
      </c>
      <c r="N1093">
        <f t="shared" si="51"/>
        <v>6</v>
      </c>
      <c r="O1093">
        <v>1</v>
      </c>
      <c r="P1093" s="6">
        <v>45.16</v>
      </c>
      <c r="Q1093">
        <v>2.2599999999999998</v>
      </c>
      <c r="R1093">
        <v>42.9</v>
      </c>
      <c r="S1093">
        <v>2.15</v>
      </c>
      <c r="T1093">
        <v>0</v>
      </c>
      <c r="U1093">
        <v>5</v>
      </c>
      <c r="V1093">
        <v>50.05</v>
      </c>
      <c r="W1093" t="s">
        <v>27</v>
      </c>
      <c r="X1093">
        <v>27</v>
      </c>
    </row>
    <row r="1094" spans="1:24" ht="14.25" customHeight="1">
      <c r="A1094" t="s">
        <v>1842</v>
      </c>
      <c r="B1094" t="s">
        <v>2301</v>
      </c>
      <c r="C1094" s="6" t="str">
        <f t="shared" si="52"/>
        <v>January</v>
      </c>
      <c r="D1094" s="6" t="str">
        <f t="shared" si="53"/>
        <v>04</v>
      </c>
      <c r="E1094" t="s">
        <v>819</v>
      </c>
      <c r="F1094" t="s">
        <v>21</v>
      </c>
      <c r="G1094" t="s">
        <v>22</v>
      </c>
      <c r="H1094" s="4" t="s">
        <v>2258</v>
      </c>
      <c r="I1094">
        <v>217996</v>
      </c>
      <c r="J1094" s="8" t="s">
        <v>2349</v>
      </c>
      <c r="K1094" t="s">
        <v>420</v>
      </c>
      <c r="L1094" t="s">
        <v>421</v>
      </c>
      <c r="M1094" t="s">
        <v>50</v>
      </c>
      <c r="N1094">
        <f t="shared" si="51"/>
        <v>5</v>
      </c>
      <c r="O1094">
        <v>2</v>
      </c>
      <c r="P1094" s="6">
        <v>138.69</v>
      </c>
      <c r="Q1094">
        <v>0</v>
      </c>
      <c r="R1094">
        <v>277.38</v>
      </c>
      <c r="S1094">
        <v>13.87</v>
      </c>
      <c r="T1094">
        <v>0</v>
      </c>
      <c r="U1094">
        <v>10</v>
      </c>
      <c r="V1094">
        <v>301.25</v>
      </c>
      <c r="W1094" t="s">
        <v>34</v>
      </c>
      <c r="X1094">
        <v>25</v>
      </c>
    </row>
    <row r="1095" spans="1:24" ht="14.25" customHeight="1">
      <c r="A1095" t="s">
        <v>1843</v>
      </c>
      <c r="B1095" t="s">
        <v>2320</v>
      </c>
      <c r="C1095" s="6" t="str">
        <f t="shared" si="52"/>
        <v>February</v>
      </c>
      <c r="D1095" s="6" t="str">
        <f t="shared" si="53"/>
        <v>25</v>
      </c>
      <c r="E1095" t="s">
        <v>823</v>
      </c>
      <c r="F1095" t="s">
        <v>80</v>
      </c>
      <c r="G1095" t="s">
        <v>81</v>
      </c>
      <c r="H1095" s="4" t="s">
        <v>2258</v>
      </c>
      <c r="I1095">
        <v>679844</v>
      </c>
      <c r="J1095" s="8" t="s">
        <v>30</v>
      </c>
      <c r="K1095" t="s">
        <v>424</v>
      </c>
      <c r="L1095" t="s">
        <v>425</v>
      </c>
      <c r="M1095" t="s">
        <v>89</v>
      </c>
      <c r="N1095">
        <f t="shared" si="51"/>
        <v>7</v>
      </c>
      <c r="O1095">
        <v>1</v>
      </c>
      <c r="P1095" s="6">
        <v>159.97999999999999</v>
      </c>
      <c r="Q1095">
        <v>16</v>
      </c>
      <c r="R1095">
        <v>143.97999999999999</v>
      </c>
      <c r="S1095">
        <v>7.2</v>
      </c>
      <c r="T1095">
        <v>10</v>
      </c>
      <c r="U1095">
        <v>10</v>
      </c>
      <c r="V1095">
        <v>171.18</v>
      </c>
      <c r="W1095" t="s">
        <v>27</v>
      </c>
      <c r="X1095">
        <v>30</v>
      </c>
    </row>
    <row r="1096" spans="1:24" ht="14.25" customHeight="1">
      <c r="A1096" t="s">
        <v>1844</v>
      </c>
      <c r="B1096" t="s">
        <v>2286</v>
      </c>
      <c r="C1096" s="6" t="str">
        <f t="shared" si="52"/>
        <v>January</v>
      </c>
      <c r="D1096" s="6" t="str">
        <f t="shared" si="53"/>
        <v>25</v>
      </c>
      <c r="E1096" t="s">
        <v>827</v>
      </c>
      <c r="F1096" t="s">
        <v>21</v>
      </c>
      <c r="G1096" t="s">
        <v>22</v>
      </c>
      <c r="H1096" s="4" t="s">
        <v>2258</v>
      </c>
      <c r="I1096">
        <v>512774</v>
      </c>
      <c r="J1096" s="8" t="s">
        <v>2348</v>
      </c>
      <c r="K1096" t="s">
        <v>428</v>
      </c>
      <c r="L1096" t="s">
        <v>429</v>
      </c>
      <c r="M1096" t="s">
        <v>55</v>
      </c>
      <c r="N1096">
        <f t="shared" si="51"/>
        <v>5</v>
      </c>
      <c r="O1096">
        <v>2</v>
      </c>
      <c r="P1096" s="6">
        <v>155.29</v>
      </c>
      <c r="Q1096">
        <v>7.76</v>
      </c>
      <c r="R1096">
        <v>302.82</v>
      </c>
      <c r="S1096">
        <v>15.14</v>
      </c>
      <c r="T1096">
        <v>20</v>
      </c>
      <c r="U1096">
        <v>5</v>
      </c>
      <c r="V1096">
        <v>342.96</v>
      </c>
      <c r="W1096" t="s">
        <v>27</v>
      </c>
      <c r="X1096">
        <v>34</v>
      </c>
    </row>
    <row r="1097" spans="1:24" ht="14.25" customHeight="1">
      <c r="A1097" t="s">
        <v>1845</v>
      </c>
      <c r="B1097" t="s">
        <v>2277</v>
      </c>
      <c r="C1097" s="6" t="str">
        <f t="shared" si="52"/>
        <v>January</v>
      </c>
      <c r="D1097" s="6" t="str">
        <f t="shared" si="53"/>
        <v>03</v>
      </c>
      <c r="E1097" t="s">
        <v>831</v>
      </c>
      <c r="F1097" t="s">
        <v>21</v>
      </c>
      <c r="G1097" t="s">
        <v>37</v>
      </c>
      <c r="H1097" s="4" t="s">
        <v>2258</v>
      </c>
      <c r="I1097">
        <v>588161</v>
      </c>
      <c r="J1097" s="8" t="s">
        <v>30</v>
      </c>
      <c r="K1097" t="s">
        <v>432</v>
      </c>
      <c r="L1097" t="s">
        <v>433</v>
      </c>
      <c r="M1097" t="s">
        <v>65</v>
      </c>
      <c r="N1097">
        <f t="shared" si="51"/>
        <v>6</v>
      </c>
      <c r="O1097">
        <v>2</v>
      </c>
      <c r="P1097" s="6">
        <v>55.24</v>
      </c>
      <c r="Q1097">
        <v>5.52</v>
      </c>
      <c r="R1097">
        <v>104.96</v>
      </c>
      <c r="S1097">
        <v>5.25</v>
      </c>
      <c r="T1097">
        <v>20</v>
      </c>
      <c r="U1097">
        <v>10</v>
      </c>
      <c r="V1097">
        <v>140.21</v>
      </c>
      <c r="W1097" t="s">
        <v>27</v>
      </c>
      <c r="X1097">
        <v>37</v>
      </c>
    </row>
    <row r="1098" spans="1:24" ht="14.25" customHeight="1">
      <c r="A1098" t="s">
        <v>1846</v>
      </c>
      <c r="B1098" t="s">
        <v>2319</v>
      </c>
      <c r="C1098" s="6" t="str">
        <f t="shared" si="52"/>
        <v>February</v>
      </c>
      <c r="D1098" s="6" t="str">
        <f t="shared" si="53"/>
        <v>01</v>
      </c>
      <c r="E1098" t="s">
        <v>835</v>
      </c>
      <c r="F1098" t="s">
        <v>101</v>
      </c>
      <c r="G1098" t="s">
        <v>81</v>
      </c>
      <c r="H1098" s="4" t="s">
        <v>2258</v>
      </c>
      <c r="I1098">
        <v>671238</v>
      </c>
      <c r="J1098" s="8" t="s">
        <v>30</v>
      </c>
      <c r="K1098" t="s">
        <v>436</v>
      </c>
      <c r="L1098" t="s">
        <v>437</v>
      </c>
      <c r="M1098" t="s">
        <v>71</v>
      </c>
      <c r="N1098">
        <f t="shared" si="51"/>
        <v>6</v>
      </c>
      <c r="O1098">
        <v>1</v>
      </c>
      <c r="P1098" s="6">
        <v>156.59</v>
      </c>
      <c r="Q1098">
        <v>7.83</v>
      </c>
      <c r="R1098">
        <v>148.76</v>
      </c>
      <c r="S1098">
        <v>7.44</v>
      </c>
      <c r="T1098">
        <v>20</v>
      </c>
      <c r="U1098">
        <v>0</v>
      </c>
      <c r="V1098">
        <v>176.2</v>
      </c>
      <c r="W1098" t="s">
        <v>27</v>
      </c>
      <c r="X1098">
        <v>29</v>
      </c>
    </row>
    <row r="1099" spans="1:24" ht="14.25" customHeight="1">
      <c r="A1099" t="s">
        <v>1847</v>
      </c>
      <c r="B1099" t="s">
        <v>2277</v>
      </c>
      <c r="C1099" s="6" t="str">
        <f t="shared" si="52"/>
        <v>January</v>
      </c>
      <c r="D1099" s="6" t="str">
        <f t="shared" si="53"/>
        <v>03</v>
      </c>
      <c r="E1099" t="s">
        <v>839</v>
      </c>
      <c r="F1099" t="s">
        <v>21</v>
      </c>
      <c r="G1099" t="s">
        <v>74</v>
      </c>
      <c r="H1099" s="4" t="s">
        <v>2258</v>
      </c>
      <c r="I1099">
        <v>601477</v>
      </c>
      <c r="J1099" s="8" t="s">
        <v>2347</v>
      </c>
      <c r="K1099" t="s">
        <v>440</v>
      </c>
      <c r="L1099" t="s">
        <v>441</v>
      </c>
      <c r="M1099" t="s">
        <v>22</v>
      </c>
      <c r="N1099">
        <f t="shared" si="51"/>
        <v>6</v>
      </c>
      <c r="O1099">
        <v>3</v>
      </c>
      <c r="P1099" s="6">
        <v>1.38</v>
      </c>
      <c r="Q1099">
        <v>0.14000000000000001</v>
      </c>
      <c r="R1099">
        <v>4</v>
      </c>
      <c r="S1099">
        <v>0.2</v>
      </c>
      <c r="T1099">
        <v>20</v>
      </c>
      <c r="U1099">
        <v>5</v>
      </c>
      <c r="V1099">
        <v>29.2</v>
      </c>
      <c r="W1099" t="s">
        <v>27</v>
      </c>
      <c r="X1099">
        <v>35</v>
      </c>
    </row>
    <row r="1100" spans="1:24" ht="14.25" customHeight="1">
      <c r="A1100" t="s">
        <v>1848</v>
      </c>
      <c r="B1100" t="s">
        <v>2288</v>
      </c>
      <c r="C1100" s="6" t="str">
        <f t="shared" si="52"/>
        <v>January</v>
      </c>
      <c r="D1100" s="6" t="str">
        <f t="shared" si="53"/>
        <v>27</v>
      </c>
      <c r="E1100" t="s">
        <v>843</v>
      </c>
      <c r="F1100" t="s">
        <v>21</v>
      </c>
      <c r="G1100" t="s">
        <v>68</v>
      </c>
      <c r="H1100" s="4" t="s">
        <v>2258</v>
      </c>
      <c r="I1100">
        <v>277129</v>
      </c>
      <c r="J1100" s="8" t="s">
        <v>2349</v>
      </c>
      <c r="K1100" t="s">
        <v>444</v>
      </c>
      <c r="L1100" t="s">
        <v>445</v>
      </c>
      <c r="M1100" t="s">
        <v>26</v>
      </c>
      <c r="N1100">
        <f t="shared" si="51"/>
        <v>3</v>
      </c>
      <c r="O1100">
        <v>4</v>
      </c>
      <c r="P1100" s="6">
        <v>126.71</v>
      </c>
      <c r="Q1100">
        <v>12.67</v>
      </c>
      <c r="R1100">
        <v>494.17</v>
      </c>
      <c r="S1100">
        <v>24.71</v>
      </c>
      <c r="T1100">
        <v>10</v>
      </c>
      <c r="U1100">
        <v>0</v>
      </c>
      <c r="V1100">
        <v>528.88</v>
      </c>
      <c r="W1100" t="s">
        <v>27</v>
      </c>
      <c r="X1100">
        <v>8</v>
      </c>
    </row>
    <row r="1101" spans="1:24" ht="14.25" customHeight="1">
      <c r="A1101" t="s">
        <v>1849</v>
      </c>
      <c r="B1101" t="s">
        <v>2264</v>
      </c>
      <c r="C1101" s="6" t="str">
        <f t="shared" si="52"/>
        <v>January</v>
      </c>
      <c r="D1101" s="6" t="str">
        <f t="shared" si="53"/>
        <v>29</v>
      </c>
      <c r="E1101" t="s">
        <v>847</v>
      </c>
      <c r="F1101" t="s">
        <v>21</v>
      </c>
      <c r="G1101" t="s">
        <v>106</v>
      </c>
      <c r="H1101" s="4" t="s">
        <v>2258</v>
      </c>
      <c r="I1101">
        <v>233177</v>
      </c>
      <c r="J1101" s="8" t="s">
        <v>2349</v>
      </c>
      <c r="K1101" t="s">
        <v>448</v>
      </c>
      <c r="L1101" t="s">
        <v>449</v>
      </c>
      <c r="M1101" t="s">
        <v>22</v>
      </c>
      <c r="N1101">
        <f t="shared" ref="N1101:N1164" si="54">LEN(M1101)</f>
        <v>6</v>
      </c>
      <c r="O1101">
        <v>5</v>
      </c>
      <c r="P1101" s="6">
        <v>1.98</v>
      </c>
      <c r="Q1101">
        <v>0.2</v>
      </c>
      <c r="R1101">
        <v>9.7000000000000011</v>
      </c>
      <c r="S1101">
        <v>0.49</v>
      </c>
      <c r="T1101">
        <v>0</v>
      </c>
      <c r="U1101">
        <v>0</v>
      </c>
      <c r="V1101">
        <v>10.19</v>
      </c>
      <c r="W1101" t="s">
        <v>27</v>
      </c>
      <c r="X1101">
        <v>46</v>
      </c>
    </row>
    <row r="1102" spans="1:24" ht="14.25" customHeight="1">
      <c r="A1102" t="s">
        <v>1850</v>
      </c>
      <c r="B1102" t="s">
        <v>2319</v>
      </c>
      <c r="C1102" s="6" t="str">
        <f t="shared" si="52"/>
        <v>February</v>
      </c>
      <c r="D1102" s="6" t="str">
        <f t="shared" si="53"/>
        <v>01</v>
      </c>
      <c r="E1102" t="s">
        <v>851</v>
      </c>
      <c r="F1102" t="s">
        <v>21</v>
      </c>
      <c r="G1102" t="s">
        <v>106</v>
      </c>
      <c r="H1102" s="4" t="s">
        <v>2258</v>
      </c>
      <c r="I1102">
        <v>268751</v>
      </c>
      <c r="J1102" s="8" t="s">
        <v>2349</v>
      </c>
      <c r="K1102" t="s">
        <v>452</v>
      </c>
      <c r="L1102" t="s">
        <v>453</v>
      </c>
      <c r="M1102" t="s">
        <v>50</v>
      </c>
      <c r="N1102">
        <f t="shared" si="54"/>
        <v>5</v>
      </c>
      <c r="O1102">
        <v>3</v>
      </c>
      <c r="P1102" s="6">
        <v>90.69</v>
      </c>
      <c r="Q1102">
        <v>9.07</v>
      </c>
      <c r="R1102">
        <v>263</v>
      </c>
      <c r="S1102">
        <v>13.15</v>
      </c>
      <c r="T1102">
        <v>20</v>
      </c>
      <c r="U1102">
        <v>20</v>
      </c>
      <c r="V1102">
        <v>316.14999999999998</v>
      </c>
      <c r="W1102" t="s">
        <v>27</v>
      </c>
      <c r="X1102">
        <v>17</v>
      </c>
    </row>
    <row r="1103" spans="1:24" ht="14.25" customHeight="1">
      <c r="A1103" t="s">
        <v>1851</v>
      </c>
      <c r="B1103" t="s">
        <v>2303</v>
      </c>
      <c r="C1103" s="6" t="str">
        <f t="shared" si="52"/>
        <v>February</v>
      </c>
      <c r="D1103" s="6" t="str">
        <f t="shared" si="53"/>
        <v>19</v>
      </c>
      <c r="E1103" t="s">
        <v>853</v>
      </c>
      <c r="F1103" t="s">
        <v>21</v>
      </c>
      <c r="G1103" t="s">
        <v>37</v>
      </c>
      <c r="H1103" s="4" t="s">
        <v>2258</v>
      </c>
      <c r="I1103">
        <v>163079</v>
      </c>
      <c r="J1103" s="8" t="s">
        <v>30</v>
      </c>
      <c r="K1103" t="s">
        <v>456</v>
      </c>
      <c r="L1103" t="s">
        <v>457</v>
      </c>
      <c r="M1103" t="s">
        <v>40</v>
      </c>
      <c r="N1103">
        <f t="shared" si="54"/>
        <v>6</v>
      </c>
      <c r="O1103">
        <v>4</v>
      </c>
      <c r="P1103" s="6">
        <v>144.4</v>
      </c>
      <c r="Q1103">
        <v>0</v>
      </c>
      <c r="R1103">
        <v>577.6</v>
      </c>
      <c r="S1103">
        <v>28.88</v>
      </c>
      <c r="T1103">
        <v>20</v>
      </c>
      <c r="U1103">
        <v>5</v>
      </c>
      <c r="V1103">
        <v>631.48</v>
      </c>
      <c r="W1103" t="s">
        <v>27</v>
      </c>
      <c r="X1103">
        <v>15</v>
      </c>
    </row>
    <row r="1104" spans="1:24" ht="14.25" customHeight="1">
      <c r="A1104" t="s">
        <v>1852</v>
      </c>
      <c r="B1104" t="s">
        <v>2269</v>
      </c>
      <c r="C1104" s="6" t="str">
        <f t="shared" si="52"/>
        <v>February</v>
      </c>
      <c r="D1104" s="6" t="str">
        <f t="shared" si="53"/>
        <v>27</v>
      </c>
      <c r="E1104" t="s">
        <v>855</v>
      </c>
      <c r="F1104" t="s">
        <v>21</v>
      </c>
      <c r="G1104" t="s">
        <v>37</v>
      </c>
      <c r="H1104" s="4" t="s">
        <v>2258</v>
      </c>
      <c r="I1104">
        <v>949662</v>
      </c>
      <c r="J1104" s="8" t="s">
        <v>62</v>
      </c>
      <c r="K1104" t="s">
        <v>460</v>
      </c>
      <c r="L1104" t="s">
        <v>461</v>
      </c>
      <c r="M1104" t="s">
        <v>26</v>
      </c>
      <c r="N1104">
        <f t="shared" si="54"/>
        <v>3</v>
      </c>
      <c r="O1104">
        <v>3</v>
      </c>
      <c r="P1104" s="6">
        <v>177.47</v>
      </c>
      <c r="Q1104">
        <v>0</v>
      </c>
      <c r="R1104">
        <v>532.41</v>
      </c>
      <c r="S1104">
        <v>26.62</v>
      </c>
      <c r="T1104">
        <v>0</v>
      </c>
      <c r="U1104">
        <v>5</v>
      </c>
      <c r="V1104">
        <v>564.03</v>
      </c>
      <c r="W1104" t="s">
        <v>27</v>
      </c>
      <c r="X1104">
        <v>25</v>
      </c>
    </row>
    <row r="1105" spans="1:24" ht="14.25" customHeight="1">
      <c r="A1105" t="s">
        <v>1853</v>
      </c>
      <c r="B1105" t="s">
        <v>2294</v>
      </c>
      <c r="C1105" s="6" t="str">
        <f t="shared" si="52"/>
        <v>February</v>
      </c>
      <c r="D1105" s="6" t="str">
        <f t="shared" si="53"/>
        <v>20</v>
      </c>
      <c r="E1105" t="s">
        <v>857</v>
      </c>
      <c r="F1105" t="s">
        <v>21</v>
      </c>
      <c r="G1105" t="s">
        <v>74</v>
      </c>
      <c r="H1105" s="4" t="s">
        <v>2258</v>
      </c>
      <c r="I1105">
        <v>760501</v>
      </c>
      <c r="J1105" s="8" t="s">
        <v>2346</v>
      </c>
      <c r="K1105" t="s">
        <v>464</v>
      </c>
      <c r="L1105" t="s">
        <v>465</v>
      </c>
      <c r="M1105" t="s">
        <v>130</v>
      </c>
      <c r="N1105">
        <f t="shared" si="54"/>
        <v>7</v>
      </c>
      <c r="O1105">
        <v>4</v>
      </c>
      <c r="P1105" s="6">
        <v>25.75</v>
      </c>
      <c r="Q1105">
        <v>0</v>
      </c>
      <c r="R1105">
        <v>103</v>
      </c>
      <c r="S1105">
        <v>5.15</v>
      </c>
      <c r="T1105">
        <v>30</v>
      </c>
      <c r="U1105">
        <v>10</v>
      </c>
      <c r="V1105">
        <v>148.15</v>
      </c>
      <c r="W1105" t="s">
        <v>27</v>
      </c>
      <c r="X1105">
        <v>30</v>
      </c>
    </row>
    <row r="1106" spans="1:24" ht="14.25" customHeight="1">
      <c r="A1106" t="s">
        <v>1854</v>
      </c>
      <c r="B1106" t="s">
        <v>2270</v>
      </c>
      <c r="C1106" s="6" t="str">
        <f t="shared" si="52"/>
        <v>January</v>
      </c>
      <c r="D1106" s="6" t="str">
        <f t="shared" si="53"/>
        <v>19</v>
      </c>
      <c r="E1106" t="s">
        <v>859</v>
      </c>
      <c r="F1106" t="s">
        <v>21</v>
      </c>
      <c r="G1106" t="s">
        <v>68</v>
      </c>
      <c r="H1106" s="4" t="s">
        <v>2258</v>
      </c>
      <c r="I1106">
        <v>234917</v>
      </c>
      <c r="J1106" s="8" t="s">
        <v>30</v>
      </c>
      <c r="K1106" t="s">
        <v>468</v>
      </c>
      <c r="L1106" t="s">
        <v>469</v>
      </c>
      <c r="M1106" t="s">
        <v>26</v>
      </c>
      <c r="N1106">
        <f t="shared" si="54"/>
        <v>3</v>
      </c>
      <c r="O1106">
        <v>1</v>
      </c>
      <c r="P1106" s="6">
        <v>127.72</v>
      </c>
      <c r="Q1106">
        <v>6.39</v>
      </c>
      <c r="R1106">
        <v>121.33</v>
      </c>
      <c r="S1106">
        <v>6.07</v>
      </c>
      <c r="T1106">
        <v>30</v>
      </c>
      <c r="U1106">
        <v>15</v>
      </c>
      <c r="V1106">
        <v>172.4</v>
      </c>
      <c r="W1106" t="s">
        <v>84</v>
      </c>
      <c r="X1106">
        <v>25</v>
      </c>
    </row>
    <row r="1107" spans="1:24" ht="14.25" customHeight="1">
      <c r="A1107" t="s">
        <v>1855</v>
      </c>
      <c r="B1107" t="s">
        <v>2268</v>
      </c>
      <c r="C1107" s="6" t="str">
        <f t="shared" si="52"/>
        <v>January</v>
      </c>
      <c r="D1107" s="6" t="str">
        <f t="shared" si="53"/>
        <v>21</v>
      </c>
      <c r="E1107" t="s">
        <v>861</v>
      </c>
      <c r="F1107" t="s">
        <v>21</v>
      </c>
      <c r="G1107" t="s">
        <v>106</v>
      </c>
      <c r="H1107" s="4" t="s">
        <v>2258</v>
      </c>
      <c r="I1107">
        <v>603150</v>
      </c>
      <c r="J1107" s="8" t="s">
        <v>2347</v>
      </c>
      <c r="K1107" t="s">
        <v>472</v>
      </c>
      <c r="L1107" t="s">
        <v>473</v>
      </c>
      <c r="M1107" t="s">
        <v>55</v>
      </c>
      <c r="N1107">
        <f t="shared" si="54"/>
        <v>5</v>
      </c>
      <c r="O1107">
        <v>7</v>
      </c>
      <c r="P1107" s="6">
        <v>135.24</v>
      </c>
      <c r="Q1107">
        <v>13.52</v>
      </c>
      <c r="R1107">
        <v>933.16000000000008</v>
      </c>
      <c r="S1107">
        <v>46.66</v>
      </c>
      <c r="T1107">
        <v>10</v>
      </c>
      <c r="U1107">
        <v>20</v>
      </c>
      <c r="V1107">
        <v>1009.82</v>
      </c>
      <c r="W1107" t="s">
        <v>27</v>
      </c>
      <c r="X1107">
        <v>23</v>
      </c>
    </row>
    <row r="1108" spans="1:24" ht="14.25" customHeight="1">
      <c r="A1108" t="s">
        <v>1856</v>
      </c>
      <c r="B1108" t="s">
        <v>2317</v>
      </c>
      <c r="C1108" s="6" t="str">
        <f t="shared" si="52"/>
        <v>January</v>
      </c>
      <c r="D1108" s="6" t="str">
        <f t="shared" si="53"/>
        <v>05</v>
      </c>
      <c r="E1108" t="s">
        <v>863</v>
      </c>
      <c r="F1108" t="s">
        <v>21</v>
      </c>
      <c r="G1108" t="s">
        <v>74</v>
      </c>
      <c r="H1108" s="4" t="s">
        <v>2258</v>
      </c>
      <c r="I1108">
        <v>903051</v>
      </c>
      <c r="J1108" s="8" t="s">
        <v>2345</v>
      </c>
      <c r="K1108" t="s">
        <v>476</v>
      </c>
      <c r="L1108" t="s">
        <v>477</v>
      </c>
      <c r="M1108" t="s">
        <v>33</v>
      </c>
      <c r="N1108">
        <f t="shared" si="54"/>
        <v>10</v>
      </c>
      <c r="O1108">
        <v>1</v>
      </c>
      <c r="P1108" s="6">
        <v>126.87</v>
      </c>
      <c r="Q1108">
        <v>6.34</v>
      </c>
      <c r="R1108">
        <v>120.53</v>
      </c>
      <c r="S1108">
        <v>6.03</v>
      </c>
      <c r="T1108">
        <v>20</v>
      </c>
      <c r="U1108">
        <v>0</v>
      </c>
      <c r="V1108">
        <v>146.56</v>
      </c>
      <c r="W1108" t="s">
        <v>27</v>
      </c>
      <c r="X1108">
        <v>26</v>
      </c>
    </row>
    <row r="1109" spans="1:24" ht="14.25" customHeight="1">
      <c r="A1109" t="s">
        <v>1857</v>
      </c>
      <c r="B1109" t="s">
        <v>2300</v>
      </c>
      <c r="C1109" s="6" t="str">
        <f t="shared" si="52"/>
        <v>January</v>
      </c>
      <c r="D1109" s="6" t="str">
        <f t="shared" si="53"/>
        <v>18</v>
      </c>
      <c r="E1109" t="s">
        <v>865</v>
      </c>
      <c r="F1109" t="s">
        <v>21</v>
      </c>
      <c r="G1109" t="s">
        <v>37</v>
      </c>
      <c r="H1109" s="4" t="s">
        <v>2258</v>
      </c>
      <c r="I1109">
        <v>908062</v>
      </c>
      <c r="J1109" s="8" t="s">
        <v>2347</v>
      </c>
      <c r="K1109" t="s">
        <v>480</v>
      </c>
      <c r="L1109" t="s">
        <v>481</v>
      </c>
      <c r="M1109" t="s">
        <v>89</v>
      </c>
      <c r="N1109">
        <f t="shared" si="54"/>
        <v>7</v>
      </c>
      <c r="O1109">
        <v>1</v>
      </c>
      <c r="P1109" s="6">
        <v>112.65</v>
      </c>
      <c r="Q1109">
        <v>16.899999999999999</v>
      </c>
      <c r="R1109">
        <v>95.75</v>
      </c>
      <c r="S1109">
        <v>4.79</v>
      </c>
      <c r="T1109">
        <v>0</v>
      </c>
      <c r="U1109">
        <v>15</v>
      </c>
      <c r="V1109">
        <v>115.54</v>
      </c>
      <c r="W1109" t="s">
        <v>84</v>
      </c>
      <c r="X1109">
        <v>25</v>
      </c>
    </row>
    <row r="1110" spans="1:24" ht="14.25" customHeight="1">
      <c r="A1110" t="s">
        <v>1858</v>
      </c>
      <c r="B1110" t="s">
        <v>2291</v>
      </c>
      <c r="C1110" s="6" t="str">
        <f t="shared" si="52"/>
        <v>January</v>
      </c>
      <c r="D1110" s="6" t="str">
        <f t="shared" si="53"/>
        <v>28</v>
      </c>
      <c r="E1110" t="s">
        <v>867</v>
      </c>
      <c r="F1110" t="s">
        <v>80</v>
      </c>
      <c r="G1110" t="s">
        <v>81</v>
      </c>
      <c r="H1110" s="4" t="s">
        <v>2258</v>
      </c>
      <c r="I1110">
        <v>909216</v>
      </c>
      <c r="J1110" s="8" t="s">
        <v>2346</v>
      </c>
      <c r="K1110" t="s">
        <v>484</v>
      </c>
      <c r="L1110" t="s">
        <v>485</v>
      </c>
      <c r="M1110" t="s">
        <v>98</v>
      </c>
      <c r="N1110">
        <f t="shared" si="54"/>
        <v>4</v>
      </c>
      <c r="O1110">
        <v>3</v>
      </c>
      <c r="P1110" s="6">
        <v>126.61</v>
      </c>
      <c r="Q1110">
        <v>18.989999999999998</v>
      </c>
      <c r="R1110">
        <v>360.84</v>
      </c>
      <c r="S1110">
        <v>18.04</v>
      </c>
      <c r="T1110">
        <v>20</v>
      </c>
      <c r="U1110">
        <v>20</v>
      </c>
      <c r="V1110">
        <v>418.88</v>
      </c>
      <c r="W1110" t="s">
        <v>27</v>
      </c>
      <c r="X1110">
        <v>31</v>
      </c>
    </row>
    <row r="1111" spans="1:24" ht="14.25" customHeight="1">
      <c r="A1111" t="s">
        <v>1859</v>
      </c>
      <c r="B1111" t="s">
        <v>2290</v>
      </c>
      <c r="C1111" s="6" t="str">
        <f t="shared" si="52"/>
        <v>February</v>
      </c>
      <c r="D1111" s="6" t="str">
        <f t="shared" si="53"/>
        <v>11</v>
      </c>
      <c r="E1111" t="s">
        <v>869</v>
      </c>
      <c r="F1111" t="s">
        <v>21</v>
      </c>
      <c r="G1111" t="s">
        <v>37</v>
      </c>
      <c r="H1111" s="4" t="s">
        <v>2258</v>
      </c>
      <c r="I1111">
        <v>167359</v>
      </c>
      <c r="J1111" s="8" t="s">
        <v>2348</v>
      </c>
      <c r="K1111" t="s">
        <v>488</v>
      </c>
      <c r="L1111" t="s">
        <v>489</v>
      </c>
      <c r="M1111" t="s">
        <v>22</v>
      </c>
      <c r="N1111">
        <f t="shared" si="54"/>
        <v>6</v>
      </c>
      <c r="O1111">
        <v>1</v>
      </c>
      <c r="P1111" s="6">
        <v>166.87</v>
      </c>
      <c r="Q1111">
        <v>0</v>
      </c>
      <c r="R1111">
        <v>166.87</v>
      </c>
      <c r="S1111">
        <v>8.34</v>
      </c>
      <c r="T1111">
        <v>10</v>
      </c>
      <c r="U1111">
        <v>15</v>
      </c>
      <c r="V1111">
        <v>200.21</v>
      </c>
      <c r="W1111" t="s">
        <v>27</v>
      </c>
      <c r="X1111">
        <v>15</v>
      </c>
    </row>
    <row r="1112" spans="1:24" ht="14.25" customHeight="1">
      <c r="A1112" t="s">
        <v>1860</v>
      </c>
      <c r="B1112" t="s">
        <v>2278</v>
      </c>
      <c r="C1112" s="6" t="str">
        <f t="shared" si="52"/>
        <v>January</v>
      </c>
      <c r="D1112" s="6" t="str">
        <f t="shared" si="53"/>
        <v>22</v>
      </c>
      <c r="E1112" t="s">
        <v>871</v>
      </c>
      <c r="F1112" t="s">
        <v>21</v>
      </c>
      <c r="G1112" t="s">
        <v>37</v>
      </c>
      <c r="H1112" s="4" t="s">
        <v>2258</v>
      </c>
      <c r="I1112">
        <v>884681</v>
      </c>
      <c r="J1112" s="8" t="s">
        <v>2346</v>
      </c>
      <c r="K1112" t="s">
        <v>492</v>
      </c>
      <c r="L1112" t="s">
        <v>493</v>
      </c>
      <c r="M1112" t="s">
        <v>77</v>
      </c>
      <c r="N1112">
        <f t="shared" si="54"/>
        <v>5</v>
      </c>
      <c r="O1112">
        <v>1</v>
      </c>
      <c r="P1112" s="6">
        <v>134.97</v>
      </c>
      <c r="Q1112">
        <v>20.25</v>
      </c>
      <c r="R1112">
        <v>114.72</v>
      </c>
      <c r="S1112">
        <v>5.74</v>
      </c>
      <c r="T1112">
        <v>30</v>
      </c>
      <c r="U1112">
        <v>0</v>
      </c>
      <c r="V1112">
        <v>150.46</v>
      </c>
      <c r="W1112" t="s">
        <v>27</v>
      </c>
      <c r="X1112">
        <v>14</v>
      </c>
    </row>
    <row r="1113" spans="1:24" ht="14.25" customHeight="1">
      <c r="A1113" t="s">
        <v>1861</v>
      </c>
      <c r="B1113" t="s">
        <v>2268</v>
      </c>
      <c r="C1113" s="6" t="str">
        <f t="shared" si="52"/>
        <v>January</v>
      </c>
      <c r="D1113" s="6" t="str">
        <f t="shared" si="53"/>
        <v>21</v>
      </c>
      <c r="E1113" t="s">
        <v>873</v>
      </c>
      <c r="F1113" t="s">
        <v>21</v>
      </c>
      <c r="G1113" t="s">
        <v>74</v>
      </c>
      <c r="H1113" s="4" t="s">
        <v>2258</v>
      </c>
      <c r="I1113">
        <v>135757</v>
      </c>
      <c r="J1113" s="8" t="s">
        <v>2345</v>
      </c>
      <c r="K1113" t="s">
        <v>496</v>
      </c>
      <c r="L1113" t="s">
        <v>497</v>
      </c>
      <c r="M1113" t="s">
        <v>89</v>
      </c>
      <c r="N1113">
        <f t="shared" si="54"/>
        <v>7</v>
      </c>
      <c r="O1113">
        <v>2</v>
      </c>
      <c r="P1113" s="6">
        <v>95.75</v>
      </c>
      <c r="Q1113">
        <v>14.36</v>
      </c>
      <c r="R1113">
        <v>177.14</v>
      </c>
      <c r="S1113">
        <v>8.86</v>
      </c>
      <c r="T1113">
        <v>30</v>
      </c>
      <c r="U1113">
        <v>0</v>
      </c>
      <c r="V1113">
        <v>216</v>
      </c>
      <c r="W1113" t="s">
        <v>27</v>
      </c>
      <c r="X1113">
        <v>27</v>
      </c>
    </row>
    <row r="1114" spans="1:24" ht="14.25" customHeight="1">
      <c r="A1114" t="s">
        <v>1862</v>
      </c>
      <c r="B1114" t="s">
        <v>2308</v>
      </c>
      <c r="C1114" s="6" t="str">
        <f t="shared" si="52"/>
        <v>January</v>
      </c>
      <c r="D1114" s="6" t="str">
        <f t="shared" si="53"/>
        <v>06</v>
      </c>
      <c r="E1114" t="s">
        <v>875</v>
      </c>
      <c r="F1114" t="s">
        <v>101</v>
      </c>
      <c r="G1114" t="s">
        <v>81</v>
      </c>
      <c r="H1114" s="4" t="s">
        <v>2258</v>
      </c>
      <c r="I1114">
        <v>421199</v>
      </c>
      <c r="J1114" s="8" t="s">
        <v>62</v>
      </c>
      <c r="K1114" t="s">
        <v>500</v>
      </c>
      <c r="L1114" t="s">
        <v>501</v>
      </c>
      <c r="M1114" t="s">
        <v>22</v>
      </c>
      <c r="N1114">
        <f t="shared" si="54"/>
        <v>6</v>
      </c>
      <c r="O1114">
        <v>4</v>
      </c>
      <c r="P1114" s="6">
        <v>121.16</v>
      </c>
      <c r="Q1114">
        <v>12.12</v>
      </c>
      <c r="R1114">
        <v>472.52</v>
      </c>
      <c r="S1114">
        <v>23.63</v>
      </c>
      <c r="T1114">
        <v>20</v>
      </c>
      <c r="U1114">
        <v>10</v>
      </c>
      <c r="V1114">
        <v>526.15</v>
      </c>
      <c r="W1114" t="s">
        <v>27</v>
      </c>
      <c r="X1114">
        <v>49</v>
      </c>
    </row>
    <row r="1115" spans="1:24" ht="14.25" customHeight="1">
      <c r="A1115" t="s">
        <v>1863</v>
      </c>
      <c r="B1115" t="s">
        <v>2316</v>
      </c>
      <c r="C1115" s="6" t="str">
        <f t="shared" si="52"/>
        <v>January</v>
      </c>
      <c r="D1115" s="6" t="str">
        <f t="shared" si="53"/>
        <v>01</v>
      </c>
      <c r="E1115" t="s">
        <v>877</v>
      </c>
      <c r="F1115" t="s">
        <v>101</v>
      </c>
      <c r="G1115" t="s">
        <v>81</v>
      </c>
      <c r="H1115" s="4" t="s">
        <v>2258</v>
      </c>
      <c r="I1115">
        <v>129092</v>
      </c>
      <c r="J1115" s="8" t="s">
        <v>2345</v>
      </c>
      <c r="K1115" t="s">
        <v>504</v>
      </c>
      <c r="L1115" t="s">
        <v>505</v>
      </c>
      <c r="M1115" t="s">
        <v>65</v>
      </c>
      <c r="N1115">
        <f t="shared" si="54"/>
        <v>6</v>
      </c>
      <c r="O1115">
        <v>4</v>
      </c>
      <c r="P1115" s="6">
        <v>184.99</v>
      </c>
      <c r="Q1115">
        <v>0</v>
      </c>
      <c r="R1115">
        <v>739.96</v>
      </c>
      <c r="S1115">
        <v>37</v>
      </c>
      <c r="T1115">
        <v>30</v>
      </c>
      <c r="U1115">
        <v>15</v>
      </c>
      <c r="V1115">
        <v>821.96</v>
      </c>
      <c r="W1115" t="s">
        <v>27</v>
      </c>
      <c r="X1115">
        <v>19</v>
      </c>
    </row>
    <row r="1116" spans="1:24" ht="14.25" customHeight="1">
      <c r="A1116" t="s">
        <v>1864</v>
      </c>
      <c r="B1116" t="s">
        <v>2317</v>
      </c>
      <c r="C1116" s="6" t="str">
        <f t="shared" si="52"/>
        <v>January</v>
      </c>
      <c r="D1116" s="6" t="str">
        <f t="shared" si="53"/>
        <v>05</v>
      </c>
      <c r="E1116" t="s">
        <v>879</v>
      </c>
      <c r="F1116" t="s">
        <v>21</v>
      </c>
      <c r="G1116" t="s">
        <v>106</v>
      </c>
      <c r="H1116" s="4" t="s">
        <v>2258</v>
      </c>
      <c r="I1116">
        <v>172782</v>
      </c>
      <c r="J1116" s="8" t="s">
        <v>2346</v>
      </c>
      <c r="K1116" t="s">
        <v>508</v>
      </c>
      <c r="L1116" t="s">
        <v>509</v>
      </c>
      <c r="M1116" t="s">
        <v>65</v>
      </c>
      <c r="N1116">
        <f t="shared" si="54"/>
        <v>6</v>
      </c>
      <c r="O1116">
        <v>3</v>
      </c>
      <c r="P1116" s="6">
        <v>80.47</v>
      </c>
      <c r="Q1116">
        <v>4.0199999999999996</v>
      </c>
      <c r="R1116">
        <v>237.39</v>
      </c>
      <c r="S1116">
        <v>11.87</v>
      </c>
      <c r="T1116">
        <v>30</v>
      </c>
      <c r="U1116">
        <v>5</v>
      </c>
      <c r="V1116">
        <v>284.26</v>
      </c>
      <c r="W1116" t="s">
        <v>27</v>
      </c>
      <c r="X1116">
        <v>23</v>
      </c>
    </row>
    <row r="1117" spans="1:24" ht="14.25" customHeight="1">
      <c r="A1117" t="s">
        <v>1865</v>
      </c>
      <c r="B1117" t="s">
        <v>2315</v>
      </c>
      <c r="C1117" s="6" t="str">
        <f t="shared" si="52"/>
        <v>February</v>
      </c>
      <c r="D1117" s="6" t="str">
        <f t="shared" si="53"/>
        <v>10</v>
      </c>
      <c r="E1117" t="s">
        <v>881</v>
      </c>
      <c r="F1117" t="s">
        <v>21</v>
      </c>
      <c r="G1117" t="s">
        <v>22</v>
      </c>
      <c r="H1117" s="4" t="s">
        <v>2258</v>
      </c>
      <c r="I1117">
        <v>990733</v>
      </c>
      <c r="J1117" s="8" t="s">
        <v>2346</v>
      </c>
      <c r="K1117" t="s">
        <v>512</v>
      </c>
      <c r="L1117" t="s">
        <v>513</v>
      </c>
      <c r="M1117" t="s">
        <v>89</v>
      </c>
      <c r="N1117">
        <f t="shared" si="54"/>
        <v>7</v>
      </c>
      <c r="O1117">
        <v>1</v>
      </c>
      <c r="P1117" s="6">
        <v>158.09</v>
      </c>
      <c r="Q1117">
        <v>23.71</v>
      </c>
      <c r="R1117">
        <v>134.38</v>
      </c>
      <c r="S1117">
        <v>6.72</v>
      </c>
      <c r="T1117">
        <v>20</v>
      </c>
      <c r="U1117">
        <v>5</v>
      </c>
      <c r="V1117">
        <v>166.1</v>
      </c>
      <c r="W1117" t="s">
        <v>27</v>
      </c>
      <c r="X1117">
        <v>48</v>
      </c>
    </row>
    <row r="1118" spans="1:24" ht="14.25" customHeight="1">
      <c r="A1118" t="s">
        <v>1866</v>
      </c>
      <c r="B1118" t="s">
        <v>2285</v>
      </c>
      <c r="C1118" s="6" t="str">
        <f t="shared" si="52"/>
        <v>January</v>
      </c>
      <c r="D1118" s="6" t="str">
        <f t="shared" si="53"/>
        <v>12</v>
      </c>
      <c r="E1118" t="s">
        <v>883</v>
      </c>
      <c r="F1118" t="s">
        <v>21</v>
      </c>
      <c r="G1118" t="s">
        <v>22</v>
      </c>
      <c r="H1118" s="4" t="s">
        <v>2258</v>
      </c>
      <c r="I1118">
        <v>724416</v>
      </c>
      <c r="J1118" s="8" t="s">
        <v>62</v>
      </c>
      <c r="K1118" t="s">
        <v>516</v>
      </c>
      <c r="L1118" t="s">
        <v>517</v>
      </c>
      <c r="M1118" t="s">
        <v>26</v>
      </c>
      <c r="N1118">
        <f t="shared" si="54"/>
        <v>3</v>
      </c>
      <c r="O1118">
        <v>1</v>
      </c>
      <c r="P1118" s="6">
        <v>88.76</v>
      </c>
      <c r="Q1118">
        <v>4.4400000000000004</v>
      </c>
      <c r="R1118">
        <v>84.320000000000007</v>
      </c>
      <c r="S1118">
        <v>4.22</v>
      </c>
      <c r="T1118">
        <v>20</v>
      </c>
      <c r="U1118">
        <v>0</v>
      </c>
      <c r="V1118">
        <v>108.54</v>
      </c>
      <c r="W1118" t="s">
        <v>27</v>
      </c>
      <c r="X1118">
        <v>10</v>
      </c>
    </row>
    <row r="1119" spans="1:24" ht="14.25" customHeight="1">
      <c r="A1119" t="s">
        <v>1867</v>
      </c>
      <c r="B1119" t="s">
        <v>2304</v>
      </c>
      <c r="C1119" s="6" t="str">
        <f t="shared" si="52"/>
        <v>January</v>
      </c>
      <c r="D1119" s="6" t="str">
        <f t="shared" si="53"/>
        <v>26</v>
      </c>
      <c r="E1119" t="s">
        <v>885</v>
      </c>
      <c r="F1119" t="s">
        <v>21</v>
      </c>
      <c r="G1119" t="s">
        <v>22</v>
      </c>
      <c r="H1119" s="4" t="s">
        <v>2258</v>
      </c>
      <c r="I1119">
        <v>923045</v>
      </c>
      <c r="J1119" s="8" t="s">
        <v>2349</v>
      </c>
      <c r="K1119" t="s">
        <v>520</v>
      </c>
      <c r="L1119" t="s">
        <v>521</v>
      </c>
      <c r="M1119" t="s">
        <v>89</v>
      </c>
      <c r="N1119">
        <f t="shared" si="54"/>
        <v>7</v>
      </c>
      <c r="O1119">
        <v>2</v>
      </c>
      <c r="P1119" s="6">
        <v>149.16999999999999</v>
      </c>
      <c r="Q1119">
        <v>22.38</v>
      </c>
      <c r="R1119">
        <v>275.95999999999998</v>
      </c>
      <c r="S1119">
        <v>13.8</v>
      </c>
      <c r="T1119">
        <v>0</v>
      </c>
      <c r="U1119">
        <v>10</v>
      </c>
      <c r="V1119">
        <v>299.76</v>
      </c>
      <c r="W1119" t="s">
        <v>34</v>
      </c>
      <c r="X1119">
        <v>25</v>
      </c>
    </row>
    <row r="1120" spans="1:24" ht="14.25" customHeight="1">
      <c r="A1120" t="s">
        <v>1868</v>
      </c>
      <c r="B1120" t="s">
        <v>2321</v>
      </c>
      <c r="C1120" s="6" t="str">
        <f t="shared" si="52"/>
        <v>February</v>
      </c>
      <c r="D1120" s="6" t="str">
        <f t="shared" si="53"/>
        <v>15</v>
      </c>
      <c r="E1120" t="s">
        <v>887</v>
      </c>
      <c r="F1120" t="s">
        <v>80</v>
      </c>
      <c r="G1120" t="s">
        <v>81</v>
      </c>
      <c r="H1120" s="4" t="s">
        <v>2258</v>
      </c>
      <c r="I1120">
        <v>371635</v>
      </c>
      <c r="J1120" s="8" t="s">
        <v>2346</v>
      </c>
      <c r="K1120" t="s">
        <v>524</v>
      </c>
      <c r="L1120" t="s">
        <v>525</v>
      </c>
      <c r="M1120" t="s">
        <v>22</v>
      </c>
      <c r="N1120">
        <f t="shared" si="54"/>
        <v>6</v>
      </c>
      <c r="O1120">
        <v>1</v>
      </c>
      <c r="P1120" s="6">
        <v>182.12</v>
      </c>
      <c r="Q1120">
        <v>9.11</v>
      </c>
      <c r="R1120">
        <v>173.01</v>
      </c>
      <c r="S1120">
        <v>8.65</v>
      </c>
      <c r="T1120">
        <v>20</v>
      </c>
      <c r="U1120">
        <v>20</v>
      </c>
      <c r="V1120">
        <v>221.66</v>
      </c>
      <c r="W1120" t="s">
        <v>27</v>
      </c>
      <c r="X1120">
        <v>12</v>
      </c>
    </row>
    <row r="1121" spans="1:24" ht="14.25" customHeight="1">
      <c r="A1121" t="s">
        <v>1869</v>
      </c>
      <c r="B1121" t="s">
        <v>2310</v>
      </c>
      <c r="C1121" s="6" t="str">
        <f t="shared" si="52"/>
        <v>February</v>
      </c>
      <c r="D1121" s="6" t="str">
        <f t="shared" si="53"/>
        <v>03</v>
      </c>
      <c r="E1121" t="s">
        <v>889</v>
      </c>
      <c r="F1121" t="s">
        <v>21</v>
      </c>
      <c r="G1121" t="s">
        <v>37</v>
      </c>
      <c r="H1121" s="4" t="s">
        <v>2258</v>
      </c>
      <c r="I1121">
        <v>362512</v>
      </c>
      <c r="J1121" s="8" t="s">
        <v>30</v>
      </c>
      <c r="K1121" t="s">
        <v>528</v>
      </c>
      <c r="L1121" t="s">
        <v>529</v>
      </c>
      <c r="M1121" t="s">
        <v>40</v>
      </c>
      <c r="N1121">
        <f t="shared" si="54"/>
        <v>6</v>
      </c>
      <c r="O1121">
        <v>1</v>
      </c>
      <c r="P1121" s="6">
        <v>71.34</v>
      </c>
      <c r="Q1121">
        <v>7.13</v>
      </c>
      <c r="R1121">
        <v>64.210000000000008</v>
      </c>
      <c r="S1121">
        <v>3.21</v>
      </c>
      <c r="T1121">
        <v>30</v>
      </c>
      <c r="U1121">
        <v>0</v>
      </c>
      <c r="V1121">
        <v>97.42</v>
      </c>
      <c r="W1121" t="s">
        <v>27</v>
      </c>
      <c r="X1121">
        <v>17</v>
      </c>
    </row>
    <row r="1122" spans="1:24" ht="14.25" customHeight="1">
      <c r="A1122" t="s">
        <v>1870</v>
      </c>
      <c r="B1122" t="s">
        <v>2287</v>
      </c>
      <c r="C1122" s="6" t="str">
        <f t="shared" si="52"/>
        <v>February</v>
      </c>
      <c r="D1122" s="6" t="str">
        <f t="shared" si="53"/>
        <v>18</v>
      </c>
      <c r="E1122" t="s">
        <v>891</v>
      </c>
      <c r="F1122" t="s">
        <v>21</v>
      </c>
      <c r="G1122" t="s">
        <v>68</v>
      </c>
      <c r="H1122" s="4" t="s">
        <v>2258</v>
      </c>
      <c r="I1122">
        <v>786296</v>
      </c>
      <c r="J1122" s="8" t="s">
        <v>2347</v>
      </c>
      <c r="K1122" t="s">
        <v>532</v>
      </c>
      <c r="L1122" t="s">
        <v>533</v>
      </c>
      <c r="M1122" t="s">
        <v>22</v>
      </c>
      <c r="N1122">
        <f t="shared" si="54"/>
        <v>6</v>
      </c>
      <c r="O1122">
        <v>4</v>
      </c>
      <c r="P1122" s="6">
        <v>49.52</v>
      </c>
      <c r="Q1122">
        <v>4.95</v>
      </c>
      <c r="R1122">
        <v>193.13</v>
      </c>
      <c r="S1122">
        <v>9.66</v>
      </c>
      <c r="T1122">
        <v>10</v>
      </c>
      <c r="U1122">
        <v>5</v>
      </c>
      <c r="V1122">
        <v>217.79</v>
      </c>
      <c r="W1122" t="s">
        <v>27</v>
      </c>
      <c r="X1122">
        <v>32</v>
      </c>
    </row>
    <row r="1123" spans="1:24" ht="14.25" customHeight="1">
      <c r="A1123" t="s">
        <v>1871</v>
      </c>
      <c r="B1123" t="s">
        <v>2302</v>
      </c>
      <c r="C1123" s="6" t="str">
        <f t="shared" si="52"/>
        <v>January</v>
      </c>
      <c r="D1123" s="6" t="str">
        <f t="shared" si="53"/>
        <v>14</v>
      </c>
      <c r="E1123" t="s">
        <v>893</v>
      </c>
      <c r="F1123" t="s">
        <v>21</v>
      </c>
      <c r="G1123" t="s">
        <v>68</v>
      </c>
      <c r="H1123" s="4" t="s">
        <v>2258</v>
      </c>
      <c r="I1123">
        <v>634580</v>
      </c>
      <c r="J1123" s="8" t="s">
        <v>2345</v>
      </c>
      <c r="K1123" t="s">
        <v>536</v>
      </c>
      <c r="L1123" t="s">
        <v>537</v>
      </c>
      <c r="M1123" t="s">
        <v>89</v>
      </c>
      <c r="N1123">
        <f t="shared" si="54"/>
        <v>7</v>
      </c>
      <c r="O1123">
        <v>3</v>
      </c>
      <c r="P1123" s="6">
        <v>123.47</v>
      </c>
      <c r="Q1123">
        <v>0</v>
      </c>
      <c r="R1123">
        <v>370.41</v>
      </c>
      <c r="S1123">
        <v>18.52</v>
      </c>
      <c r="T1123">
        <v>0</v>
      </c>
      <c r="U1123">
        <v>0</v>
      </c>
      <c r="V1123">
        <v>388.92999999999989</v>
      </c>
      <c r="W1123" t="s">
        <v>117</v>
      </c>
      <c r="X1123">
        <v>25</v>
      </c>
    </row>
    <row r="1124" spans="1:24" ht="14.25" customHeight="1">
      <c r="A1124" t="s">
        <v>1872</v>
      </c>
      <c r="B1124" t="s">
        <v>2304</v>
      </c>
      <c r="C1124" s="6" t="str">
        <f t="shared" si="52"/>
        <v>January</v>
      </c>
      <c r="D1124" s="6" t="str">
        <f t="shared" si="53"/>
        <v>26</v>
      </c>
      <c r="E1124" t="s">
        <v>895</v>
      </c>
      <c r="F1124" t="s">
        <v>21</v>
      </c>
      <c r="G1124" t="s">
        <v>37</v>
      </c>
      <c r="H1124" s="4" t="s">
        <v>2258</v>
      </c>
      <c r="I1124">
        <v>811932</v>
      </c>
      <c r="J1124" s="8" t="s">
        <v>2349</v>
      </c>
      <c r="K1124" t="s">
        <v>540</v>
      </c>
      <c r="L1124" t="s">
        <v>541</v>
      </c>
      <c r="M1124" t="s">
        <v>26</v>
      </c>
      <c r="N1124">
        <f t="shared" si="54"/>
        <v>3</v>
      </c>
      <c r="O1124">
        <v>1</v>
      </c>
      <c r="P1124" s="6">
        <v>262.74</v>
      </c>
      <c r="Q1124">
        <v>26.27</v>
      </c>
      <c r="R1124">
        <v>236.47</v>
      </c>
      <c r="S1124">
        <v>11.82</v>
      </c>
      <c r="T1124">
        <v>20</v>
      </c>
      <c r="U1124">
        <v>15</v>
      </c>
      <c r="V1124">
        <v>283.29000000000002</v>
      </c>
      <c r="W1124" t="s">
        <v>27</v>
      </c>
      <c r="X1124">
        <v>28</v>
      </c>
    </row>
    <row r="1125" spans="1:24" ht="14.25" customHeight="1">
      <c r="A1125" t="s">
        <v>1873</v>
      </c>
      <c r="B1125" t="s">
        <v>2314</v>
      </c>
      <c r="C1125" s="6" t="str">
        <f t="shared" si="52"/>
        <v>February</v>
      </c>
      <c r="D1125" s="6" t="str">
        <f t="shared" si="53"/>
        <v>14</v>
      </c>
      <c r="E1125" t="s">
        <v>897</v>
      </c>
      <c r="F1125" t="s">
        <v>21</v>
      </c>
      <c r="G1125" t="s">
        <v>37</v>
      </c>
      <c r="H1125" s="4" t="s">
        <v>2258</v>
      </c>
      <c r="I1125">
        <v>721747</v>
      </c>
      <c r="J1125" s="8" t="s">
        <v>2346</v>
      </c>
      <c r="K1125" t="s">
        <v>544</v>
      </c>
      <c r="L1125" t="s">
        <v>545</v>
      </c>
      <c r="M1125" t="s">
        <v>71</v>
      </c>
      <c r="N1125">
        <f t="shared" si="54"/>
        <v>6</v>
      </c>
      <c r="O1125">
        <v>2</v>
      </c>
      <c r="P1125" s="6">
        <v>63.62</v>
      </c>
      <c r="Q1125">
        <v>3.18</v>
      </c>
      <c r="R1125">
        <v>124.06</v>
      </c>
      <c r="S1125">
        <v>6.2</v>
      </c>
      <c r="T1125">
        <v>10</v>
      </c>
      <c r="U1125">
        <v>5</v>
      </c>
      <c r="V1125">
        <v>145.26</v>
      </c>
      <c r="W1125" t="s">
        <v>27</v>
      </c>
      <c r="X1125">
        <v>36</v>
      </c>
    </row>
    <row r="1126" spans="1:24" ht="14.25" customHeight="1">
      <c r="A1126" t="s">
        <v>1874</v>
      </c>
      <c r="B1126" t="s">
        <v>2288</v>
      </c>
      <c r="C1126" s="6" t="str">
        <f t="shared" si="52"/>
        <v>January</v>
      </c>
      <c r="D1126" s="6" t="str">
        <f t="shared" si="53"/>
        <v>27</v>
      </c>
      <c r="E1126" t="s">
        <v>899</v>
      </c>
      <c r="F1126" t="s">
        <v>21</v>
      </c>
      <c r="G1126" t="s">
        <v>74</v>
      </c>
      <c r="H1126" s="4" t="s">
        <v>2258</v>
      </c>
      <c r="I1126">
        <v>329171</v>
      </c>
      <c r="J1126" s="8" t="s">
        <v>30</v>
      </c>
      <c r="K1126" t="s">
        <v>548</v>
      </c>
      <c r="L1126" t="s">
        <v>549</v>
      </c>
      <c r="M1126" t="s">
        <v>135</v>
      </c>
      <c r="N1126">
        <f t="shared" si="54"/>
        <v>9</v>
      </c>
      <c r="O1126">
        <v>3</v>
      </c>
      <c r="P1126" s="6">
        <v>15.57</v>
      </c>
      <c r="Q1126">
        <v>0</v>
      </c>
      <c r="R1126">
        <v>46.71</v>
      </c>
      <c r="S1126">
        <v>2.34</v>
      </c>
      <c r="T1126">
        <v>20</v>
      </c>
      <c r="U1126">
        <v>20</v>
      </c>
      <c r="V1126">
        <v>89.05</v>
      </c>
      <c r="W1126" t="s">
        <v>27</v>
      </c>
      <c r="X1126">
        <v>31</v>
      </c>
    </row>
    <row r="1127" spans="1:24" ht="14.25" customHeight="1">
      <c r="A1127" t="s">
        <v>1875</v>
      </c>
      <c r="B1127" t="s">
        <v>2299</v>
      </c>
      <c r="C1127" s="6" t="str">
        <f t="shared" si="52"/>
        <v>January</v>
      </c>
      <c r="D1127" s="6" t="str">
        <f t="shared" si="53"/>
        <v>09</v>
      </c>
      <c r="E1127" t="s">
        <v>901</v>
      </c>
      <c r="F1127" t="s">
        <v>80</v>
      </c>
      <c r="G1127" t="s">
        <v>81</v>
      </c>
      <c r="H1127" s="4" t="s">
        <v>2258</v>
      </c>
      <c r="I1127">
        <v>574551</v>
      </c>
      <c r="J1127" s="8" t="s">
        <v>2349</v>
      </c>
      <c r="K1127" t="s">
        <v>552</v>
      </c>
      <c r="L1127" t="s">
        <v>553</v>
      </c>
      <c r="M1127" t="s">
        <v>77</v>
      </c>
      <c r="N1127">
        <f t="shared" si="54"/>
        <v>5</v>
      </c>
      <c r="O1127">
        <v>2</v>
      </c>
      <c r="P1127" s="6">
        <v>62.87</v>
      </c>
      <c r="Q1127">
        <v>9.43</v>
      </c>
      <c r="R1127">
        <v>116.31</v>
      </c>
      <c r="S1127">
        <v>5.82</v>
      </c>
      <c r="T1127">
        <v>20</v>
      </c>
      <c r="U1127">
        <v>20</v>
      </c>
      <c r="V1127">
        <v>162.13</v>
      </c>
      <c r="W1127" t="s">
        <v>27</v>
      </c>
      <c r="X1127">
        <v>20</v>
      </c>
    </row>
    <row r="1128" spans="1:24" ht="14.25" customHeight="1">
      <c r="A1128" t="s">
        <v>1876</v>
      </c>
      <c r="B1128" t="s">
        <v>2304</v>
      </c>
      <c r="C1128" s="6" t="str">
        <f t="shared" si="52"/>
        <v>January</v>
      </c>
      <c r="D1128" s="6" t="str">
        <f t="shared" si="53"/>
        <v>26</v>
      </c>
      <c r="E1128" t="s">
        <v>903</v>
      </c>
      <c r="F1128" t="s">
        <v>21</v>
      </c>
      <c r="G1128" t="s">
        <v>106</v>
      </c>
      <c r="H1128" s="4" t="s">
        <v>2258</v>
      </c>
      <c r="I1128">
        <v>698411</v>
      </c>
      <c r="J1128" s="8" t="s">
        <v>30</v>
      </c>
      <c r="K1128" t="s">
        <v>556</v>
      </c>
      <c r="L1128" t="s">
        <v>557</v>
      </c>
      <c r="M1128" t="s">
        <v>50</v>
      </c>
      <c r="N1128">
        <f t="shared" si="54"/>
        <v>5</v>
      </c>
      <c r="O1128">
        <v>3</v>
      </c>
      <c r="P1128" s="6">
        <v>224.85</v>
      </c>
      <c r="Q1128">
        <v>22.48</v>
      </c>
      <c r="R1128">
        <v>652.06999999999994</v>
      </c>
      <c r="S1128">
        <v>32.6</v>
      </c>
      <c r="T1128">
        <v>30</v>
      </c>
      <c r="U1128">
        <v>10</v>
      </c>
      <c r="V1128">
        <v>724.67</v>
      </c>
      <c r="W1128" t="s">
        <v>27</v>
      </c>
      <c r="X1128">
        <v>22</v>
      </c>
    </row>
    <row r="1129" spans="1:24" ht="14.25" customHeight="1">
      <c r="A1129" t="s">
        <v>1877</v>
      </c>
      <c r="B1129" t="s">
        <v>2296</v>
      </c>
      <c r="C1129" s="6" t="str">
        <f t="shared" si="52"/>
        <v>February</v>
      </c>
      <c r="D1129" s="6" t="str">
        <f t="shared" si="53"/>
        <v>26</v>
      </c>
      <c r="E1129" t="s">
        <v>905</v>
      </c>
      <c r="F1129" t="s">
        <v>21</v>
      </c>
      <c r="G1129" t="s">
        <v>74</v>
      </c>
      <c r="H1129" s="4" t="s">
        <v>2258</v>
      </c>
      <c r="I1129">
        <v>928396</v>
      </c>
      <c r="J1129" s="8" t="s">
        <v>2345</v>
      </c>
      <c r="K1129" t="s">
        <v>560</v>
      </c>
      <c r="L1129" t="s">
        <v>561</v>
      </c>
      <c r="M1129" t="s">
        <v>135</v>
      </c>
      <c r="N1129">
        <f t="shared" si="54"/>
        <v>9</v>
      </c>
      <c r="O1129">
        <v>1</v>
      </c>
      <c r="P1129" s="6">
        <v>155.27000000000001</v>
      </c>
      <c r="Q1129">
        <v>15.53</v>
      </c>
      <c r="R1129">
        <v>139.74</v>
      </c>
      <c r="S1129">
        <v>6.99</v>
      </c>
      <c r="T1129">
        <v>10</v>
      </c>
      <c r="U1129">
        <v>0</v>
      </c>
      <c r="V1129">
        <v>156.72999999999999</v>
      </c>
      <c r="W1129" t="s">
        <v>27</v>
      </c>
      <c r="X1129">
        <v>31</v>
      </c>
    </row>
    <row r="1130" spans="1:24" ht="14.25" customHeight="1">
      <c r="A1130" t="s">
        <v>1878</v>
      </c>
      <c r="B1130" t="s">
        <v>2293</v>
      </c>
      <c r="C1130" s="6" t="str">
        <f t="shared" si="52"/>
        <v>February</v>
      </c>
      <c r="D1130" s="6" t="str">
        <f t="shared" si="53"/>
        <v>16</v>
      </c>
      <c r="E1130" t="s">
        <v>907</v>
      </c>
      <c r="F1130" t="s">
        <v>21</v>
      </c>
      <c r="G1130" t="s">
        <v>22</v>
      </c>
      <c r="H1130" s="4" t="s">
        <v>2258</v>
      </c>
      <c r="I1130">
        <v>741687</v>
      </c>
      <c r="J1130" s="8" t="s">
        <v>2349</v>
      </c>
      <c r="K1130" t="s">
        <v>564</v>
      </c>
      <c r="L1130" t="s">
        <v>565</v>
      </c>
      <c r="M1130" t="s">
        <v>71</v>
      </c>
      <c r="N1130">
        <f t="shared" si="54"/>
        <v>6</v>
      </c>
      <c r="O1130">
        <v>3</v>
      </c>
      <c r="P1130" s="6">
        <v>63.15</v>
      </c>
      <c r="Q1130">
        <v>9.4700000000000006</v>
      </c>
      <c r="R1130">
        <v>179.98</v>
      </c>
      <c r="S1130">
        <v>9</v>
      </c>
      <c r="T1130">
        <v>10</v>
      </c>
      <c r="U1130">
        <v>15</v>
      </c>
      <c r="V1130">
        <v>213.98</v>
      </c>
      <c r="W1130" t="s">
        <v>27</v>
      </c>
      <c r="X1130">
        <v>27</v>
      </c>
    </row>
    <row r="1131" spans="1:24" ht="14.25" customHeight="1">
      <c r="A1131" t="s">
        <v>1879</v>
      </c>
      <c r="B1131" t="s">
        <v>2296</v>
      </c>
      <c r="C1131" s="6" t="str">
        <f t="shared" si="52"/>
        <v>February</v>
      </c>
      <c r="D1131" s="6" t="str">
        <f t="shared" si="53"/>
        <v>26</v>
      </c>
      <c r="E1131" t="s">
        <v>909</v>
      </c>
      <c r="F1131" t="s">
        <v>21</v>
      </c>
      <c r="G1131" t="s">
        <v>22</v>
      </c>
      <c r="H1131" s="4" t="s">
        <v>2258</v>
      </c>
      <c r="I1131">
        <v>448058</v>
      </c>
      <c r="J1131" s="8" t="s">
        <v>30</v>
      </c>
      <c r="K1131" t="s">
        <v>568</v>
      </c>
      <c r="L1131" t="s">
        <v>569</v>
      </c>
      <c r="M1131" t="s">
        <v>71</v>
      </c>
      <c r="N1131">
        <f t="shared" si="54"/>
        <v>6</v>
      </c>
      <c r="O1131">
        <v>2</v>
      </c>
      <c r="P1131" s="6">
        <v>108.09</v>
      </c>
      <c r="Q1131">
        <v>0</v>
      </c>
      <c r="R1131">
        <v>216.18</v>
      </c>
      <c r="S1131">
        <v>10.81</v>
      </c>
      <c r="T1131">
        <v>30</v>
      </c>
      <c r="U1131">
        <v>0</v>
      </c>
      <c r="V1131">
        <v>256.99</v>
      </c>
      <c r="W1131" t="s">
        <v>27</v>
      </c>
      <c r="X1131">
        <v>16</v>
      </c>
    </row>
    <row r="1132" spans="1:24" ht="14.25" customHeight="1">
      <c r="A1132" t="s">
        <v>1880</v>
      </c>
      <c r="B1132" t="s">
        <v>2278</v>
      </c>
      <c r="C1132" s="6" t="str">
        <f t="shared" si="52"/>
        <v>January</v>
      </c>
      <c r="D1132" s="6" t="str">
        <f t="shared" si="53"/>
        <v>22</v>
      </c>
      <c r="E1132" t="s">
        <v>911</v>
      </c>
      <c r="F1132" t="s">
        <v>21</v>
      </c>
      <c r="G1132" t="s">
        <v>74</v>
      </c>
      <c r="H1132" s="4" t="s">
        <v>2258</v>
      </c>
      <c r="I1132">
        <v>635827</v>
      </c>
      <c r="J1132" s="8" t="s">
        <v>30</v>
      </c>
      <c r="K1132" t="s">
        <v>572</v>
      </c>
      <c r="L1132" t="s">
        <v>573</v>
      </c>
      <c r="M1132" t="s">
        <v>130</v>
      </c>
      <c r="N1132">
        <f t="shared" si="54"/>
        <v>7</v>
      </c>
      <c r="O1132">
        <v>5</v>
      </c>
      <c r="P1132" s="6">
        <v>151.86000000000001</v>
      </c>
      <c r="Q1132">
        <v>0</v>
      </c>
      <c r="R1132">
        <v>759.30000000000007</v>
      </c>
      <c r="S1132">
        <v>37.97</v>
      </c>
      <c r="T1132">
        <v>10</v>
      </c>
      <c r="U1132">
        <v>0</v>
      </c>
      <c r="V1132">
        <v>807.2700000000001</v>
      </c>
      <c r="W1132" t="s">
        <v>27</v>
      </c>
      <c r="X1132">
        <v>28</v>
      </c>
    </row>
    <row r="1133" spans="1:24" ht="14.25" customHeight="1">
      <c r="A1133" t="s">
        <v>1881</v>
      </c>
      <c r="B1133" t="s">
        <v>2293</v>
      </c>
      <c r="C1133" s="6" t="str">
        <f t="shared" si="52"/>
        <v>February</v>
      </c>
      <c r="D1133" s="6" t="str">
        <f t="shared" si="53"/>
        <v>16</v>
      </c>
      <c r="E1133" t="s">
        <v>913</v>
      </c>
      <c r="F1133" t="s">
        <v>21</v>
      </c>
      <c r="G1133" t="s">
        <v>22</v>
      </c>
      <c r="H1133" s="4" t="s">
        <v>2258</v>
      </c>
      <c r="I1133">
        <v>491407</v>
      </c>
      <c r="J1133" s="8" t="s">
        <v>2349</v>
      </c>
      <c r="K1133" t="s">
        <v>576</v>
      </c>
      <c r="L1133" t="s">
        <v>577</v>
      </c>
      <c r="M1133" t="s">
        <v>45</v>
      </c>
      <c r="N1133">
        <f t="shared" si="54"/>
        <v>6</v>
      </c>
      <c r="O1133">
        <v>2</v>
      </c>
      <c r="P1133" s="6">
        <v>137.76</v>
      </c>
      <c r="Q1133">
        <v>20.66</v>
      </c>
      <c r="R1133">
        <v>254.86</v>
      </c>
      <c r="S1133">
        <v>12.74</v>
      </c>
      <c r="T1133">
        <v>10</v>
      </c>
      <c r="U1133">
        <v>10</v>
      </c>
      <c r="V1133">
        <v>287.60000000000002</v>
      </c>
      <c r="W1133" t="s">
        <v>27</v>
      </c>
      <c r="X1133">
        <v>28</v>
      </c>
    </row>
    <row r="1134" spans="1:24" ht="14.25" customHeight="1">
      <c r="A1134" t="s">
        <v>1882</v>
      </c>
      <c r="B1134" t="s">
        <v>2320</v>
      </c>
      <c r="C1134" s="6" t="str">
        <f t="shared" si="52"/>
        <v>February</v>
      </c>
      <c r="D1134" s="6" t="str">
        <f t="shared" si="53"/>
        <v>25</v>
      </c>
      <c r="E1134" t="s">
        <v>915</v>
      </c>
      <c r="F1134" t="s">
        <v>101</v>
      </c>
      <c r="G1134" t="s">
        <v>81</v>
      </c>
      <c r="H1134" s="4" t="s">
        <v>2258</v>
      </c>
      <c r="I1134">
        <v>419586</v>
      </c>
      <c r="J1134" s="8" t="s">
        <v>62</v>
      </c>
      <c r="K1134" t="s">
        <v>580</v>
      </c>
      <c r="L1134" t="s">
        <v>581</v>
      </c>
      <c r="M1134" t="s">
        <v>98</v>
      </c>
      <c r="N1134">
        <f t="shared" si="54"/>
        <v>4</v>
      </c>
      <c r="O1134">
        <v>1</v>
      </c>
      <c r="P1134" s="6">
        <v>272.94</v>
      </c>
      <c r="Q1134">
        <v>40.94</v>
      </c>
      <c r="R1134">
        <v>232</v>
      </c>
      <c r="S1134">
        <v>11.6</v>
      </c>
      <c r="T1134">
        <v>30</v>
      </c>
      <c r="U1134">
        <v>5</v>
      </c>
      <c r="V1134">
        <v>278.60000000000002</v>
      </c>
      <c r="W1134" t="s">
        <v>27</v>
      </c>
      <c r="X1134">
        <v>30</v>
      </c>
    </row>
    <row r="1135" spans="1:24" ht="14.25" customHeight="1">
      <c r="A1135" t="s">
        <v>1883</v>
      </c>
      <c r="B1135" t="s">
        <v>2281</v>
      </c>
      <c r="C1135" s="6" t="str">
        <f t="shared" si="52"/>
        <v>January</v>
      </c>
      <c r="D1135" s="6" t="str">
        <f t="shared" si="53"/>
        <v>30</v>
      </c>
      <c r="E1135" t="s">
        <v>917</v>
      </c>
      <c r="F1135" t="s">
        <v>21</v>
      </c>
      <c r="G1135" t="s">
        <v>22</v>
      </c>
      <c r="H1135" s="4" t="s">
        <v>2258</v>
      </c>
      <c r="I1135">
        <v>889622</v>
      </c>
      <c r="J1135" s="8" t="s">
        <v>2347</v>
      </c>
      <c r="K1135" t="s">
        <v>584</v>
      </c>
      <c r="L1135" t="s">
        <v>585</v>
      </c>
      <c r="M1135" t="s">
        <v>65</v>
      </c>
      <c r="N1135">
        <f t="shared" si="54"/>
        <v>6</v>
      </c>
      <c r="O1135">
        <v>1</v>
      </c>
      <c r="P1135" s="6">
        <v>172.24</v>
      </c>
      <c r="Q1135">
        <v>17.22</v>
      </c>
      <c r="R1135">
        <v>155.02000000000001</v>
      </c>
      <c r="S1135">
        <v>7.75</v>
      </c>
      <c r="T1135">
        <v>30</v>
      </c>
      <c r="U1135">
        <v>10</v>
      </c>
      <c r="V1135">
        <v>202.77</v>
      </c>
      <c r="W1135" t="s">
        <v>27</v>
      </c>
      <c r="X1135">
        <v>34</v>
      </c>
    </row>
    <row r="1136" spans="1:24" ht="14.25" customHeight="1">
      <c r="A1136" t="s">
        <v>1884</v>
      </c>
      <c r="B1136" t="s">
        <v>2266</v>
      </c>
      <c r="C1136" s="6" t="str">
        <f t="shared" si="52"/>
        <v>February</v>
      </c>
      <c r="D1136" s="6" t="str">
        <f t="shared" si="53"/>
        <v>12</v>
      </c>
      <c r="E1136" t="s">
        <v>919</v>
      </c>
      <c r="F1136" t="s">
        <v>21</v>
      </c>
      <c r="G1136" t="s">
        <v>68</v>
      </c>
      <c r="H1136" s="4" t="s">
        <v>2258</v>
      </c>
      <c r="I1136">
        <v>790778</v>
      </c>
      <c r="J1136" s="8" t="s">
        <v>62</v>
      </c>
      <c r="K1136" t="s">
        <v>588</v>
      </c>
      <c r="L1136" t="s">
        <v>589</v>
      </c>
      <c r="M1136" t="s">
        <v>77</v>
      </c>
      <c r="N1136">
        <f t="shared" si="54"/>
        <v>5</v>
      </c>
      <c r="O1136">
        <v>2</v>
      </c>
      <c r="P1136" s="6">
        <v>136.12</v>
      </c>
      <c r="Q1136">
        <v>20.420000000000002</v>
      </c>
      <c r="R1136">
        <v>251.82</v>
      </c>
      <c r="S1136">
        <v>12.59</v>
      </c>
      <c r="T1136">
        <v>10</v>
      </c>
      <c r="U1136">
        <v>5</v>
      </c>
      <c r="V1136">
        <v>279.41000000000003</v>
      </c>
      <c r="W1136" t="s">
        <v>27</v>
      </c>
      <c r="X1136">
        <v>18</v>
      </c>
    </row>
    <row r="1137" spans="1:24" ht="14.25" customHeight="1">
      <c r="A1137" t="s">
        <v>1885</v>
      </c>
      <c r="B1137" t="s">
        <v>2313</v>
      </c>
      <c r="C1137" s="6" t="str">
        <f t="shared" si="52"/>
        <v>February</v>
      </c>
      <c r="D1137" s="6" t="str">
        <f t="shared" si="53"/>
        <v>17</v>
      </c>
      <c r="E1137" t="s">
        <v>921</v>
      </c>
      <c r="F1137" t="s">
        <v>80</v>
      </c>
      <c r="G1137" t="s">
        <v>81</v>
      </c>
      <c r="H1137" s="4" t="s">
        <v>2258</v>
      </c>
      <c r="I1137">
        <v>893327</v>
      </c>
      <c r="J1137" s="8" t="s">
        <v>2345</v>
      </c>
      <c r="K1137" t="s">
        <v>592</v>
      </c>
      <c r="L1137" t="s">
        <v>593</v>
      </c>
      <c r="M1137" t="s">
        <v>71</v>
      </c>
      <c r="N1137">
        <f t="shared" si="54"/>
        <v>6</v>
      </c>
      <c r="O1137">
        <v>1</v>
      </c>
      <c r="P1137" s="6">
        <v>115.19</v>
      </c>
      <c r="Q1137">
        <v>17.28</v>
      </c>
      <c r="R1137">
        <v>97.91</v>
      </c>
      <c r="S1137">
        <v>4.9000000000000004</v>
      </c>
      <c r="T1137">
        <v>10</v>
      </c>
      <c r="U1137">
        <v>15</v>
      </c>
      <c r="V1137">
        <v>127.81</v>
      </c>
      <c r="W1137" t="s">
        <v>27</v>
      </c>
      <c r="X1137">
        <v>17</v>
      </c>
    </row>
    <row r="1138" spans="1:24" ht="14.25" customHeight="1">
      <c r="A1138" t="s">
        <v>1886</v>
      </c>
      <c r="B1138" t="s">
        <v>2307</v>
      </c>
      <c r="C1138" s="6" t="str">
        <f t="shared" si="52"/>
        <v>January</v>
      </c>
      <c r="D1138" s="6" t="str">
        <f t="shared" si="53"/>
        <v>17</v>
      </c>
      <c r="E1138" t="s">
        <v>923</v>
      </c>
      <c r="F1138" t="s">
        <v>21</v>
      </c>
      <c r="G1138" t="s">
        <v>68</v>
      </c>
      <c r="H1138" s="4" t="s">
        <v>2258</v>
      </c>
      <c r="I1138">
        <v>645648</v>
      </c>
      <c r="J1138" s="8" t="s">
        <v>2348</v>
      </c>
      <c r="K1138" t="s">
        <v>596</v>
      </c>
      <c r="L1138" t="s">
        <v>597</v>
      </c>
      <c r="M1138" t="s">
        <v>40</v>
      </c>
      <c r="N1138">
        <f t="shared" si="54"/>
        <v>6</v>
      </c>
      <c r="O1138">
        <v>1</v>
      </c>
      <c r="P1138" s="6">
        <v>129.05000000000001</v>
      </c>
      <c r="Q1138">
        <v>6.45</v>
      </c>
      <c r="R1138">
        <v>122.6</v>
      </c>
      <c r="S1138">
        <v>6.13</v>
      </c>
      <c r="T1138">
        <v>0</v>
      </c>
      <c r="U1138">
        <v>15</v>
      </c>
      <c r="V1138">
        <v>143.72999999999999</v>
      </c>
      <c r="W1138" t="s">
        <v>27</v>
      </c>
      <c r="X1138">
        <v>6</v>
      </c>
    </row>
    <row r="1139" spans="1:24" ht="14.25" customHeight="1">
      <c r="A1139" t="s">
        <v>1887</v>
      </c>
      <c r="B1139" t="s">
        <v>2304</v>
      </c>
      <c r="C1139" s="6" t="str">
        <f t="shared" si="52"/>
        <v>January</v>
      </c>
      <c r="D1139" s="6" t="str">
        <f t="shared" si="53"/>
        <v>26</v>
      </c>
      <c r="E1139" t="s">
        <v>925</v>
      </c>
      <c r="F1139" t="s">
        <v>21</v>
      </c>
      <c r="G1139" t="s">
        <v>37</v>
      </c>
      <c r="H1139" s="4" t="s">
        <v>2258</v>
      </c>
      <c r="I1139">
        <v>401075</v>
      </c>
      <c r="J1139" s="8" t="s">
        <v>2345</v>
      </c>
      <c r="K1139" t="s">
        <v>600</v>
      </c>
      <c r="L1139" t="s">
        <v>601</v>
      </c>
      <c r="M1139" t="s">
        <v>26</v>
      </c>
      <c r="N1139">
        <f t="shared" si="54"/>
        <v>3</v>
      </c>
      <c r="O1139">
        <v>4</v>
      </c>
      <c r="P1139" s="6">
        <v>39.6</v>
      </c>
      <c r="Q1139">
        <v>5.94</v>
      </c>
      <c r="R1139">
        <v>152.46</v>
      </c>
      <c r="S1139">
        <v>7.62</v>
      </c>
      <c r="T1139">
        <v>30</v>
      </c>
      <c r="U1139">
        <v>20</v>
      </c>
      <c r="V1139">
        <v>210.08</v>
      </c>
      <c r="W1139" t="s">
        <v>27</v>
      </c>
      <c r="X1139">
        <v>29</v>
      </c>
    </row>
    <row r="1140" spans="1:24" ht="14.25" customHeight="1">
      <c r="A1140" t="s">
        <v>1888</v>
      </c>
      <c r="B1140" t="s">
        <v>2275</v>
      </c>
      <c r="C1140" s="6" t="str">
        <f t="shared" si="52"/>
        <v>February</v>
      </c>
      <c r="D1140" s="6" t="str">
        <f t="shared" si="53"/>
        <v>05</v>
      </c>
      <c r="E1140" t="s">
        <v>927</v>
      </c>
      <c r="F1140" t="s">
        <v>21</v>
      </c>
      <c r="G1140" t="s">
        <v>106</v>
      </c>
      <c r="H1140" s="4" t="s">
        <v>2258</v>
      </c>
      <c r="I1140">
        <v>763431</v>
      </c>
      <c r="J1140" s="8" t="s">
        <v>2348</v>
      </c>
      <c r="K1140" t="s">
        <v>604</v>
      </c>
      <c r="L1140" t="s">
        <v>605</v>
      </c>
      <c r="M1140" t="s">
        <v>26</v>
      </c>
      <c r="N1140">
        <f t="shared" si="54"/>
        <v>3</v>
      </c>
      <c r="O1140">
        <v>4</v>
      </c>
      <c r="P1140" s="6">
        <v>156.83000000000001</v>
      </c>
      <c r="Q1140">
        <v>15.68</v>
      </c>
      <c r="R1140">
        <v>611.6400000000001</v>
      </c>
      <c r="S1140">
        <v>30.58</v>
      </c>
      <c r="T1140">
        <v>30</v>
      </c>
      <c r="U1140">
        <v>15</v>
      </c>
      <c r="V1140">
        <v>687.22000000000014</v>
      </c>
      <c r="W1140" t="s">
        <v>27</v>
      </c>
      <c r="X1140">
        <v>22</v>
      </c>
    </row>
    <row r="1141" spans="1:24" ht="14.25" customHeight="1">
      <c r="A1141" t="s">
        <v>1889</v>
      </c>
      <c r="B1141" t="s">
        <v>2316</v>
      </c>
      <c r="C1141" s="6" t="str">
        <f t="shared" si="52"/>
        <v>January</v>
      </c>
      <c r="D1141" s="6" t="str">
        <f t="shared" si="53"/>
        <v>01</v>
      </c>
      <c r="E1141" t="s">
        <v>929</v>
      </c>
      <c r="F1141" t="s">
        <v>21</v>
      </c>
      <c r="G1141" t="s">
        <v>68</v>
      </c>
      <c r="H1141" s="4" t="s">
        <v>2258</v>
      </c>
      <c r="I1141">
        <v>709723</v>
      </c>
      <c r="J1141" s="8" t="s">
        <v>62</v>
      </c>
      <c r="K1141" t="s">
        <v>608</v>
      </c>
      <c r="L1141" t="s">
        <v>609</v>
      </c>
      <c r="M1141" t="s">
        <v>98</v>
      </c>
      <c r="N1141">
        <f t="shared" si="54"/>
        <v>4</v>
      </c>
      <c r="O1141">
        <v>2</v>
      </c>
      <c r="P1141" s="6">
        <v>118.71</v>
      </c>
      <c r="Q1141">
        <v>11.87</v>
      </c>
      <c r="R1141">
        <v>225.55</v>
      </c>
      <c r="S1141">
        <v>11.28</v>
      </c>
      <c r="T1141">
        <v>10</v>
      </c>
      <c r="U1141">
        <v>10</v>
      </c>
      <c r="V1141">
        <v>256.83</v>
      </c>
      <c r="W1141" t="s">
        <v>27</v>
      </c>
      <c r="X1141">
        <v>24</v>
      </c>
    </row>
    <row r="1142" spans="1:24" ht="14.25" customHeight="1">
      <c r="A1142" t="s">
        <v>1890</v>
      </c>
      <c r="B1142" t="s">
        <v>2267</v>
      </c>
      <c r="C1142" s="6" t="str">
        <f t="shared" si="52"/>
        <v>January</v>
      </c>
      <c r="D1142" s="6" t="str">
        <f t="shared" si="53"/>
        <v>08</v>
      </c>
      <c r="E1142" t="s">
        <v>931</v>
      </c>
      <c r="F1142" t="s">
        <v>21</v>
      </c>
      <c r="G1142" t="s">
        <v>68</v>
      </c>
      <c r="H1142" s="4" t="s">
        <v>2258</v>
      </c>
      <c r="I1142">
        <v>872783</v>
      </c>
      <c r="J1142" s="8" t="s">
        <v>2349</v>
      </c>
      <c r="K1142" t="s">
        <v>612</v>
      </c>
      <c r="L1142" t="s">
        <v>613</v>
      </c>
      <c r="M1142" t="s">
        <v>33</v>
      </c>
      <c r="N1142">
        <f t="shared" si="54"/>
        <v>10</v>
      </c>
      <c r="O1142">
        <v>1</v>
      </c>
      <c r="P1142" s="6">
        <v>142.16</v>
      </c>
      <c r="Q1142">
        <v>21.32</v>
      </c>
      <c r="R1142">
        <v>120.84</v>
      </c>
      <c r="S1142">
        <v>6.04</v>
      </c>
      <c r="T1142">
        <v>0</v>
      </c>
      <c r="U1142">
        <v>10</v>
      </c>
      <c r="V1142">
        <v>136.88</v>
      </c>
      <c r="W1142" t="s">
        <v>27</v>
      </c>
      <c r="X1142">
        <v>20</v>
      </c>
    </row>
    <row r="1143" spans="1:24" ht="14.25" customHeight="1">
      <c r="A1143" t="s">
        <v>1891</v>
      </c>
      <c r="B1143" t="s">
        <v>2287</v>
      </c>
      <c r="C1143" s="6" t="str">
        <f t="shared" si="52"/>
        <v>February</v>
      </c>
      <c r="D1143" s="6" t="str">
        <f t="shared" si="53"/>
        <v>18</v>
      </c>
      <c r="E1143" t="s">
        <v>933</v>
      </c>
      <c r="F1143" t="s">
        <v>21</v>
      </c>
      <c r="G1143" t="s">
        <v>106</v>
      </c>
      <c r="H1143" s="4" t="s">
        <v>2258</v>
      </c>
      <c r="I1143">
        <v>661669</v>
      </c>
      <c r="J1143" s="8" t="s">
        <v>2348</v>
      </c>
      <c r="K1143" t="s">
        <v>616</v>
      </c>
      <c r="L1143" t="s">
        <v>617</v>
      </c>
      <c r="M1143" t="s">
        <v>55</v>
      </c>
      <c r="N1143">
        <f t="shared" si="54"/>
        <v>5</v>
      </c>
      <c r="O1143">
        <v>3</v>
      </c>
      <c r="P1143" s="6">
        <v>123.21</v>
      </c>
      <c r="Q1143">
        <v>12.32</v>
      </c>
      <c r="R1143">
        <v>357.31</v>
      </c>
      <c r="S1143">
        <v>17.87</v>
      </c>
      <c r="T1143">
        <v>10</v>
      </c>
      <c r="U1143">
        <v>20</v>
      </c>
      <c r="V1143">
        <v>405.18</v>
      </c>
      <c r="W1143" t="s">
        <v>27</v>
      </c>
      <c r="X1143">
        <v>34</v>
      </c>
    </row>
    <row r="1144" spans="1:24" ht="14.25" customHeight="1">
      <c r="A1144" t="s">
        <v>1892</v>
      </c>
      <c r="B1144" t="s">
        <v>2306</v>
      </c>
      <c r="C1144" s="6" t="str">
        <f t="shared" si="52"/>
        <v>February</v>
      </c>
      <c r="D1144" s="6" t="str">
        <f t="shared" si="53"/>
        <v>04</v>
      </c>
      <c r="E1144" t="s">
        <v>935</v>
      </c>
      <c r="F1144" t="s">
        <v>21</v>
      </c>
      <c r="G1144" t="s">
        <v>68</v>
      </c>
      <c r="H1144" s="4" t="s">
        <v>2258</v>
      </c>
      <c r="I1144">
        <v>623512</v>
      </c>
      <c r="J1144" s="8" t="s">
        <v>30</v>
      </c>
      <c r="K1144" t="s">
        <v>620</v>
      </c>
      <c r="L1144" t="s">
        <v>621</v>
      </c>
      <c r="M1144" t="s">
        <v>50</v>
      </c>
      <c r="N1144">
        <f t="shared" si="54"/>
        <v>5</v>
      </c>
      <c r="O1144">
        <v>1</v>
      </c>
      <c r="P1144" s="6">
        <v>109.47</v>
      </c>
      <c r="Q1144">
        <v>16.420000000000002</v>
      </c>
      <c r="R1144">
        <v>93.05</v>
      </c>
      <c r="S1144">
        <v>4.6500000000000004</v>
      </c>
      <c r="T1144">
        <v>30</v>
      </c>
      <c r="U1144">
        <v>20</v>
      </c>
      <c r="V1144">
        <v>147.69999999999999</v>
      </c>
      <c r="W1144" t="s">
        <v>27</v>
      </c>
      <c r="X1144">
        <v>24</v>
      </c>
    </row>
    <row r="1145" spans="1:24" ht="14.25" customHeight="1">
      <c r="A1145" t="s">
        <v>1893</v>
      </c>
      <c r="B1145" t="s">
        <v>2263</v>
      </c>
      <c r="C1145" s="6" t="str">
        <f t="shared" si="52"/>
        <v>February</v>
      </c>
      <c r="D1145" s="6" t="str">
        <f t="shared" si="53"/>
        <v>21</v>
      </c>
      <c r="E1145" t="s">
        <v>937</v>
      </c>
      <c r="F1145" t="s">
        <v>21</v>
      </c>
      <c r="G1145" t="s">
        <v>37</v>
      </c>
      <c r="H1145" s="4" t="s">
        <v>2258</v>
      </c>
      <c r="I1145">
        <v>158453</v>
      </c>
      <c r="J1145" s="8" t="s">
        <v>2346</v>
      </c>
      <c r="K1145" t="s">
        <v>624</v>
      </c>
      <c r="L1145" t="s">
        <v>625</v>
      </c>
      <c r="M1145" t="s">
        <v>50</v>
      </c>
      <c r="N1145">
        <f t="shared" si="54"/>
        <v>5</v>
      </c>
      <c r="O1145">
        <v>1</v>
      </c>
      <c r="P1145" s="6">
        <v>56.04</v>
      </c>
      <c r="Q1145">
        <v>0</v>
      </c>
      <c r="R1145">
        <v>56.04</v>
      </c>
      <c r="S1145">
        <v>2.8</v>
      </c>
      <c r="T1145">
        <v>30</v>
      </c>
      <c r="U1145">
        <v>15</v>
      </c>
      <c r="V1145">
        <v>103.84</v>
      </c>
      <c r="W1145" t="s">
        <v>117</v>
      </c>
      <c r="X1145">
        <v>25</v>
      </c>
    </row>
    <row r="1146" spans="1:24" ht="14.25" customHeight="1">
      <c r="A1146" t="s">
        <v>1894</v>
      </c>
      <c r="B1146" t="s">
        <v>2265</v>
      </c>
      <c r="C1146" s="6" t="str">
        <f t="shared" si="52"/>
        <v>January</v>
      </c>
      <c r="D1146" s="6" t="str">
        <f t="shared" si="53"/>
        <v>15</v>
      </c>
      <c r="E1146" t="s">
        <v>939</v>
      </c>
      <c r="F1146" t="s">
        <v>21</v>
      </c>
      <c r="G1146" t="s">
        <v>106</v>
      </c>
      <c r="H1146" s="4" t="s">
        <v>2258</v>
      </c>
      <c r="I1146">
        <v>671386</v>
      </c>
      <c r="J1146" s="8" t="s">
        <v>2349</v>
      </c>
      <c r="K1146" t="s">
        <v>628</v>
      </c>
      <c r="L1146" t="s">
        <v>629</v>
      </c>
      <c r="M1146" t="s">
        <v>65</v>
      </c>
      <c r="N1146">
        <f t="shared" si="54"/>
        <v>6</v>
      </c>
      <c r="O1146">
        <v>4</v>
      </c>
      <c r="P1146" s="6">
        <v>102.06</v>
      </c>
      <c r="Q1146">
        <v>10.210000000000001</v>
      </c>
      <c r="R1146">
        <v>398.03</v>
      </c>
      <c r="S1146">
        <v>19.899999999999999</v>
      </c>
      <c r="T1146">
        <v>20</v>
      </c>
      <c r="U1146">
        <v>15</v>
      </c>
      <c r="V1146">
        <v>452.93</v>
      </c>
      <c r="W1146" t="s">
        <v>27</v>
      </c>
      <c r="X1146">
        <v>19</v>
      </c>
    </row>
    <row r="1147" spans="1:24" ht="14.25" customHeight="1">
      <c r="A1147" t="s">
        <v>1895</v>
      </c>
      <c r="B1147" t="s">
        <v>2293</v>
      </c>
      <c r="C1147" s="6" t="str">
        <f t="shared" si="52"/>
        <v>February</v>
      </c>
      <c r="D1147" s="6" t="str">
        <f t="shared" si="53"/>
        <v>16</v>
      </c>
      <c r="E1147" t="s">
        <v>941</v>
      </c>
      <c r="F1147" t="s">
        <v>21</v>
      </c>
      <c r="G1147" t="s">
        <v>106</v>
      </c>
      <c r="H1147" s="4" t="s">
        <v>2258</v>
      </c>
      <c r="I1147">
        <v>791898</v>
      </c>
      <c r="J1147" s="8" t="s">
        <v>2348</v>
      </c>
      <c r="K1147" t="s">
        <v>632</v>
      </c>
      <c r="L1147" t="s">
        <v>633</v>
      </c>
      <c r="M1147" t="s">
        <v>130</v>
      </c>
      <c r="N1147">
        <f t="shared" si="54"/>
        <v>7</v>
      </c>
      <c r="O1147">
        <v>2</v>
      </c>
      <c r="P1147" s="6">
        <v>122.39</v>
      </c>
      <c r="Q1147">
        <v>12.24</v>
      </c>
      <c r="R1147">
        <v>232.54</v>
      </c>
      <c r="S1147">
        <v>11.63</v>
      </c>
      <c r="T1147">
        <v>10</v>
      </c>
      <c r="U1147">
        <v>15</v>
      </c>
      <c r="V1147">
        <v>269.17</v>
      </c>
      <c r="W1147" t="s">
        <v>34</v>
      </c>
      <c r="X1147">
        <v>25</v>
      </c>
    </row>
    <row r="1148" spans="1:24" ht="14.25" customHeight="1">
      <c r="A1148" t="s">
        <v>1896</v>
      </c>
      <c r="B1148" t="s">
        <v>2320</v>
      </c>
      <c r="C1148" s="6" t="str">
        <f t="shared" si="52"/>
        <v>February</v>
      </c>
      <c r="D1148" s="6" t="str">
        <f t="shared" si="53"/>
        <v>25</v>
      </c>
      <c r="E1148" t="s">
        <v>943</v>
      </c>
      <c r="F1148" t="s">
        <v>21</v>
      </c>
      <c r="G1148" t="s">
        <v>68</v>
      </c>
      <c r="H1148" s="4" t="s">
        <v>2258</v>
      </c>
      <c r="I1148">
        <v>663889</v>
      </c>
      <c r="J1148" s="8" t="s">
        <v>2346</v>
      </c>
      <c r="K1148" t="s">
        <v>636</v>
      </c>
      <c r="L1148" t="s">
        <v>637</v>
      </c>
      <c r="M1148" t="s">
        <v>177</v>
      </c>
      <c r="N1148">
        <f t="shared" si="54"/>
        <v>5</v>
      </c>
      <c r="O1148">
        <v>1</v>
      </c>
      <c r="P1148" s="6">
        <v>15.92</v>
      </c>
      <c r="Q1148">
        <v>2.39</v>
      </c>
      <c r="R1148">
        <v>13.53</v>
      </c>
      <c r="S1148">
        <v>0.68</v>
      </c>
      <c r="T1148">
        <v>0</v>
      </c>
      <c r="U1148">
        <v>10</v>
      </c>
      <c r="V1148">
        <v>24.21</v>
      </c>
      <c r="W1148" t="s">
        <v>117</v>
      </c>
      <c r="X1148">
        <v>25</v>
      </c>
    </row>
    <row r="1149" spans="1:24" ht="14.25" customHeight="1">
      <c r="A1149" t="s">
        <v>1897</v>
      </c>
      <c r="B1149" t="s">
        <v>2278</v>
      </c>
      <c r="C1149" s="6" t="str">
        <f t="shared" si="52"/>
        <v>January</v>
      </c>
      <c r="D1149" s="6" t="str">
        <f t="shared" si="53"/>
        <v>22</v>
      </c>
      <c r="E1149" t="s">
        <v>945</v>
      </c>
      <c r="F1149" t="s">
        <v>21</v>
      </c>
      <c r="G1149" t="s">
        <v>74</v>
      </c>
      <c r="H1149" s="4" t="s">
        <v>2258</v>
      </c>
      <c r="I1149">
        <v>241553</v>
      </c>
      <c r="J1149" s="8" t="s">
        <v>2345</v>
      </c>
      <c r="K1149" t="s">
        <v>640</v>
      </c>
      <c r="L1149" t="s">
        <v>641</v>
      </c>
      <c r="M1149" t="s">
        <v>140</v>
      </c>
      <c r="N1149">
        <f t="shared" si="54"/>
        <v>3</v>
      </c>
      <c r="O1149">
        <v>3</v>
      </c>
      <c r="P1149" s="6">
        <v>70.59</v>
      </c>
      <c r="Q1149">
        <v>0</v>
      </c>
      <c r="R1149">
        <v>211.77</v>
      </c>
      <c r="S1149">
        <v>10.59</v>
      </c>
      <c r="T1149">
        <v>20</v>
      </c>
      <c r="U1149">
        <v>10</v>
      </c>
      <c r="V1149">
        <v>252.36</v>
      </c>
      <c r="W1149" t="s">
        <v>27</v>
      </c>
      <c r="X1149">
        <v>25</v>
      </c>
    </row>
    <row r="1150" spans="1:24" ht="14.25" customHeight="1">
      <c r="A1150" t="s">
        <v>1898</v>
      </c>
      <c r="B1150" t="s">
        <v>2302</v>
      </c>
      <c r="C1150" s="6" t="str">
        <f t="shared" si="52"/>
        <v>January</v>
      </c>
      <c r="D1150" s="6" t="str">
        <f t="shared" si="53"/>
        <v>14</v>
      </c>
      <c r="E1150" t="s">
        <v>947</v>
      </c>
      <c r="F1150" t="s">
        <v>21</v>
      </c>
      <c r="G1150" t="s">
        <v>106</v>
      </c>
      <c r="H1150" s="4" t="s">
        <v>2258</v>
      </c>
      <c r="I1150">
        <v>832154</v>
      </c>
      <c r="J1150" s="8" t="s">
        <v>30</v>
      </c>
      <c r="K1150" t="s">
        <v>644</v>
      </c>
      <c r="L1150" t="s">
        <v>645</v>
      </c>
      <c r="M1150" t="s">
        <v>135</v>
      </c>
      <c r="N1150">
        <f t="shared" si="54"/>
        <v>9</v>
      </c>
      <c r="O1150">
        <v>1</v>
      </c>
      <c r="P1150" s="6">
        <v>126.76</v>
      </c>
      <c r="Q1150">
        <v>19.010000000000002</v>
      </c>
      <c r="R1150">
        <v>107.75</v>
      </c>
      <c r="S1150">
        <v>5.39</v>
      </c>
      <c r="T1150">
        <v>30</v>
      </c>
      <c r="U1150">
        <v>0</v>
      </c>
      <c r="V1150">
        <v>143.13999999999999</v>
      </c>
      <c r="W1150" t="s">
        <v>27</v>
      </c>
      <c r="X1150">
        <v>33</v>
      </c>
    </row>
    <row r="1151" spans="1:24" ht="14.25" customHeight="1">
      <c r="A1151" t="s">
        <v>1899</v>
      </c>
      <c r="B1151" t="s">
        <v>2304</v>
      </c>
      <c r="C1151" s="6" t="str">
        <f t="shared" si="52"/>
        <v>January</v>
      </c>
      <c r="D1151" s="6" t="str">
        <f t="shared" si="53"/>
        <v>26</v>
      </c>
      <c r="E1151" t="s">
        <v>949</v>
      </c>
      <c r="F1151" t="s">
        <v>21</v>
      </c>
      <c r="G1151" t="s">
        <v>106</v>
      </c>
      <c r="H1151" s="4" t="s">
        <v>2258</v>
      </c>
      <c r="I1151">
        <v>907039</v>
      </c>
      <c r="J1151" s="8" t="s">
        <v>2349</v>
      </c>
      <c r="K1151" t="s">
        <v>648</v>
      </c>
      <c r="L1151" t="s">
        <v>649</v>
      </c>
      <c r="M1151" t="s">
        <v>55</v>
      </c>
      <c r="N1151">
        <f t="shared" si="54"/>
        <v>5</v>
      </c>
      <c r="O1151">
        <v>1</v>
      </c>
      <c r="P1151" s="6">
        <v>9.8699999999999992</v>
      </c>
      <c r="Q1151">
        <v>0.99</v>
      </c>
      <c r="R1151">
        <v>8.879999999999999</v>
      </c>
      <c r="S1151">
        <v>0.44</v>
      </c>
      <c r="T1151">
        <v>20</v>
      </c>
      <c r="U1151">
        <v>5</v>
      </c>
      <c r="V1151">
        <v>34.32</v>
      </c>
      <c r="W1151" t="s">
        <v>27</v>
      </c>
      <c r="X1151">
        <v>25</v>
      </c>
    </row>
    <row r="1152" spans="1:24" ht="14.25" customHeight="1">
      <c r="A1152" t="s">
        <v>1900</v>
      </c>
      <c r="B1152" t="s">
        <v>2291</v>
      </c>
      <c r="C1152" s="6" t="str">
        <f t="shared" si="52"/>
        <v>January</v>
      </c>
      <c r="D1152" s="6" t="str">
        <f t="shared" si="53"/>
        <v>28</v>
      </c>
      <c r="E1152" t="s">
        <v>951</v>
      </c>
      <c r="F1152" t="s">
        <v>21</v>
      </c>
      <c r="G1152" t="s">
        <v>68</v>
      </c>
      <c r="H1152" s="4" t="s">
        <v>2258</v>
      </c>
      <c r="I1152">
        <v>798412</v>
      </c>
      <c r="J1152" s="8" t="s">
        <v>2345</v>
      </c>
      <c r="K1152" t="s">
        <v>652</v>
      </c>
      <c r="L1152" t="s">
        <v>653</v>
      </c>
      <c r="M1152" t="s">
        <v>89</v>
      </c>
      <c r="N1152">
        <f t="shared" si="54"/>
        <v>7</v>
      </c>
      <c r="O1152">
        <v>1</v>
      </c>
      <c r="P1152" s="6">
        <v>39.82</v>
      </c>
      <c r="Q1152">
        <v>5.97</v>
      </c>
      <c r="R1152">
        <v>33.85</v>
      </c>
      <c r="S1152">
        <v>1.69</v>
      </c>
      <c r="T1152">
        <v>10</v>
      </c>
      <c r="U1152">
        <v>5</v>
      </c>
      <c r="V1152">
        <v>50.54</v>
      </c>
      <c r="W1152" t="s">
        <v>27</v>
      </c>
      <c r="X1152">
        <v>25</v>
      </c>
    </row>
    <row r="1153" spans="1:24" ht="14.25" customHeight="1">
      <c r="A1153" t="s">
        <v>1901</v>
      </c>
      <c r="B1153" t="s">
        <v>2271</v>
      </c>
      <c r="C1153" s="6" t="str">
        <f t="shared" si="52"/>
        <v>January</v>
      </c>
      <c r="D1153" s="6" t="str">
        <f t="shared" si="53"/>
        <v>23</v>
      </c>
      <c r="E1153" t="s">
        <v>953</v>
      </c>
      <c r="F1153" t="s">
        <v>21</v>
      </c>
      <c r="G1153" t="s">
        <v>22</v>
      </c>
      <c r="H1153" s="4" t="s">
        <v>2258</v>
      </c>
      <c r="I1153">
        <v>380752</v>
      </c>
      <c r="J1153" s="8" t="s">
        <v>30</v>
      </c>
      <c r="K1153" t="s">
        <v>656</v>
      </c>
      <c r="L1153" t="s">
        <v>657</v>
      </c>
      <c r="M1153" t="s">
        <v>140</v>
      </c>
      <c r="N1153">
        <f t="shared" si="54"/>
        <v>3</v>
      </c>
      <c r="O1153">
        <v>3</v>
      </c>
      <c r="P1153" s="6">
        <v>67.87</v>
      </c>
      <c r="Q1153">
        <v>3.39</v>
      </c>
      <c r="R1153">
        <v>200.22</v>
      </c>
      <c r="S1153">
        <v>10.01</v>
      </c>
      <c r="T1153">
        <v>20</v>
      </c>
      <c r="U1153">
        <v>10</v>
      </c>
      <c r="V1153">
        <v>240.23</v>
      </c>
      <c r="W1153" t="s">
        <v>27</v>
      </c>
      <c r="X1153">
        <v>19</v>
      </c>
    </row>
    <row r="1154" spans="1:24" ht="14.25" customHeight="1">
      <c r="A1154" t="s">
        <v>1902</v>
      </c>
      <c r="B1154" t="s">
        <v>2302</v>
      </c>
      <c r="C1154" s="6" t="str">
        <f t="shared" si="52"/>
        <v>January</v>
      </c>
      <c r="D1154" s="6" t="str">
        <f t="shared" si="53"/>
        <v>14</v>
      </c>
      <c r="E1154" t="s">
        <v>955</v>
      </c>
      <c r="F1154" t="s">
        <v>21</v>
      </c>
      <c r="G1154" t="s">
        <v>74</v>
      </c>
      <c r="H1154" s="4" t="s">
        <v>2258</v>
      </c>
      <c r="I1154">
        <v>489821</v>
      </c>
      <c r="J1154" s="8" t="s">
        <v>2346</v>
      </c>
      <c r="K1154" t="s">
        <v>660</v>
      </c>
      <c r="L1154" t="s">
        <v>661</v>
      </c>
      <c r="M1154" t="s">
        <v>22</v>
      </c>
      <c r="N1154">
        <f t="shared" si="54"/>
        <v>6</v>
      </c>
      <c r="O1154">
        <v>1</v>
      </c>
      <c r="P1154" s="6">
        <v>104.24</v>
      </c>
      <c r="Q1154">
        <v>0</v>
      </c>
      <c r="R1154">
        <v>104.24</v>
      </c>
      <c r="S1154">
        <v>5.21</v>
      </c>
      <c r="T1154">
        <v>20</v>
      </c>
      <c r="U1154">
        <v>15</v>
      </c>
      <c r="V1154">
        <v>144.44999999999999</v>
      </c>
      <c r="W1154" t="s">
        <v>27</v>
      </c>
      <c r="X1154">
        <v>15</v>
      </c>
    </row>
    <row r="1155" spans="1:24" ht="14.25" customHeight="1">
      <c r="A1155" t="s">
        <v>1903</v>
      </c>
      <c r="B1155" t="s">
        <v>2273</v>
      </c>
      <c r="C1155" s="6" t="str">
        <f t="shared" ref="C1155:C1218" si="55">TEXT(B1155,"mmmm")</f>
        <v>January</v>
      </c>
      <c r="D1155" s="6" t="str">
        <f t="shared" ref="D1155:D1218" si="56">TEXT(B1155,"dd")</f>
        <v>24</v>
      </c>
      <c r="E1155" t="s">
        <v>957</v>
      </c>
      <c r="F1155" t="s">
        <v>21</v>
      </c>
      <c r="G1155" t="s">
        <v>74</v>
      </c>
      <c r="H1155" s="4" t="s">
        <v>2258</v>
      </c>
      <c r="I1155">
        <v>619911</v>
      </c>
      <c r="J1155" s="8" t="s">
        <v>2347</v>
      </c>
      <c r="K1155" t="s">
        <v>664</v>
      </c>
      <c r="L1155" t="s">
        <v>665</v>
      </c>
      <c r="M1155" t="s">
        <v>40</v>
      </c>
      <c r="N1155">
        <f t="shared" si="54"/>
        <v>6</v>
      </c>
      <c r="O1155">
        <v>3</v>
      </c>
      <c r="P1155" s="6">
        <v>155.19</v>
      </c>
      <c r="Q1155">
        <v>23.28</v>
      </c>
      <c r="R1155">
        <v>442.29</v>
      </c>
      <c r="S1155">
        <v>22.11</v>
      </c>
      <c r="T1155">
        <v>10</v>
      </c>
      <c r="U1155">
        <v>15</v>
      </c>
      <c r="V1155">
        <v>489.4</v>
      </c>
      <c r="W1155" t="s">
        <v>27</v>
      </c>
      <c r="X1155">
        <v>21</v>
      </c>
    </row>
    <row r="1156" spans="1:24" ht="14.25" customHeight="1">
      <c r="A1156" t="s">
        <v>1904</v>
      </c>
      <c r="B1156" t="s">
        <v>2279</v>
      </c>
      <c r="C1156" s="6" t="str">
        <f t="shared" si="55"/>
        <v>January</v>
      </c>
      <c r="D1156" s="6" t="str">
        <f t="shared" si="56"/>
        <v>02</v>
      </c>
      <c r="E1156" t="s">
        <v>959</v>
      </c>
      <c r="F1156" t="s">
        <v>21</v>
      </c>
      <c r="G1156" t="s">
        <v>22</v>
      </c>
      <c r="H1156" s="4" t="s">
        <v>2258</v>
      </c>
      <c r="I1156">
        <v>172178</v>
      </c>
      <c r="J1156" s="8" t="s">
        <v>62</v>
      </c>
      <c r="K1156" t="s">
        <v>668</v>
      </c>
      <c r="L1156" t="s">
        <v>669</v>
      </c>
      <c r="M1156" t="s">
        <v>40</v>
      </c>
      <c r="N1156">
        <f t="shared" si="54"/>
        <v>6</v>
      </c>
      <c r="O1156">
        <v>2</v>
      </c>
      <c r="P1156" s="6">
        <v>120.19</v>
      </c>
      <c r="Q1156">
        <v>6.01</v>
      </c>
      <c r="R1156">
        <v>234.37</v>
      </c>
      <c r="S1156">
        <v>11.72</v>
      </c>
      <c r="T1156">
        <v>20</v>
      </c>
      <c r="U1156">
        <v>5</v>
      </c>
      <c r="V1156">
        <v>271.08999999999997</v>
      </c>
      <c r="W1156" t="s">
        <v>27</v>
      </c>
      <c r="X1156">
        <v>37</v>
      </c>
    </row>
    <row r="1157" spans="1:24" ht="14.25" customHeight="1">
      <c r="A1157" t="s">
        <v>1905</v>
      </c>
      <c r="B1157" t="s">
        <v>2314</v>
      </c>
      <c r="C1157" s="6" t="str">
        <f t="shared" si="55"/>
        <v>February</v>
      </c>
      <c r="D1157" s="6" t="str">
        <f t="shared" si="56"/>
        <v>14</v>
      </c>
      <c r="E1157" t="s">
        <v>961</v>
      </c>
      <c r="F1157" t="s">
        <v>21</v>
      </c>
      <c r="G1157" t="s">
        <v>106</v>
      </c>
      <c r="H1157" s="4" t="s">
        <v>2258</v>
      </c>
      <c r="I1157">
        <v>613223</v>
      </c>
      <c r="J1157" s="8" t="s">
        <v>2348</v>
      </c>
      <c r="K1157" t="s">
        <v>672</v>
      </c>
      <c r="L1157" t="s">
        <v>673</v>
      </c>
      <c r="M1157" t="s">
        <v>45</v>
      </c>
      <c r="N1157">
        <f t="shared" si="54"/>
        <v>6</v>
      </c>
      <c r="O1157">
        <v>2</v>
      </c>
      <c r="P1157" s="6">
        <v>84.35</v>
      </c>
      <c r="Q1157">
        <v>8.44</v>
      </c>
      <c r="R1157">
        <v>160.26</v>
      </c>
      <c r="S1157">
        <v>8.01</v>
      </c>
      <c r="T1157">
        <v>30</v>
      </c>
      <c r="U1157">
        <v>0</v>
      </c>
      <c r="V1157">
        <v>198.27</v>
      </c>
      <c r="W1157" t="s">
        <v>27</v>
      </c>
      <c r="X1157">
        <v>26</v>
      </c>
    </row>
    <row r="1158" spans="1:24" ht="14.25" customHeight="1">
      <c r="A1158" t="s">
        <v>1906</v>
      </c>
      <c r="B1158" t="s">
        <v>2304</v>
      </c>
      <c r="C1158" s="6" t="str">
        <f t="shared" si="55"/>
        <v>January</v>
      </c>
      <c r="D1158" s="6" t="str">
        <f t="shared" si="56"/>
        <v>26</v>
      </c>
      <c r="E1158" t="s">
        <v>963</v>
      </c>
      <c r="F1158" t="s">
        <v>21</v>
      </c>
      <c r="G1158" t="s">
        <v>68</v>
      </c>
      <c r="H1158" s="4" t="s">
        <v>2258</v>
      </c>
      <c r="I1158">
        <v>241707</v>
      </c>
      <c r="J1158" s="8" t="s">
        <v>62</v>
      </c>
      <c r="K1158" t="s">
        <v>676</v>
      </c>
      <c r="L1158" t="s">
        <v>677</v>
      </c>
      <c r="M1158" t="s">
        <v>135</v>
      </c>
      <c r="N1158">
        <f t="shared" si="54"/>
        <v>9</v>
      </c>
      <c r="O1158">
        <v>3</v>
      </c>
      <c r="P1158" s="6">
        <v>124.97</v>
      </c>
      <c r="Q1158">
        <v>0</v>
      </c>
      <c r="R1158">
        <v>374.91</v>
      </c>
      <c r="S1158">
        <v>18.75</v>
      </c>
      <c r="T1158">
        <v>20</v>
      </c>
      <c r="U1158">
        <v>0</v>
      </c>
      <c r="V1158">
        <v>413.66</v>
      </c>
      <c r="W1158" t="s">
        <v>27</v>
      </c>
      <c r="X1158">
        <v>17</v>
      </c>
    </row>
    <row r="1159" spans="1:24" ht="14.25" customHeight="1">
      <c r="A1159" t="s">
        <v>1907</v>
      </c>
      <c r="B1159" t="s">
        <v>2302</v>
      </c>
      <c r="C1159" s="6" t="str">
        <f t="shared" si="55"/>
        <v>January</v>
      </c>
      <c r="D1159" s="6" t="str">
        <f t="shared" si="56"/>
        <v>14</v>
      </c>
      <c r="E1159" t="s">
        <v>965</v>
      </c>
      <c r="F1159" t="s">
        <v>21</v>
      </c>
      <c r="G1159" t="s">
        <v>22</v>
      </c>
      <c r="H1159" s="4" t="s">
        <v>2258</v>
      </c>
      <c r="I1159">
        <v>832288</v>
      </c>
      <c r="J1159" s="8" t="s">
        <v>2346</v>
      </c>
      <c r="K1159" t="s">
        <v>680</v>
      </c>
      <c r="L1159" t="s">
        <v>681</v>
      </c>
      <c r="M1159" t="s">
        <v>98</v>
      </c>
      <c r="N1159">
        <f t="shared" si="54"/>
        <v>4</v>
      </c>
      <c r="O1159">
        <v>1</v>
      </c>
      <c r="P1159" s="6">
        <v>167.22</v>
      </c>
      <c r="Q1159">
        <v>25.08</v>
      </c>
      <c r="R1159">
        <v>142.13999999999999</v>
      </c>
      <c r="S1159">
        <v>7.11</v>
      </c>
      <c r="T1159">
        <v>30</v>
      </c>
      <c r="U1159">
        <v>10</v>
      </c>
      <c r="V1159">
        <v>189.25</v>
      </c>
      <c r="W1159" t="s">
        <v>27</v>
      </c>
      <c r="X1159">
        <v>35</v>
      </c>
    </row>
    <row r="1160" spans="1:24" ht="14.25" customHeight="1">
      <c r="A1160" t="s">
        <v>1908</v>
      </c>
      <c r="B1160" t="s">
        <v>2289</v>
      </c>
      <c r="C1160" s="6" t="str">
        <f t="shared" si="55"/>
        <v>February</v>
      </c>
      <c r="D1160" s="6" t="str">
        <f t="shared" si="56"/>
        <v>28</v>
      </c>
      <c r="E1160" t="s">
        <v>967</v>
      </c>
      <c r="F1160" t="s">
        <v>21</v>
      </c>
      <c r="G1160" t="s">
        <v>68</v>
      </c>
      <c r="H1160" s="4" t="s">
        <v>2258</v>
      </c>
      <c r="I1160">
        <v>145591</v>
      </c>
      <c r="J1160" s="8" t="s">
        <v>30</v>
      </c>
      <c r="K1160" t="s">
        <v>684</v>
      </c>
      <c r="L1160" t="s">
        <v>685</v>
      </c>
      <c r="M1160" t="s">
        <v>177</v>
      </c>
      <c r="N1160">
        <f t="shared" si="54"/>
        <v>5</v>
      </c>
      <c r="O1160">
        <v>3</v>
      </c>
      <c r="P1160" s="6">
        <v>134.41</v>
      </c>
      <c r="Q1160">
        <v>0</v>
      </c>
      <c r="R1160">
        <v>403.23</v>
      </c>
      <c r="S1160">
        <v>20.16</v>
      </c>
      <c r="T1160">
        <v>20</v>
      </c>
      <c r="U1160">
        <v>15</v>
      </c>
      <c r="V1160">
        <v>458.39</v>
      </c>
      <c r="W1160" t="s">
        <v>27</v>
      </c>
      <c r="X1160">
        <v>37</v>
      </c>
    </row>
    <row r="1161" spans="1:24" ht="14.25" customHeight="1">
      <c r="A1161" t="s">
        <v>1909</v>
      </c>
      <c r="B1161" t="s">
        <v>2320</v>
      </c>
      <c r="C1161" s="6" t="str">
        <f t="shared" si="55"/>
        <v>February</v>
      </c>
      <c r="D1161" s="6" t="str">
        <f t="shared" si="56"/>
        <v>25</v>
      </c>
      <c r="E1161" t="s">
        <v>969</v>
      </c>
      <c r="F1161" t="s">
        <v>80</v>
      </c>
      <c r="G1161" t="s">
        <v>81</v>
      </c>
      <c r="H1161" s="4" t="s">
        <v>2258</v>
      </c>
      <c r="I1161">
        <v>477721</v>
      </c>
      <c r="J1161" s="8" t="s">
        <v>30</v>
      </c>
      <c r="K1161" t="s">
        <v>688</v>
      </c>
      <c r="L1161" t="s">
        <v>689</v>
      </c>
      <c r="M1161" t="s">
        <v>55</v>
      </c>
      <c r="N1161">
        <f t="shared" si="54"/>
        <v>5</v>
      </c>
      <c r="O1161">
        <v>1</v>
      </c>
      <c r="P1161" s="6">
        <v>160.19</v>
      </c>
      <c r="Q1161">
        <v>24.03</v>
      </c>
      <c r="R1161">
        <v>136.16</v>
      </c>
      <c r="S1161">
        <v>6.81</v>
      </c>
      <c r="T1161">
        <v>30</v>
      </c>
      <c r="U1161">
        <v>15</v>
      </c>
      <c r="V1161">
        <v>187.97</v>
      </c>
      <c r="W1161" t="s">
        <v>84</v>
      </c>
      <c r="X1161">
        <v>25</v>
      </c>
    </row>
    <row r="1162" spans="1:24" ht="14.25" customHeight="1">
      <c r="A1162" t="s">
        <v>1910</v>
      </c>
      <c r="B1162" t="s">
        <v>2294</v>
      </c>
      <c r="C1162" s="6" t="str">
        <f t="shared" si="55"/>
        <v>February</v>
      </c>
      <c r="D1162" s="6" t="str">
        <f t="shared" si="56"/>
        <v>20</v>
      </c>
      <c r="E1162" t="s">
        <v>971</v>
      </c>
      <c r="F1162" t="s">
        <v>21</v>
      </c>
      <c r="G1162" t="s">
        <v>74</v>
      </c>
      <c r="H1162" s="4" t="s">
        <v>2258</v>
      </c>
      <c r="I1162">
        <v>528472</v>
      </c>
      <c r="J1162" s="8" t="s">
        <v>2347</v>
      </c>
      <c r="K1162" t="s">
        <v>692</v>
      </c>
      <c r="L1162" t="s">
        <v>693</v>
      </c>
      <c r="M1162" t="s">
        <v>65</v>
      </c>
      <c r="N1162">
        <f t="shared" si="54"/>
        <v>6</v>
      </c>
      <c r="O1162">
        <v>2</v>
      </c>
      <c r="P1162" s="6">
        <v>183.61</v>
      </c>
      <c r="Q1162">
        <v>9.18</v>
      </c>
      <c r="R1162">
        <v>358.04</v>
      </c>
      <c r="S1162">
        <v>17.899999999999999</v>
      </c>
      <c r="T1162">
        <v>30</v>
      </c>
      <c r="U1162">
        <v>15</v>
      </c>
      <c r="V1162">
        <v>420.94</v>
      </c>
      <c r="W1162" t="s">
        <v>84</v>
      </c>
      <c r="X1162">
        <v>25</v>
      </c>
    </row>
    <row r="1163" spans="1:24" ht="14.25" customHeight="1">
      <c r="A1163" t="s">
        <v>1911</v>
      </c>
      <c r="B1163" t="s">
        <v>2298</v>
      </c>
      <c r="C1163" s="6" t="str">
        <f t="shared" si="55"/>
        <v>January</v>
      </c>
      <c r="D1163" s="6" t="str">
        <f t="shared" si="56"/>
        <v>07</v>
      </c>
      <c r="E1163" t="s">
        <v>973</v>
      </c>
      <c r="F1163" t="s">
        <v>21</v>
      </c>
      <c r="G1163" t="s">
        <v>74</v>
      </c>
      <c r="H1163" s="4" t="s">
        <v>2258</v>
      </c>
      <c r="I1163">
        <v>865598</v>
      </c>
      <c r="J1163" s="8" t="s">
        <v>30</v>
      </c>
      <c r="K1163" t="s">
        <v>696</v>
      </c>
      <c r="L1163" t="s">
        <v>697</v>
      </c>
      <c r="M1163" t="s">
        <v>65</v>
      </c>
      <c r="N1163">
        <f t="shared" si="54"/>
        <v>6</v>
      </c>
      <c r="O1163">
        <v>1</v>
      </c>
      <c r="P1163" s="6">
        <v>110.9</v>
      </c>
      <c r="Q1163">
        <v>5.55</v>
      </c>
      <c r="R1163">
        <v>105.35</v>
      </c>
      <c r="S1163">
        <v>5.27</v>
      </c>
      <c r="T1163">
        <v>10</v>
      </c>
      <c r="U1163">
        <v>0</v>
      </c>
      <c r="V1163">
        <v>120.62</v>
      </c>
      <c r="W1163" t="s">
        <v>27</v>
      </c>
      <c r="X1163">
        <v>35</v>
      </c>
    </row>
    <row r="1164" spans="1:24" ht="14.25" customHeight="1">
      <c r="A1164" t="s">
        <v>1912</v>
      </c>
      <c r="B1164" t="s">
        <v>2277</v>
      </c>
      <c r="C1164" s="6" t="str">
        <f t="shared" si="55"/>
        <v>January</v>
      </c>
      <c r="D1164" s="6" t="str">
        <f t="shared" si="56"/>
        <v>03</v>
      </c>
      <c r="E1164" t="s">
        <v>975</v>
      </c>
      <c r="F1164" t="s">
        <v>21</v>
      </c>
      <c r="G1164" t="s">
        <v>22</v>
      </c>
      <c r="H1164" s="4" t="s">
        <v>2258</v>
      </c>
      <c r="I1164">
        <v>581153</v>
      </c>
      <c r="J1164" s="8" t="s">
        <v>2346</v>
      </c>
      <c r="K1164" t="s">
        <v>700</v>
      </c>
      <c r="L1164" t="s">
        <v>701</v>
      </c>
      <c r="M1164" t="s">
        <v>98</v>
      </c>
      <c r="N1164">
        <f t="shared" si="54"/>
        <v>4</v>
      </c>
      <c r="O1164">
        <v>1</v>
      </c>
      <c r="P1164" s="6">
        <v>63.63</v>
      </c>
      <c r="Q1164">
        <v>6.36</v>
      </c>
      <c r="R1164">
        <v>57.27</v>
      </c>
      <c r="S1164">
        <v>2.86</v>
      </c>
      <c r="T1164">
        <v>20</v>
      </c>
      <c r="U1164">
        <v>20</v>
      </c>
      <c r="V1164">
        <v>100.13</v>
      </c>
      <c r="W1164" t="s">
        <v>27</v>
      </c>
      <c r="X1164">
        <v>36</v>
      </c>
    </row>
    <row r="1165" spans="1:24" ht="14.25" customHeight="1">
      <c r="A1165" t="s">
        <v>1913</v>
      </c>
      <c r="B1165" t="s">
        <v>2293</v>
      </c>
      <c r="C1165" s="6" t="str">
        <f t="shared" si="55"/>
        <v>February</v>
      </c>
      <c r="D1165" s="6" t="str">
        <f t="shared" si="56"/>
        <v>16</v>
      </c>
      <c r="E1165" t="s">
        <v>977</v>
      </c>
      <c r="F1165" t="s">
        <v>21</v>
      </c>
      <c r="G1165" t="s">
        <v>37</v>
      </c>
      <c r="H1165" s="4" t="s">
        <v>2258</v>
      </c>
      <c r="I1165">
        <v>437766</v>
      </c>
      <c r="J1165" s="8" t="s">
        <v>2347</v>
      </c>
      <c r="K1165" t="s">
        <v>704</v>
      </c>
      <c r="L1165" t="s">
        <v>705</v>
      </c>
      <c r="M1165" t="s">
        <v>135</v>
      </c>
      <c r="N1165">
        <f t="shared" ref="N1165:N1228" si="57">LEN(M1165)</f>
        <v>9</v>
      </c>
      <c r="O1165">
        <v>1</v>
      </c>
      <c r="P1165" s="6">
        <v>49.77</v>
      </c>
      <c r="Q1165">
        <v>0</v>
      </c>
      <c r="R1165">
        <v>49.77</v>
      </c>
      <c r="S1165">
        <v>2.4900000000000002</v>
      </c>
      <c r="T1165">
        <v>10</v>
      </c>
      <c r="U1165">
        <v>15</v>
      </c>
      <c r="V1165">
        <v>77.260000000000005</v>
      </c>
      <c r="W1165" t="s">
        <v>27</v>
      </c>
      <c r="X1165">
        <v>27</v>
      </c>
    </row>
    <row r="1166" spans="1:24" ht="14.25" customHeight="1">
      <c r="A1166" t="s">
        <v>1914</v>
      </c>
      <c r="B1166" t="s">
        <v>2271</v>
      </c>
      <c r="C1166" s="6" t="str">
        <f t="shared" si="55"/>
        <v>January</v>
      </c>
      <c r="D1166" s="6" t="str">
        <f t="shared" si="56"/>
        <v>23</v>
      </c>
      <c r="E1166" t="s">
        <v>979</v>
      </c>
      <c r="F1166" t="s">
        <v>21</v>
      </c>
      <c r="G1166" t="s">
        <v>106</v>
      </c>
      <c r="H1166" s="4" t="s">
        <v>2258</v>
      </c>
      <c r="I1166">
        <v>246836</v>
      </c>
      <c r="J1166" s="8" t="s">
        <v>2347</v>
      </c>
      <c r="K1166" t="s">
        <v>708</v>
      </c>
      <c r="L1166" t="s">
        <v>709</v>
      </c>
      <c r="M1166" t="s">
        <v>45</v>
      </c>
      <c r="N1166">
        <f t="shared" si="57"/>
        <v>6</v>
      </c>
      <c r="O1166">
        <v>1</v>
      </c>
      <c r="P1166" s="6">
        <v>31.68</v>
      </c>
      <c r="Q1166">
        <v>0</v>
      </c>
      <c r="R1166">
        <v>31.68</v>
      </c>
      <c r="S1166">
        <v>1.58</v>
      </c>
      <c r="T1166">
        <v>0</v>
      </c>
      <c r="U1166">
        <v>15</v>
      </c>
      <c r="V1166">
        <v>48.26</v>
      </c>
      <c r="W1166" t="s">
        <v>117</v>
      </c>
      <c r="X1166">
        <v>25</v>
      </c>
    </row>
    <row r="1167" spans="1:24" ht="14.25" customHeight="1">
      <c r="A1167" t="s">
        <v>1915</v>
      </c>
      <c r="B1167" t="s">
        <v>2321</v>
      </c>
      <c r="C1167" s="6" t="str">
        <f t="shared" si="55"/>
        <v>February</v>
      </c>
      <c r="D1167" s="6" t="str">
        <f t="shared" si="56"/>
        <v>15</v>
      </c>
      <c r="E1167" t="s">
        <v>981</v>
      </c>
      <c r="F1167" t="s">
        <v>101</v>
      </c>
      <c r="G1167" t="s">
        <v>81</v>
      </c>
      <c r="H1167" s="4" t="s">
        <v>2258</v>
      </c>
      <c r="I1167">
        <v>185501</v>
      </c>
      <c r="J1167" s="8" t="s">
        <v>2349</v>
      </c>
      <c r="K1167" t="s">
        <v>712</v>
      </c>
      <c r="L1167" t="s">
        <v>713</v>
      </c>
      <c r="M1167" t="s">
        <v>71</v>
      </c>
      <c r="N1167">
        <f t="shared" si="57"/>
        <v>6</v>
      </c>
      <c r="O1167">
        <v>1</v>
      </c>
      <c r="P1167" s="6">
        <v>89.36</v>
      </c>
      <c r="Q1167">
        <v>4.47</v>
      </c>
      <c r="R1167">
        <v>84.89</v>
      </c>
      <c r="S1167">
        <v>4.24</v>
      </c>
      <c r="T1167">
        <v>10</v>
      </c>
      <c r="U1167">
        <v>20</v>
      </c>
      <c r="V1167">
        <v>119.13</v>
      </c>
      <c r="W1167" t="s">
        <v>27</v>
      </c>
      <c r="X1167">
        <v>36</v>
      </c>
    </row>
    <row r="1168" spans="1:24" ht="14.25" customHeight="1">
      <c r="A1168" t="s">
        <v>1916</v>
      </c>
      <c r="B1168" t="s">
        <v>2266</v>
      </c>
      <c r="C1168" s="6" t="str">
        <f t="shared" si="55"/>
        <v>February</v>
      </c>
      <c r="D1168" s="6" t="str">
        <f t="shared" si="56"/>
        <v>12</v>
      </c>
      <c r="E1168" t="s">
        <v>983</v>
      </c>
      <c r="F1168" t="s">
        <v>21</v>
      </c>
      <c r="G1168" t="s">
        <v>106</v>
      </c>
      <c r="H1168" s="4" t="s">
        <v>2258</v>
      </c>
      <c r="I1168">
        <v>640997</v>
      </c>
      <c r="J1168" s="8" t="s">
        <v>2347</v>
      </c>
      <c r="K1168" t="s">
        <v>716</v>
      </c>
      <c r="L1168" t="s">
        <v>717</v>
      </c>
      <c r="M1168" t="s">
        <v>50</v>
      </c>
      <c r="N1168">
        <f t="shared" si="57"/>
        <v>5</v>
      </c>
      <c r="O1168">
        <v>1</v>
      </c>
      <c r="P1168" s="6">
        <v>173.22</v>
      </c>
      <c r="Q1168">
        <v>0</v>
      </c>
      <c r="R1168">
        <v>173.22</v>
      </c>
      <c r="S1168">
        <v>8.66</v>
      </c>
      <c r="T1168">
        <v>30</v>
      </c>
      <c r="U1168">
        <v>5</v>
      </c>
      <c r="V1168">
        <v>216.88</v>
      </c>
      <c r="W1168" t="s">
        <v>34</v>
      </c>
      <c r="X1168">
        <v>25</v>
      </c>
    </row>
    <row r="1169" spans="1:24" ht="14.25" customHeight="1">
      <c r="A1169" t="s">
        <v>1917</v>
      </c>
      <c r="B1169" t="s">
        <v>2293</v>
      </c>
      <c r="C1169" s="6" t="str">
        <f t="shared" si="55"/>
        <v>February</v>
      </c>
      <c r="D1169" s="6" t="str">
        <f t="shared" si="56"/>
        <v>16</v>
      </c>
      <c r="E1169" t="s">
        <v>985</v>
      </c>
      <c r="F1169" t="s">
        <v>101</v>
      </c>
      <c r="G1169" t="s">
        <v>81</v>
      </c>
      <c r="H1169" s="4" t="s">
        <v>2258</v>
      </c>
      <c r="I1169">
        <v>269746</v>
      </c>
      <c r="J1169" s="8" t="s">
        <v>2348</v>
      </c>
      <c r="K1169" t="s">
        <v>720</v>
      </c>
      <c r="L1169" t="s">
        <v>721</v>
      </c>
      <c r="M1169" t="s">
        <v>71</v>
      </c>
      <c r="N1169">
        <f t="shared" si="57"/>
        <v>6</v>
      </c>
      <c r="O1169">
        <v>3</v>
      </c>
      <c r="P1169" s="6">
        <v>136.86000000000001</v>
      </c>
      <c r="Q1169">
        <v>0</v>
      </c>
      <c r="R1169">
        <v>410.58</v>
      </c>
      <c r="S1169">
        <v>20.53</v>
      </c>
      <c r="T1169">
        <v>30</v>
      </c>
      <c r="U1169">
        <v>15</v>
      </c>
      <c r="V1169">
        <v>476.11</v>
      </c>
      <c r="W1169" t="s">
        <v>27</v>
      </c>
      <c r="X1169">
        <v>19</v>
      </c>
    </row>
    <row r="1170" spans="1:24" ht="14.25" customHeight="1">
      <c r="A1170" t="s">
        <v>1918</v>
      </c>
      <c r="B1170" t="s">
        <v>2283</v>
      </c>
      <c r="C1170" s="6" t="str">
        <f t="shared" si="55"/>
        <v>March</v>
      </c>
      <c r="D1170" s="6" t="str">
        <f t="shared" si="56"/>
        <v>01</v>
      </c>
      <c r="E1170" t="s">
        <v>987</v>
      </c>
      <c r="F1170" t="s">
        <v>21</v>
      </c>
      <c r="G1170" t="s">
        <v>68</v>
      </c>
      <c r="H1170" s="4" t="s">
        <v>2258</v>
      </c>
      <c r="I1170">
        <v>334622</v>
      </c>
      <c r="J1170" s="8" t="s">
        <v>2349</v>
      </c>
      <c r="K1170" t="s">
        <v>724</v>
      </c>
      <c r="L1170" t="s">
        <v>725</v>
      </c>
      <c r="M1170" t="s">
        <v>65</v>
      </c>
      <c r="N1170">
        <f t="shared" si="57"/>
        <v>6</v>
      </c>
      <c r="O1170">
        <v>2</v>
      </c>
      <c r="P1170" s="6">
        <v>131.56</v>
      </c>
      <c r="Q1170">
        <v>6.58</v>
      </c>
      <c r="R1170">
        <v>256.54000000000002</v>
      </c>
      <c r="S1170">
        <v>12.83</v>
      </c>
      <c r="T1170">
        <v>0</v>
      </c>
      <c r="U1170">
        <v>0</v>
      </c>
      <c r="V1170">
        <v>269.37</v>
      </c>
      <c r="W1170" t="s">
        <v>117</v>
      </c>
      <c r="X1170">
        <v>25</v>
      </c>
    </row>
    <row r="1171" spans="1:24" ht="14.25" customHeight="1">
      <c r="A1171" t="s">
        <v>1919</v>
      </c>
      <c r="B1171" t="s">
        <v>2314</v>
      </c>
      <c r="C1171" s="6" t="str">
        <f t="shared" si="55"/>
        <v>February</v>
      </c>
      <c r="D1171" s="6" t="str">
        <f t="shared" si="56"/>
        <v>14</v>
      </c>
      <c r="E1171" t="s">
        <v>989</v>
      </c>
      <c r="F1171" t="s">
        <v>80</v>
      </c>
      <c r="G1171" t="s">
        <v>81</v>
      </c>
      <c r="H1171" s="4" t="s">
        <v>2258</v>
      </c>
      <c r="I1171">
        <v>837371</v>
      </c>
      <c r="J1171" s="8" t="s">
        <v>30</v>
      </c>
      <c r="K1171" t="s">
        <v>728</v>
      </c>
      <c r="L1171" t="s">
        <v>729</v>
      </c>
      <c r="M1171" t="s">
        <v>65</v>
      </c>
      <c r="N1171">
        <f t="shared" si="57"/>
        <v>6</v>
      </c>
      <c r="O1171">
        <v>7</v>
      </c>
      <c r="P1171" s="6">
        <v>79.87</v>
      </c>
      <c r="Q1171">
        <v>7.99</v>
      </c>
      <c r="R1171">
        <v>551.1</v>
      </c>
      <c r="S1171">
        <v>27.56</v>
      </c>
      <c r="T1171">
        <v>0</v>
      </c>
      <c r="U1171">
        <v>15</v>
      </c>
      <c r="V1171">
        <v>593.66</v>
      </c>
      <c r="W1171" t="s">
        <v>27</v>
      </c>
      <c r="X1171">
        <v>22</v>
      </c>
    </row>
    <row r="1172" spans="1:24" ht="14.25" customHeight="1">
      <c r="A1172" t="s">
        <v>1920</v>
      </c>
      <c r="B1172" t="s">
        <v>2300</v>
      </c>
      <c r="C1172" s="6" t="str">
        <f t="shared" si="55"/>
        <v>January</v>
      </c>
      <c r="D1172" s="6" t="str">
        <f t="shared" si="56"/>
        <v>18</v>
      </c>
      <c r="E1172" t="s">
        <v>991</v>
      </c>
      <c r="F1172" t="s">
        <v>21</v>
      </c>
      <c r="G1172" t="s">
        <v>106</v>
      </c>
      <c r="H1172" s="4" t="s">
        <v>2258</v>
      </c>
      <c r="I1172">
        <v>184433</v>
      </c>
      <c r="J1172" s="8" t="s">
        <v>30</v>
      </c>
      <c r="K1172" t="s">
        <v>732</v>
      </c>
      <c r="L1172" t="s">
        <v>733</v>
      </c>
      <c r="M1172" t="s">
        <v>50</v>
      </c>
      <c r="N1172">
        <f t="shared" si="57"/>
        <v>5</v>
      </c>
      <c r="O1172">
        <v>5</v>
      </c>
      <c r="P1172" s="6">
        <v>50.94</v>
      </c>
      <c r="Q1172">
        <v>0</v>
      </c>
      <c r="R1172">
        <v>254.7</v>
      </c>
      <c r="S1172">
        <v>12.73</v>
      </c>
      <c r="T1172">
        <v>0</v>
      </c>
      <c r="U1172">
        <v>0</v>
      </c>
      <c r="V1172">
        <v>267.43</v>
      </c>
      <c r="W1172" t="s">
        <v>34</v>
      </c>
      <c r="X1172">
        <v>25</v>
      </c>
    </row>
    <row r="1173" spans="1:24" ht="14.25" customHeight="1">
      <c r="A1173" t="s">
        <v>1921</v>
      </c>
      <c r="B1173" t="s">
        <v>2269</v>
      </c>
      <c r="C1173" s="6" t="str">
        <f t="shared" si="55"/>
        <v>February</v>
      </c>
      <c r="D1173" s="6" t="str">
        <f t="shared" si="56"/>
        <v>27</v>
      </c>
      <c r="E1173" t="s">
        <v>993</v>
      </c>
      <c r="F1173" t="s">
        <v>80</v>
      </c>
      <c r="G1173" t="s">
        <v>81</v>
      </c>
      <c r="H1173" s="4" t="s">
        <v>2258</v>
      </c>
      <c r="I1173">
        <v>264437</v>
      </c>
      <c r="J1173" s="8" t="s">
        <v>62</v>
      </c>
      <c r="K1173" t="s">
        <v>736</v>
      </c>
      <c r="L1173" t="s">
        <v>737</v>
      </c>
      <c r="M1173" t="s">
        <v>177</v>
      </c>
      <c r="N1173">
        <f t="shared" si="57"/>
        <v>5</v>
      </c>
      <c r="O1173">
        <v>3</v>
      </c>
      <c r="P1173" s="6">
        <v>226.95</v>
      </c>
      <c r="Q1173">
        <v>0</v>
      </c>
      <c r="R1173">
        <v>680.84999999999991</v>
      </c>
      <c r="S1173">
        <v>34.04</v>
      </c>
      <c r="T1173">
        <v>30</v>
      </c>
      <c r="U1173">
        <v>5</v>
      </c>
      <c r="V1173">
        <v>749.88999999999987</v>
      </c>
      <c r="W1173" t="s">
        <v>84</v>
      </c>
      <c r="X1173">
        <v>25</v>
      </c>
    </row>
    <row r="1174" spans="1:24" ht="14.25" customHeight="1">
      <c r="A1174" t="s">
        <v>1922</v>
      </c>
      <c r="B1174" t="s">
        <v>2282</v>
      </c>
      <c r="C1174" s="6" t="str">
        <f t="shared" si="55"/>
        <v>February</v>
      </c>
      <c r="D1174" s="6" t="str">
        <f t="shared" si="56"/>
        <v>07</v>
      </c>
      <c r="E1174" t="s">
        <v>995</v>
      </c>
      <c r="F1174" t="s">
        <v>21</v>
      </c>
      <c r="G1174" t="s">
        <v>37</v>
      </c>
      <c r="H1174" s="4" t="s">
        <v>2258</v>
      </c>
      <c r="I1174">
        <v>346476</v>
      </c>
      <c r="J1174" s="8" t="s">
        <v>2346</v>
      </c>
      <c r="K1174" t="s">
        <v>740</v>
      </c>
      <c r="L1174" t="s">
        <v>741</v>
      </c>
      <c r="M1174" t="s">
        <v>177</v>
      </c>
      <c r="N1174">
        <f t="shared" si="57"/>
        <v>5</v>
      </c>
      <c r="O1174">
        <v>4</v>
      </c>
      <c r="P1174" s="6">
        <v>69.12</v>
      </c>
      <c r="Q1174">
        <v>3.46</v>
      </c>
      <c r="R1174">
        <v>273.02</v>
      </c>
      <c r="S1174">
        <v>13.65</v>
      </c>
      <c r="T1174">
        <v>20</v>
      </c>
      <c r="U1174">
        <v>0</v>
      </c>
      <c r="V1174">
        <v>306.67</v>
      </c>
      <c r="W1174" t="s">
        <v>27</v>
      </c>
      <c r="X1174">
        <v>39</v>
      </c>
    </row>
    <row r="1175" spans="1:24" ht="14.25" customHeight="1">
      <c r="A1175" t="s">
        <v>1923</v>
      </c>
      <c r="B1175" t="s">
        <v>2306</v>
      </c>
      <c r="C1175" s="6" t="str">
        <f t="shared" si="55"/>
        <v>February</v>
      </c>
      <c r="D1175" s="6" t="str">
        <f t="shared" si="56"/>
        <v>04</v>
      </c>
      <c r="E1175" t="s">
        <v>997</v>
      </c>
      <c r="F1175" t="s">
        <v>101</v>
      </c>
      <c r="G1175" t="s">
        <v>81</v>
      </c>
      <c r="H1175" s="4" t="s">
        <v>2258</v>
      </c>
      <c r="I1175">
        <v>525910</v>
      </c>
      <c r="J1175" s="8" t="s">
        <v>2349</v>
      </c>
      <c r="K1175" t="s">
        <v>744</v>
      </c>
      <c r="L1175" t="s">
        <v>745</v>
      </c>
      <c r="M1175" t="s">
        <v>40</v>
      </c>
      <c r="N1175">
        <f t="shared" si="57"/>
        <v>6</v>
      </c>
      <c r="O1175">
        <v>2</v>
      </c>
      <c r="P1175" s="6">
        <v>61.13</v>
      </c>
      <c r="Q1175">
        <v>0</v>
      </c>
      <c r="R1175">
        <v>122.26</v>
      </c>
      <c r="S1175">
        <v>6.11</v>
      </c>
      <c r="T1175">
        <v>20</v>
      </c>
      <c r="U1175">
        <v>15</v>
      </c>
      <c r="V1175">
        <v>163.37</v>
      </c>
      <c r="W1175" t="s">
        <v>27</v>
      </c>
      <c r="X1175">
        <v>16</v>
      </c>
    </row>
    <row r="1176" spans="1:24" ht="14.25" customHeight="1">
      <c r="A1176" t="s">
        <v>1924</v>
      </c>
      <c r="B1176" t="s">
        <v>2294</v>
      </c>
      <c r="C1176" s="6" t="str">
        <f t="shared" si="55"/>
        <v>February</v>
      </c>
      <c r="D1176" s="6" t="str">
        <f t="shared" si="56"/>
        <v>20</v>
      </c>
      <c r="E1176" t="s">
        <v>999</v>
      </c>
      <c r="F1176" t="s">
        <v>80</v>
      </c>
      <c r="G1176" t="s">
        <v>81</v>
      </c>
      <c r="H1176" s="4" t="s">
        <v>2258</v>
      </c>
      <c r="I1176">
        <v>855027</v>
      </c>
      <c r="J1176" s="8" t="s">
        <v>30</v>
      </c>
      <c r="K1176" t="s">
        <v>748</v>
      </c>
      <c r="L1176" t="s">
        <v>749</v>
      </c>
      <c r="M1176" t="s">
        <v>89</v>
      </c>
      <c r="N1176">
        <f t="shared" si="57"/>
        <v>7</v>
      </c>
      <c r="O1176">
        <v>5</v>
      </c>
      <c r="P1176" s="6">
        <v>149.27000000000001</v>
      </c>
      <c r="Q1176">
        <v>22.39</v>
      </c>
      <c r="R1176">
        <v>723.96</v>
      </c>
      <c r="S1176">
        <v>36.200000000000003</v>
      </c>
      <c r="T1176">
        <v>0</v>
      </c>
      <c r="U1176">
        <v>10</v>
      </c>
      <c r="V1176">
        <v>770.16000000000008</v>
      </c>
      <c r="W1176" t="s">
        <v>117</v>
      </c>
      <c r="X1176">
        <v>25</v>
      </c>
    </row>
    <row r="1177" spans="1:24" ht="14.25" customHeight="1">
      <c r="A1177" t="s">
        <v>1925</v>
      </c>
      <c r="B1177" t="s">
        <v>2265</v>
      </c>
      <c r="C1177" s="6" t="str">
        <f t="shared" si="55"/>
        <v>January</v>
      </c>
      <c r="D1177" s="6" t="str">
        <f t="shared" si="56"/>
        <v>15</v>
      </c>
      <c r="E1177" t="s">
        <v>1001</v>
      </c>
      <c r="F1177" t="s">
        <v>21</v>
      </c>
      <c r="G1177" t="s">
        <v>106</v>
      </c>
      <c r="H1177" s="4" t="s">
        <v>2258</v>
      </c>
      <c r="I1177">
        <v>603256</v>
      </c>
      <c r="J1177" s="8" t="s">
        <v>30</v>
      </c>
      <c r="K1177" t="s">
        <v>752</v>
      </c>
      <c r="L1177" t="s">
        <v>753</v>
      </c>
      <c r="M1177" t="s">
        <v>135</v>
      </c>
      <c r="N1177">
        <f t="shared" si="57"/>
        <v>9</v>
      </c>
      <c r="O1177">
        <v>2</v>
      </c>
      <c r="P1177" s="6">
        <v>100.4</v>
      </c>
      <c r="Q1177">
        <v>10.039999999999999</v>
      </c>
      <c r="R1177">
        <v>190.76</v>
      </c>
      <c r="S1177">
        <v>9.5399999999999991</v>
      </c>
      <c r="T1177">
        <v>20</v>
      </c>
      <c r="U1177">
        <v>5</v>
      </c>
      <c r="V1177">
        <v>225.3</v>
      </c>
      <c r="W1177" t="s">
        <v>117</v>
      </c>
      <c r="X1177">
        <v>25</v>
      </c>
    </row>
    <row r="1178" spans="1:24" ht="14.25" customHeight="1">
      <c r="A1178" t="s">
        <v>1926</v>
      </c>
      <c r="B1178" t="s">
        <v>2286</v>
      </c>
      <c r="C1178" s="6" t="str">
        <f t="shared" si="55"/>
        <v>January</v>
      </c>
      <c r="D1178" s="6" t="str">
        <f t="shared" si="56"/>
        <v>25</v>
      </c>
      <c r="E1178" t="s">
        <v>1003</v>
      </c>
      <c r="F1178" t="s">
        <v>21</v>
      </c>
      <c r="G1178" t="s">
        <v>68</v>
      </c>
      <c r="H1178" s="4" t="s">
        <v>2258</v>
      </c>
      <c r="I1178">
        <v>733389</v>
      </c>
      <c r="J1178" s="8" t="s">
        <v>30</v>
      </c>
      <c r="K1178" t="s">
        <v>756</v>
      </c>
      <c r="L1178" t="s">
        <v>757</v>
      </c>
      <c r="M1178" t="s">
        <v>33</v>
      </c>
      <c r="N1178">
        <f t="shared" si="57"/>
        <v>10</v>
      </c>
      <c r="O1178">
        <v>6</v>
      </c>
      <c r="P1178" s="6">
        <v>164.01</v>
      </c>
      <c r="Q1178">
        <v>0</v>
      </c>
      <c r="R1178">
        <v>984.06</v>
      </c>
      <c r="S1178">
        <v>49.2</v>
      </c>
      <c r="T1178">
        <v>0</v>
      </c>
      <c r="U1178">
        <v>15</v>
      </c>
      <c r="V1178">
        <v>1048.26</v>
      </c>
      <c r="W1178" t="s">
        <v>84</v>
      </c>
      <c r="X1178">
        <v>25</v>
      </c>
    </row>
    <row r="1179" spans="1:24" ht="14.25" customHeight="1">
      <c r="A1179" t="s">
        <v>1927</v>
      </c>
      <c r="B1179" t="s">
        <v>2295</v>
      </c>
      <c r="C1179" s="6" t="str">
        <f t="shared" si="55"/>
        <v>February</v>
      </c>
      <c r="D1179" s="6" t="str">
        <f t="shared" si="56"/>
        <v>24</v>
      </c>
      <c r="E1179" t="s">
        <v>1005</v>
      </c>
      <c r="F1179" t="s">
        <v>21</v>
      </c>
      <c r="G1179" t="s">
        <v>37</v>
      </c>
      <c r="H1179" s="4" t="s">
        <v>2258</v>
      </c>
      <c r="I1179">
        <v>665836</v>
      </c>
      <c r="J1179" s="8" t="s">
        <v>2349</v>
      </c>
      <c r="K1179" t="s">
        <v>760</v>
      </c>
      <c r="L1179" t="s">
        <v>761</v>
      </c>
      <c r="M1179" t="s">
        <v>71</v>
      </c>
      <c r="N1179">
        <f t="shared" si="57"/>
        <v>6</v>
      </c>
      <c r="O1179">
        <v>2</v>
      </c>
      <c r="P1179" s="6">
        <v>209.46</v>
      </c>
      <c r="Q1179">
        <v>0</v>
      </c>
      <c r="R1179">
        <v>418.92</v>
      </c>
      <c r="S1179">
        <v>20.95</v>
      </c>
      <c r="T1179">
        <v>20</v>
      </c>
      <c r="U1179">
        <v>10</v>
      </c>
      <c r="V1179">
        <v>469.87</v>
      </c>
      <c r="W1179" t="s">
        <v>27</v>
      </c>
      <c r="X1179">
        <v>3</v>
      </c>
    </row>
    <row r="1180" spans="1:24" ht="14.25" customHeight="1">
      <c r="A1180" t="s">
        <v>1928</v>
      </c>
      <c r="B1180" t="s">
        <v>2297</v>
      </c>
      <c r="C1180" s="6" t="str">
        <f t="shared" si="55"/>
        <v>February</v>
      </c>
      <c r="D1180" s="6" t="str">
        <f t="shared" si="56"/>
        <v>06</v>
      </c>
      <c r="E1180" t="s">
        <v>1007</v>
      </c>
      <c r="F1180" t="s">
        <v>21</v>
      </c>
      <c r="G1180" t="s">
        <v>37</v>
      </c>
      <c r="H1180" s="4" t="s">
        <v>2258</v>
      </c>
      <c r="I1180">
        <v>912002</v>
      </c>
      <c r="J1180" s="8" t="s">
        <v>2345</v>
      </c>
      <c r="K1180" t="s">
        <v>764</v>
      </c>
      <c r="L1180" t="s">
        <v>765</v>
      </c>
      <c r="M1180" t="s">
        <v>135</v>
      </c>
      <c r="N1180">
        <f t="shared" si="57"/>
        <v>9</v>
      </c>
      <c r="O1180">
        <v>7</v>
      </c>
      <c r="P1180" s="6">
        <v>59.12</v>
      </c>
      <c r="Q1180">
        <v>5.91</v>
      </c>
      <c r="R1180">
        <v>407.92999999999989</v>
      </c>
      <c r="S1180">
        <v>20.399999999999999</v>
      </c>
      <c r="T1180">
        <v>30</v>
      </c>
      <c r="U1180">
        <v>10</v>
      </c>
      <c r="V1180">
        <v>468.32999999999993</v>
      </c>
      <c r="W1180" t="s">
        <v>27</v>
      </c>
      <c r="X1180">
        <v>18</v>
      </c>
    </row>
    <row r="1181" spans="1:24" ht="14.25" customHeight="1">
      <c r="A1181" t="s">
        <v>1929</v>
      </c>
      <c r="B1181" t="s">
        <v>2291</v>
      </c>
      <c r="C1181" s="6" t="str">
        <f t="shared" si="55"/>
        <v>January</v>
      </c>
      <c r="D1181" s="6" t="str">
        <f t="shared" si="56"/>
        <v>28</v>
      </c>
      <c r="E1181" t="s">
        <v>1009</v>
      </c>
      <c r="F1181" t="s">
        <v>80</v>
      </c>
      <c r="G1181" t="s">
        <v>81</v>
      </c>
      <c r="H1181" s="4" t="s">
        <v>2258</v>
      </c>
      <c r="I1181">
        <v>378187</v>
      </c>
      <c r="J1181" s="8" t="s">
        <v>2345</v>
      </c>
      <c r="K1181" t="s">
        <v>768</v>
      </c>
      <c r="L1181" t="s">
        <v>769</v>
      </c>
      <c r="M1181" t="s">
        <v>177</v>
      </c>
      <c r="N1181">
        <f t="shared" si="57"/>
        <v>5</v>
      </c>
      <c r="O1181">
        <v>3</v>
      </c>
      <c r="P1181" s="6">
        <v>173.78</v>
      </c>
      <c r="Q1181">
        <v>26.07</v>
      </c>
      <c r="R1181">
        <v>495.27</v>
      </c>
      <c r="S1181">
        <v>24.76</v>
      </c>
      <c r="T1181">
        <v>10</v>
      </c>
      <c r="U1181">
        <v>10</v>
      </c>
      <c r="V1181">
        <v>540.03000000000009</v>
      </c>
      <c r="W1181" t="s">
        <v>27</v>
      </c>
      <c r="X1181">
        <v>47</v>
      </c>
    </row>
    <row r="1182" spans="1:24" ht="14.25" customHeight="1">
      <c r="A1182" t="s">
        <v>1930</v>
      </c>
      <c r="B1182" t="s">
        <v>2311</v>
      </c>
      <c r="C1182" s="6" t="str">
        <f t="shared" si="55"/>
        <v>January</v>
      </c>
      <c r="D1182" s="6" t="str">
        <f t="shared" si="56"/>
        <v>10</v>
      </c>
      <c r="E1182" t="s">
        <v>1011</v>
      </c>
      <c r="F1182" t="s">
        <v>21</v>
      </c>
      <c r="G1182" t="s">
        <v>74</v>
      </c>
      <c r="H1182" s="4" t="s">
        <v>2258</v>
      </c>
      <c r="I1182">
        <v>758772</v>
      </c>
      <c r="J1182" s="8" t="s">
        <v>2347</v>
      </c>
      <c r="K1182" t="s">
        <v>772</v>
      </c>
      <c r="L1182" t="s">
        <v>773</v>
      </c>
      <c r="M1182" t="s">
        <v>98</v>
      </c>
      <c r="N1182">
        <f t="shared" si="57"/>
        <v>4</v>
      </c>
      <c r="O1182">
        <v>1</v>
      </c>
      <c r="P1182" s="6">
        <v>123.68</v>
      </c>
      <c r="Q1182">
        <v>12.37</v>
      </c>
      <c r="R1182">
        <v>111.31</v>
      </c>
      <c r="S1182">
        <v>5.57</v>
      </c>
      <c r="T1182">
        <v>0</v>
      </c>
      <c r="U1182">
        <v>15</v>
      </c>
      <c r="V1182">
        <v>131.88</v>
      </c>
      <c r="W1182" t="s">
        <v>27</v>
      </c>
      <c r="X1182">
        <v>48</v>
      </c>
    </row>
    <row r="1183" spans="1:24" ht="14.25" customHeight="1">
      <c r="A1183" t="s">
        <v>1931</v>
      </c>
      <c r="B1183" t="s">
        <v>2262</v>
      </c>
      <c r="C1183" s="6" t="str">
        <f t="shared" si="55"/>
        <v>February</v>
      </c>
      <c r="D1183" s="6" t="str">
        <f t="shared" si="56"/>
        <v>08</v>
      </c>
      <c r="E1183" t="s">
        <v>1013</v>
      </c>
      <c r="F1183" t="s">
        <v>21</v>
      </c>
      <c r="G1183" t="s">
        <v>22</v>
      </c>
      <c r="H1183" s="4" t="s">
        <v>2258</v>
      </c>
      <c r="I1183">
        <v>300919</v>
      </c>
      <c r="J1183" s="8" t="s">
        <v>2349</v>
      </c>
      <c r="K1183" t="s">
        <v>776</v>
      </c>
      <c r="L1183" t="s">
        <v>777</v>
      </c>
      <c r="M1183" t="s">
        <v>33</v>
      </c>
      <c r="N1183">
        <f t="shared" si="57"/>
        <v>10</v>
      </c>
      <c r="O1183">
        <v>3</v>
      </c>
      <c r="P1183" s="6">
        <v>164.33</v>
      </c>
      <c r="Q1183">
        <v>0</v>
      </c>
      <c r="R1183">
        <v>492.99</v>
      </c>
      <c r="S1183">
        <v>24.65</v>
      </c>
      <c r="T1183">
        <v>10</v>
      </c>
      <c r="U1183">
        <v>5</v>
      </c>
      <c r="V1183">
        <v>532.64</v>
      </c>
      <c r="W1183" t="s">
        <v>27</v>
      </c>
      <c r="X1183">
        <v>32</v>
      </c>
    </row>
    <row r="1184" spans="1:24" ht="14.25" customHeight="1">
      <c r="A1184" t="s">
        <v>1932</v>
      </c>
      <c r="B1184" t="s">
        <v>2296</v>
      </c>
      <c r="C1184" s="6" t="str">
        <f t="shared" si="55"/>
        <v>February</v>
      </c>
      <c r="D1184" s="6" t="str">
        <f t="shared" si="56"/>
        <v>26</v>
      </c>
      <c r="E1184" t="s">
        <v>1015</v>
      </c>
      <c r="F1184" t="s">
        <v>21</v>
      </c>
      <c r="G1184" t="s">
        <v>37</v>
      </c>
      <c r="H1184" s="4" t="s">
        <v>2258</v>
      </c>
      <c r="I1184">
        <v>871257</v>
      </c>
      <c r="J1184" s="8" t="s">
        <v>30</v>
      </c>
      <c r="K1184" t="s">
        <v>780</v>
      </c>
      <c r="L1184" t="s">
        <v>781</v>
      </c>
      <c r="M1184" t="s">
        <v>89</v>
      </c>
      <c r="N1184">
        <f t="shared" si="57"/>
        <v>7</v>
      </c>
      <c r="O1184">
        <v>4</v>
      </c>
      <c r="P1184" s="6">
        <v>152</v>
      </c>
      <c r="Q1184">
        <v>22.8</v>
      </c>
      <c r="R1184">
        <v>585.20000000000005</v>
      </c>
      <c r="S1184">
        <v>29.26</v>
      </c>
      <c r="T1184">
        <v>20</v>
      </c>
      <c r="U1184">
        <v>15</v>
      </c>
      <c r="V1184">
        <v>649.46</v>
      </c>
      <c r="W1184" t="s">
        <v>27</v>
      </c>
      <c r="X1184">
        <v>15</v>
      </c>
    </row>
    <row r="1185" spans="1:24" ht="14.25" customHeight="1">
      <c r="A1185" t="s">
        <v>1933</v>
      </c>
      <c r="B1185" t="s">
        <v>2307</v>
      </c>
      <c r="C1185" s="6" t="str">
        <f t="shared" si="55"/>
        <v>January</v>
      </c>
      <c r="D1185" s="6" t="str">
        <f t="shared" si="56"/>
        <v>17</v>
      </c>
      <c r="E1185" t="s">
        <v>1017</v>
      </c>
      <c r="F1185" t="s">
        <v>21</v>
      </c>
      <c r="G1185" t="s">
        <v>37</v>
      </c>
      <c r="H1185" s="4" t="s">
        <v>2258</v>
      </c>
      <c r="I1185">
        <v>988407</v>
      </c>
      <c r="J1185" s="8" t="s">
        <v>2347</v>
      </c>
      <c r="K1185" t="s">
        <v>784</v>
      </c>
      <c r="L1185" t="s">
        <v>785</v>
      </c>
      <c r="M1185" t="s">
        <v>22</v>
      </c>
      <c r="N1185">
        <f t="shared" si="57"/>
        <v>6</v>
      </c>
      <c r="O1185">
        <v>3</v>
      </c>
      <c r="P1185" s="6">
        <v>151.31</v>
      </c>
      <c r="Q1185">
        <v>0</v>
      </c>
      <c r="R1185">
        <v>453.93</v>
      </c>
      <c r="S1185">
        <v>22.7</v>
      </c>
      <c r="T1185">
        <v>30</v>
      </c>
      <c r="U1185">
        <v>20</v>
      </c>
      <c r="V1185">
        <v>526.63</v>
      </c>
      <c r="W1185" t="s">
        <v>27</v>
      </c>
      <c r="X1185">
        <v>41</v>
      </c>
    </row>
    <row r="1186" spans="1:24" ht="14.25" customHeight="1">
      <c r="A1186" t="s">
        <v>1934</v>
      </c>
      <c r="B1186" t="s">
        <v>2262</v>
      </c>
      <c r="C1186" s="6" t="str">
        <f t="shared" si="55"/>
        <v>February</v>
      </c>
      <c r="D1186" s="6" t="str">
        <f t="shared" si="56"/>
        <v>08</v>
      </c>
      <c r="E1186" t="s">
        <v>1019</v>
      </c>
      <c r="F1186" t="s">
        <v>21</v>
      </c>
      <c r="G1186" t="s">
        <v>74</v>
      </c>
      <c r="H1186" s="4" t="s">
        <v>2258</v>
      </c>
      <c r="I1186">
        <v>263543</v>
      </c>
      <c r="J1186" s="8" t="s">
        <v>30</v>
      </c>
      <c r="K1186" t="s">
        <v>788</v>
      </c>
      <c r="L1186" t="s">
        <v>789</v>
      </c>
      <c r="M1186" t="s">
        <v>40</v>
      </c>
      <c r="N1186">
        <f t="shared" si="57"/>
        <v>6</v>
      </c>
      <c r="O1186">
        <v>3</v>
      </c>
      <c r="P1186" s="6">
        <v>69.48</v>
      </c>
      <c r="Q1186">
        <v>6.95</v>
      </c>
      <c r="R1186">
        <v>201.49</v>
      </c>
      <c r="S1186">
        <v>10.07</v>
      </c>
      <c r="T1186">
        <v>10</v>
      </c>
      <c r="U1186">
        <v>5</v>
      </c>
      <c r="V1186">
        <v>226.56</v>
      </c>
      <c r="W1186" t="s">
        <v>27</v>
      </c>
      <c r="X1186">
        <v>26</v>
      </c>
    </row>
    <row r="1187" spans="1:24" ht="14.25" customHeight="1">
      <c r="A1187" t="s">
        <v>1935</v>
      </c>
      <c r="B1187" t="s">
        <v>2278</v>
      </c>
      <c r="C1187" s="6" t="str">
        <f t="shared" si="55"/>
        <v>January</v>
      </c>
      <c r="D1187" s="6" t="str">
        <f t="shared" si="56"/>
        <v>22</v>
      </c>
      <c r="E1187" t="s">
        <v>1021</v>
      </c>
      <c r="F1187" t="s">
        <v>21</v>
      </c>
      <c r="G1187" t="s">
        <v>106</v>
      </c>
      <c r="H1187" s="4" t="s">
        <v>2258</v>
      </c>
      <c r="I1187">
        <v>899458</v>
      </c>
      <c r="J1187" s="8" t="s">
        <v>2347</v>
      </c>
      <c r="K1187" t="s">
        <v>792</v>
      </c>
      <c r="L1187" t="s">
        <v>793</v>
      </c>
      <c r="M1187" t="s">
        <v>50</v>
      </c>
      <c r="N1187">
        <f t="shared" si="57"/>
        <v>5</v>
      </c>
      <c r="O1187">
        <v>1</v>
      </c>
      <c r="P1187" s="6">
        <v>141.54</v>
      </c>
      <c r="Q1187">
        <v>7.08</v>
      </c>
      <c r="R1187">
        <v>134.46</v>
      </c>
      <c r="S1187">
        <v>6.72</v>
      </c>
      <c r="T1187">
        <v>0</v>
      </c>
      <c r="U1187">
        <v>20</v>
      </c>
      <c r="V1187">
        <v>161.18</v>
      </c>
      <c r="W1187" t="s">
        <v>27</v>
      </c>
      <c r="X1187">
        <v>24</v>
      </c>
    </row>
    <row r="1188" spans="1:24" ht="14.25" customHeight="1">
      <c r="A1188" t="s">
        <v>1936</v>
      </c>
      <c r="B1188" t="s">
        <v>2304</v>
      </c>
      <c r="C1188" s="6" t="str">
        <f t="shared" si="55"/>
        <v>January</v>
      </c>
      <c r="D1188" s="6" t="str">
        <f t="shared" si="56"/>
        <v>26</v>
      </c>
      <c r="E1188" t="s">
        <v>1023</v>
      </c>
      <c r="F1188" t="s">
        <v>21</v>
      </c>
      <c r="G1188" t="s">
        <v>68</v>
      </c>
      <c r="H1188" s="4" t="s">
        <v>2258</v>
      </c>
      <c r="I1188">
        <v>945753</v>
      </c>
      <c r="J1188" s="8" t="s">
        <v>2345</v>
      </c>
      <c r="K1188" t="s">
        <v>796</v>
      </c>
      <c r="L1188" t="s">
        <v>797</v>
      </c>
      <c r="M1188" t="s">
        <v>177</v>
      </c>
      <c r="N1188">
        <f t="shared" si="57"/>
        <v>5</v>
      </c>
      <c r="O1188">
        <v>1</v>
      </c>
      <c r="P1188" s="6">
        <v>168.8</v>
      </c>
      <c r="Q1188">
        <v>0</v>
      </c>
      <c r="R1188">
        <v>168.8</v>
      </c>
      <c r="S1188">
        <v>8.44</v>
      </c>
      <c r="T1188">
        <v>10</v>
      </c>
      <c r="U1188">
        <v>20</v>
      </c>
      <c r="V1188">
        <v>207.24</v>
      </c>
      <c r="W1188" t="s">
        <v>34</v>
      </c>
      <c r="X1188">
        <v>25</v>
      </c>
    </row>
    <row r="1189" spans="1:24" ht="14.25" customHeight="1">
      <c r="A1189" t="s">
        <v>1937</v>
      </c>
      <c r="B1189" t="s">
        <v>2280</v>
      </c>
      <c r="C1189" s="6" t="str">
        <f t="shared" si="55"/>
        <v>February</v>
      </c>
      <c r="D1189" s="6" t="str">
        <f t="shared" si="56"/>
        <v>13</v>
      </c>
      <c r="E1189" t="s">
        <v>1025</v>
      </c>
      <c r="F1189" t="s">
        <v>21</v>
      </c>
      <c r="G1189" t="s">
        <v>22</v>
      </c>
      <c r="H1189" s="4" t="s">
        <v>2258</v>
      </c>
      <c r="I1189">
        <v>793539</v>
      </c>
      <c r="J1189" s="8" t="s">
        <v>2349</v>
      </c>
      <c r="K1189" t="s">
        <v>800</v>
      </c>
      <c r="L1189" t="s">
        <v>801</v>
      </c>
      <c r="M1189" t="s">
        <v>140</v>
      </c>
      <c r="N1189">
        <f t="shared" si="57"/>
        <v>3</v>
      </c>
      <c r="O1189">
        <v>2</v>
      </c>
      <c r="P1189" s="6">
        <v>204.55</v>
      </c>
      <c r="Q1189">
        <v>30.68</v>
      </c>
      <c r="R1189">
        <v>378.42</v>
      </c>
      <c r="S1189">
        <v>18.920000000000002</v>
      </c>
      <c r="T1189">
        <v>20</v>
      </c>
      <c r="U1189">
        <v>0</v>
      </c>
      <c r="V1189">
        <v>417.34</v>
      </c>
      <c r="W1189" t="s">
        <v>27</v>
      </c>
      <c r="X1189">
        <v>27</v>
      </c>
    </row>
    <row r="1190" spans="1:24" ht="14.25" customHeight="1">
      <c r="A1190" t="s">
        <v>1938</v>
      </c>
      <c r="B1190" t="s">
        <v>2286</v>
      </c>
      <c r="C1190" s="6" t="str">
        <f t="shared" si="55"/>
        <v>January</v>
      </c>
      <c r="D1190" s="6" t="str">
        <f t="shared" si="56"/>
        <v>25</v>
      </c>
      <c r="E1190" t="s">
        <v>1027</v>
      </c>
      <c r="F1190" t="s">
        <v>101</v>
      </c>
      <c r="G1190" t="s">
        <v>81</v>
      </c>
      <c r="H1190" s="4" t="s">
        <v>2258</v>
      </c>
      <c r="I1190">
        <v>136069</v>
      </c>
      <c r="J1190" s="8" t="s">
        <v>30</v>
      </c>
      <c r="K1190" t="s">
        <v>804</v>
      </c>
      <c r="L1190" t="s">
        <v>805</v>
      </c>
      <c r="M1190" t="s">
        <v>26</v>
      </c>
      <c r="N1190">
        <f t="shared" si="57"/>
        <v>3</v>
      </c>
      <c r="O1190">
        <v>3</v>
      </c>
      <c r="P1190" s="6">
        <v>138.13999999999999</v>
      </c>
      <c r="Q1190">
        <v>6.91</v>
      </c>
      <c r="R1190">
        <v>407.50999999999988</v>
      </c>
      <c r="S1190">
        <v>20.38</v>
      </c>
      <c r="T1190">
        <v>0</v>
      </c>
      <c r="U1190">
        <v>20</v>
      </c>
      <c r="V1190">
        <v>447.88999999999987</v>
      </c>
      <c r="W1190" t="s">
        <v>34</v>
      </c>
      <c r="X1190">
        <v>25</v>
      </c>
    </row>
    <row r="1191" spans="1:24" ht="14.25" customHeight="1">
      <c r="A1191" t="s">
        <v>1939</v>
      </c>
      <c r="B1191" t="s">
        <v>2307</v>
      </c>
      <c r="C1191" s="6" t="str">
        <f t="shared" si="55"/>
        <v>January</v>
      </c>
      <c r="D1191" s="6" t="str">
        <f t="shared" si="56"/>
        <v>17</v>
      </c>
      <c r="E1191" t="s">
        <v>1029</v>
      </c>
      <c r="F1191" t="s">
        <v>21</v>
      </c>
      <c r="G1191" t="s">
        <v>74</v>
      </c>
      <c r="H1191" s="4" t="s">
        <v>2258</v>
      </c>
      <c r="I1191">
        <v>805591</v>
      </c>
      <c r="J1191" s="8" t="s">
        <v>2347</v>
      </c>
      <c r="K1191" t="s">
        <v>808</v>
      </c>
      <c r="L1191" t="s">
        <v>809</v>
      </c>
      <c r="M1191" t="s">
        <v>135</v>
      </c>
      <c r="N1191">
        <f t="shared" si="57"/>
        <v>9</v>
      </c>
      <c r="O1191">
        <v>3</v>
      </c>
      <c r="P1191" s="6">
        <v>0.86</v>
      </c>
      <c r="Q1191">
        <v>0.09</v>
      </c>
      <c r="R1191">
        <v>2.4900000000000002</v>
      </c>
      <c r="S1191">
        <v>0.12</v>
      </c>
      <c r="T1191">
        <v>10</v>
      </c>
      <c r="U1191">
        <v>5</v>
      </c>
      <c r="V1191">
        <v>17.61</v>
      </c>
      <c r="W1191" t="s">
        <v>27</v>
      </c>
      <c r="X1191">
        <v>17</v>
      </c>
    </row>
    <row r="1192" spans="1:24" ht="14.25" customHeight="1">
      <c r="A1192" t="s">
        <v>1940</v>
      </c>
      <c r="B1192" t="s">
        <v>2318</v>
      </c>
      <c r="C1192" s="6" t="str">
        <f t="shared" si="55"/>
        <v>January</v>
      </c>
      <c r="D1192" s="6" t="str">
        <f t="shared" si="56"/>
        <v>13</v>
      </c>
      <c r="E1192" t="s">
        <v>1031</v>
      </c>
      <c r="F1192" t="s">
        <v>21</v>
      </c>
      <c r="G1192" t="s">
        <v>74</v>
      </c>
      <c r="H1192" s="4" t="s">
        <v>2258</v>
      </c>
      <c r="I1192">
        <v>735960</v>
      </c>
      <c r="J1192" s="8" t="s">
        <v>2346</v>
      </c>
      <c r="K1192" t="s">
        <v>812</v>
      </c>
      <c r="L1192" t="s">
        <v>813</v>
      </c>
      <c r="M1192" t="s">
        <v>140</v>
      </c>
      <c r="N1192">
        <f t="shared" si="57"/>
        <v>3</v>
      </c>
      <c r="O1192">
        <v>4</v>
      </c>
      <c r="P1192" s="6">
        <v>101.69</v>
      </c>
      <c r="Q1192">
        <v>0</v>
      </c>
      <c r="R1192">
        <v>406.76</v>
      </c>
      <c r="S1192">
        <v>20.34</v>
      </c>
      <c r="T1192">
        <v>30</v>
      </c>
      <c r="U1192">
        <v>5</v>
      </c>
      <c r="V1192">
        <v>462.1</v>
      </c>
      <c r="W1192" t="s">
        <v>84</v>
      </c>
      <c r="X1192">
        <v>25</v>
      </c>
    </row>
    <row r="1193" spans="1:24" ht="14.25" customHeight="1">
      <c r="A1193" t="s">
        <v>1941</v>
      </c>
      <c r="B1193" t="s">
        <v>2305</v>
      </c>
      <c r="C1193" s="6" t="str">
        <f t="shared" si="55"/>
        <v>January</v>
      </c>
      <c r="D1193" s="6" t="str">
        <f t="shared" si="56"/>
        <v>20</v>
      </c>
      <c r="E1193" t="s">
        <v>1033</v>
      </c>
      <c r="F1193" t="s">
        <v>21</v>
      </c>
      <c r="G1193" t="s">
        <v>74</v>
      </c>
      <c r="H1193" s="4" t="s">
        <v>2258</v>
      </c>
      <c r="I1193">
        <v>993441</v>
      </c>
      <c r="J1193" s="8" t="s">
        <v>30</v>
      </c>
      <c r="K1193" t="s">
        <v>816</v>
      </c>
      <c r="L1193" t="s">
        <v>817</v>
      </c>
      <c r="M1193" t="s">
        <v>77</v>
      </c>
      <c r="N1193">
        <f t="shared" si="57"/>
        <v>5</v>
      </c>
      <c r="O1193">
        <v>5</v>
      </c>
      <c r="P1193" s="6">
        <v>164.62</v>
      </c>
      <c r="Q1193">
        <v>8.23</v>
      </c>
      <c r="R1193">
        <v>814.87</v>
      </c>
      <c r="S1193">
        <v>40.74</v>
      </c>
      <c r="T1193">
        <v>0</v>
      </c>
      <c r="U1193">
        <v>20</v>
      </c>
      <c r="V1193">
        <v>875.61</v>
      </c>
      <c r="W1193" t="s">
        <v>27</v>
      </c>
      <c r="X1193">
        <v>22</v>
      </c>
    </row>
    <row r="1194" spans="1:24" ht="14.25" customHeight="1">
      <c r="A1194" t="s">
        <v>1942</v>
      </c>
      <c r="B1194" t="s">
        <v>2286</v>
      </c>
      <c r="C1194" s="6" t="str">
        <f t="shared" si="55"/>
        <v>January</v>
      </c>
      <c r="D1194" s="6" t="str">
        <f t="shared" si="56"/>
        <v>25</v>
      </c>
      <c r="E1194" t="s">
        <v>1035</v>
      </c>
      <c r="F1194" t="s">
        <v>21</v>
      </c>
      <c r="G1194" t="s">
        <v>106</v>
      </c>
      <c r="H1194" s="4" t="s">
        <v>2258</v>
      </c>
      <c r="I1194">
        <v>610790</v>
      </c>
      <c r="J1194" s="8" t="s">
        <v>2345</v>
      </c>
      <c r="K1194" t="s">
        <v>820</v>
      </c>
      <c r="L1194" t="s">
        <v>821</v>
      </c>
      <c r="M1194" t="s">
        <v>26</v>
      </c>
      <c r="N1194">
        <f t="shared" si="57"/>
        <v>3</v>
      </c>
      <c r="O1194">
        <v>2</v>
      </c>
      <c r="P1194" s="6">
        <v>137.35</v>
      </c>
      <c r="Q1194">
        <v>0</v>
      </c>
      <c r="R1194">
        <v>274.7</v>
      </c>
      <c r="S1194">
        <v>13.73</v>
      </c>
      <c r="T1194">
        <v>30</v>
      </c>
      <c r="U1194">
        <v>20</v>
      </c>
      <c r="V1194">
        <v>338.43</v>
      </c>
      <c r="W1194" t="s">
        <v>27</v>
      </c>
      <c r="X1194">
        <v>34</v>
      </c>
    </row>
    <row r="1195" spans="1:24" ht="14.25" customHeight="1">
      <c r="A1195" t="s">
        <v>1943</v>
      </c>
      <c r="B1195" t="s">
        <v>2301</v>
      </c>
      <c r="C1195" s="6" t="str">
        <f t="shared" si="55"/>
        <v>January</v>
      </c>
      <c r="D1195" s="6" t="str">
        <f t="shared" si="56"/>
        <v>04</v>
      </c>
      <c r="E1195" t="s">
        <v>1037</v>
      </c>
      <c r="F1195" t="s">
        <v>21</v>
      </c>
      <c r="G1195" t="s">
        <v>74</v>
      </c>
      <c r="H1195" s="4" t="s">
        <v>2258</v>
      </c>
      <c r="I1195">
        <v>135282</v>
      </c>
      <c r="J1195" s="8" t="s">
        <v>62</v>
      </c>
      <c r="K1195" t="s">
        <v>824</v>
      </c>
      <c r="L1195" t="s">
        <v>825</v>
      </c>
      <c r="M1195" t="s">
        <v>135</v>
      </c>
      <c r="N1195">
        <f t="shared" si="57"/>
        <v>9</v>
      </c>
      <c r="O1195">
        <v>1</v>
      </c>
      <c r="P1195" s="6">
        <v>73.66</v>
      </c>
      <c r="Q1195">
        <v>3.68</v>
      </c>
      <c r="R1195">
        <v>69.97999999999999</v>
      </c>
      <c r="S1195">
        <v>3.5</v>
      </c>
      <c r="T1195">
        <v>10</v>
      </c>
      <c r="U1195">
        <v>5</v>
      </c>
      <c r="V1195">
        <v>88.47999999999999</v>
      </c>
      <c r="W1195" t="s">
        <v>27</v>
      </c>
      <c r="X1195">
        <v>33</v>
      </c>
    </row>
    <row r="1196" spans="1:24" ht="14.25" customHeight="1">
      <c r="A1196" t="s">
        <v>1944</v>
      </c>
      <c r="B1196" t="s">
        <v>2311</v>
      </c>
      <c r="C1196" s="6" t="str">
        <f t="shared" si="55"/>
        <v>January</v>
      </c>
      <c r="D1196" s="6" t="str">
        <f t="shared" si="56"/>
        <v>10</v>
      </c>
      <c r="E1196" t="s">
        <v>1039</v>
      </c>
      <c r="F1196" t="s">
        <v>21</v>
      </c>
      <c r="G1196" t="s">
        <v>22</v>
      </c>
      <c r="H1196" s="4" t="s">
        <v>2258</v>
      </c>
      <c r="I1196">
        <v>495412</v>
      </c>
      <c r="J1196" s="8" t="s">
        <v>30</v>
      </c>
      <c r="K1196" t="s">
        <v>828</v>
      </c>
      <c r="L1196" t="s">
        <v>829</v>
      </c>
      <c r="M1196" t="s">
        <v>98</v>
      </c>
      <c r="N1196">
        <f t="shared" si="57"/>
        <v>4</v>
      </c>
      <c r="O1196">
        <v>1</v>
      </c>
      <c r="P1196" s="6">
        <v>170.98</v>
      </c>
      <c r="Q1196">
        <v>0</v>
      </c>
      <c r="R1196">
        <v>170.98</v>
      </c>
      <c r="S1196">
        <v>8.5500000000000007</v>
      </c>
      <c r="T1196">
        <v>30</v>
      </c>
      <c r="U1196">
        <v>0</v>
      </c>
      <c r="V1196">
        <v>209.53</v>
      </c>
      <c r="W1196" t="s">
        <v>27</v>
      </c>
      <c r="X1196">
        <v>40</v>
      </c>
    </row>
    <row r="1197" spans="1:24" ht="14.25" customHeight="1">
      <c r="A1197" t="s">
        <v>1945</v>
      </c>
      <c r="B1197" t="s">
        <v>2277</v>
      </c>
      <c r="C1197" s="6" t="str">
        <f t="shared" si="55"/>
        <v>January</v>
      </c>
      <c r="D1197" s="6" t="str">
        <f t="shared" si="56"/>
        <v>03</v>
      </c>
      <c r="E1197" t="s">
        <v>1041</v>
      </c>
      <c r="F1197" t="s">
        <v>21</v>
      </c>
      <c r="G1197" t="s">
        <v>106</v>
      </c>
      <c r="H1197" s="4" t="s">
        <v>2258</v>
      </c>
      <c r="I1197">
        <v>144484</v>
      </c>
      <c r="J1197" s="8" t="s">
        <v>30</v>
      </c>
      <c r="K1197" t="s">
        <v>832</v>
      </c>
      <c r="L1197" t="s">
        <v>833</v>
      </c>
      <c r="M1197" t="s">
        <v>65</v>
      </c>
      <c r="N1197">
        <f t="shared" si="57"/>
        <v>6</v>
      </c>
      <c r="O1197">
        <v>3</v>
      </c>
      <c r="P1197" s="6">
        <v>53.19</v>
      </c>
      <c r="Q1197">
        <v>0</v>
      </c>
      <c r="R1197">
        <v>159.57</v>
      </c>
      <c r="S1197">
        <v>7.98</v>
      </c>
      <c r="T1197">
        <v>10</v>
      </c>
      <c r="U1197">
        <v>10</v>
      </c>
      <c r="V1197">
        <v>187.55</v>
      </c>
      <c r="W1197" t="s">
        <v>27</v>
      </c>
      <c r="X1197">
        <v>40</v>
      </c>
    </row>
    <row r="1198" spans="1:24" ht="14.25" customHeight="1">
      <c r="A1198" t="s">
        <v>1946</v>
      </c>
      <c r="B1198" t="s">
        <v>2315</v>
      </c>
      <c r="C1198" s="6" t="str">
        <f t="shared" si="55"/>
        <v>February</v>
      </c>
      <c r="D1198" s="6" t="str">
        <f t="shared" si="56"/>
        <v>10</v>
      </c>
      <c r="E1198" t="s">
        <v>1043</v>
      </c>
      <c r="F1198" t="s">
        <v>21</v>
      </c>
      <c r="G1198" t="s">
        <v>68</v>
      </c>
      <c r="H1198" s="4" t="s">
        <v>2258</v>
      </c>
      <c r="I1198">
        <v>217399</v>
      </c>
      <c r="J1198" s="8" t="s">
        <v>2349</v>
      </c>
      <c r="K1198" t="s">
        <v>836</v>
      </c>
      <c r="L1198" t="s">
        <v>837</v>
      </c>
      <c r="M1198" t="s">
        <v>89</v>
      </c>
      <c r="N1198">
        <f t="shared" si="57"/>
        <v>7</v>
      </c>
      <c r="O1198">
        <v>3</v>
      </c>
      <c r="P1198" s="6">
        <v>161.34</v>
      </c>
      <c r="Q1198">
        <v>8.07</v>
      </c>
      <c r="R1198">
        <v>475.95</v>
      </c>
      <c r="S1198">
        <v>23.8</v>
      </c>
      <c r="T1198">
        <v>20</v>
      </c>
      <c r="U1198">
        <v>0</v>
      </c>
      <c r="V1198">
        <v>519.75</v>
      </c>
      <c r="W1198" t="s">
        <v>27</v>
      </c>
      <c r="X1198">
        <v>25</v>
      </c>
    </row>
    <row r="1199" spans="1:24" ht="14.25" customHeight="1">
      <c r="A1199" t="s">
        <v>1947</v>
      </c>
      <c r="B1199" t="s">
        <v>2314</v>
      </c>
      <c r="C1199" s="6" t="str">
        <f t="shared" si="55"/>
        <v>February</v>
      </c>
      <c r="D1199" s="6" t="str">
        <f t="shared" si="56"/>
        <v>14</v>
      </c>
      <c r="E1199" t="s">
        <v>1045</v>
      </c>
      <c r="F1199" t="s">
        <v>21</v>
      </c>
      <c r="G1199" t="s">
        <v>106</v>
      </c>
      <c r="H1199" s="4" t="s">
        <v>2258</v>
      </c>
      <c r="I1199">
        <v>723538</v>
      </c>
      <c r="J1199" s="8" t="s">
        <v>2349</v>
      </c>
      <c r="K1199" t="s">
        <v>840</v>
      </c>
      <c r="L1199" t="s">
        <v>841</v>
      </c>
      <c r="M1199" t="s">
        <v>40</v>
      </c>
      <c r="N1199">
        <f t="shared" si="57"/>
        <v>6</v>
      </c>
      <c r="O1199">
        <v>2</v>
      </c>
      <c r="P1199" s="6">
        <v>17.420000000000002</v>
      </c>
      <c r="Q1199">
        <v>2.61</v>
      </c>
      <c r="R1199">
        <v>32.229999999999997</v>
      </c>
      <c r="S1199">
        <v>1.61</v>
      </c>
      <c r="T1199">
        <v>0</v>
      </c>
      <c r="U1199">
        <v>20</v>
      </c>
      <c r="V1199">
        <v>53.84</v>
      </c>
      <c r="W1199" t="s">
        <v>27</v>
      </c>
      <c r="X1199">
        <v>19</v>
      </c>
    </row>
    <row r="1200" spans="1:24" ht="14.25" customHeight="1">
      <c r="A1200" t="s">
        <v>1948</v>
      </c>
      <c r="B1200" t="s">
        <v>2300</v>
      </c>
      <c r="C1200" s="6" t="str">
        <f t="shared" si="55"/>
        <v>January</v>
      </c>
      <c r="D1200" s="6" t="str">
        <f t="shared" si="56"/>
        <v>18</v>
      </c>
      <c r="E1200" t="s">
        <v>1047</v>
      </c>
      <c r="F1200" t="s">
        <v>21</v>
      </c>
      <c r="G1200" t="s">
        <v>74</v>
      </c>
      <c r="H1200" s="4" t="s">
        <v>2258</v>
      </c>
      <c r="I1200">
        <v>148825</v>
      </c>
      <c r="J1200" s="8" t="s">
        <v>2345</v>
      </c>
      <c r="K1200" t="s">
        <v>844</v>
      </c>
      <c r="L1200" t="s">
        <v>845</v>
      </c>
      <c r="M1200" t="s">
        <v>98</v>
      </c>
      <c r="N1200">
        <f t="shared" si="57"/>
        <v>4</v>
      </c>
      <c r="O1200">
        <v>4</v>
      </c>
      <c r="P1200" s="6">
        <v>103.38</v>
      </c>
      <c r="Q1200">
        <v>10.34</v>
      </c>
      <c r="R1200">
        <v>403.18</v>
      </c>
      <c r="S1200">
        <v>20.16</v>
      </c>
      <c r="T1200">
        <v>20</v>
      </c>
      <c r="U1200">
        <v>15</v>
      </c>
      <c r="V1200">
        <v>458.34</v>
      </c>
      <c r="W1200" t="s">
        <v>27</v>
      </c>
      <c r="X1200">
        <v>26</v>
      </c>
    </row>
    <row r="1201" spans="1:24" ht="14.25" customHeight="1">
      <c r="A1201" t="s">
        <v>1949</v>
      </c>
      <c r="B1201" t="s">
        <v>2293</v>
      </c>
      <c r="C1201" s="6" t="str">
        <f t="shared" si="55"/>
        <v>February</v>
      </c>
      <c r="D1201" s="6" t="str">
        <f t="shared" si="56"/>
        <v>16</v>
      </c>
      <c r="E1201" t="s">
        <v>1049</v>
      </c>
      <c r="F1201" t="s">
        <v>101</v>
      </c>
      <c r="G1201" t="s">
        <v>81</v>
      </c>
      <c r="H1201" s="4" t="s">
        <v>2258</v>
      </c>
      <c r="I1201">
        <v>496474</v>
      </c>
      <c r="J1201" s="8" t="s">
        <v>30</v>
      </c>
      <c r="K1201" t="s">
        <v>848</v>
      </c>
      <c r="L1201" t="s">
        <v>849</v>
      </c>
      <c r="M1201" t="s">
        <v>22</v>
      </c>
      <c r="N1201">
        <f t="shared" si="57"/>
        <v>6</v>
      </c>
      <c r="O1201">
        <v>2</v>
      </c>
      <c r="P1201" s="6">
        <v>113.09</v>
      </c>
      <c r="Q1201">
        <v>11.31</v>
      </c>
      <c r="R1201">
        <v>214.87</v>
      </c>
      <c r="S1201">
        <v>10.74</v>
      </c>
      <c r="T1201">
        <v>20</v>
      </c>
      <c r="U1201">
        <v>15</v>
      </c>
      <c r="V1201">
        <v>260.61</v>
      </c>
      <c r="W1201" t="s">
        <v>27</v>
      </c>
      <c r="X1201">
        <v>21</v>
      </c>
    </row>
    <row r="1202" spans="1:24" ht="14.25" customHeight="1">
      <c r="A1202" t="s">
        <v>1950</v>
      </c>
      <c r="B1202" t="s">
        <v>2275</v>
      </c>
      <c r="C1202" s="6" t="str">
        <f t="shared" si="55"/>
        <v>February</v>
      </c>
      <c r="D1202" s="6" t="str">
        <f t="shared" si="56"/>
        <v>05</v>
      </c>
      <c r="E1202" t="s">
        <v>20</v>
      </c>
      <c r="F1202" t="s">
        <v>80</v>
      </c>
      <c r="G1202" t="s">
        <v>81</v>
      </c>
      <c r="H1202" s="4" t="s">
        <v>2258</v>
      </c>
      <c r="I1202">
        <v>902207</v>
      </c>
      <c r="J1202" s="8" t="s">
        <v>2347</v>
      </c>
      <c r="K1202" t="s">
        <v>24</v>
      </c>
      <c r="L1202" t="s">
        <v>25</v>
      </c>
      <c r="M1202" t="s">
        <v>65</v>
      </c>
      <c r="N1202">
        <f t="shared" si="57"/>
        <v>6</v>
      </c>
      <c r="O1202">
        <v>3</v>
      </c>
      <c r="P1202" s="6">
        <v>127.79</v>
      </c>
      <c r="Q1202">
        <v>6.39</v>
      </c>
      <c r="R1202">
        <v>376.98</v>
      </c>
      <c r="S1202">
        <v>18.850000000000001</v>
      </c>
      <c r="T1202">
        <v>0</v>
      </c>
      <c r="U1202">
        <v>20</v>
      </c>
      <c r="V1202">
        <v>415.83</v>
      </c>
      <c r="W1202" t="s">
        <v>27</v>
      </c>
      <c r="X1202">
        <v>43</v>
      </c>
    </row>
    <row r="1203" spans="1:24" ht="14.25" customHeight="1">
      <c r="A1203" t="s">
        <v>1951</v>
      </c>
      <c r="B1203" t="s">
        <v>2293</v>
      </c>
      <c r="C1203" s="6" t="str">
        <f t="shared" si="55"/>
        <v>February</v>
      </c>
      <c r="D1203" s="6" t="str">
        <f t="shared" si="56"/>
        <v>16</v>
      </c>
      <c r="E1203" t="s">
        <v>29</v>
      </c>
      <c r="F1203" t="s">
        <v>21</v>
      </c>
      <c r="G1203" t="s">
        <v>74</v>
      </c>
      <c r="H1203" s="4" t="s">
        <v>2258</v>
      </c>
      <c r="I1203">
        <v>788233</v>
      </c>
      <c r="J1203" s="8" t="s">
        <v>30</v>
      </c>
      <c r="K1203" t="s">
        <v>31</v>
      </c>
      <c r="L1203" t="s">
        <v>32</v>
      </c>
      <c r="M1203" t="s">
        <v>89</v>
      </c>
      <c r="N1203">
        <f t="shared" si="57"/>
        <v>7</v>
      </c>
      <c r="O1203">
        <v>2</v>
      </c>
      <c r="P1203" s="6">
        <v>73.989999999999995</v>
      </c>
      <c r="Q1203">
        <v>11.1</v>
      </c>
      <c r="R1203">
        <v>136.88</v>
      </c>
      <c r="S1203">
        <v>6.84</v>
      </c>
      <c r="T1203">
        <v>30</v>
      </c>
      <c r="U1203">
        <v>10</v>
      </c>
      <c r="V1203">
        <v>183.72</v>
      </c>
      <c r="W1203" t="s">
        <v>27</v>
      </c>
      <c r="X1203">
        <v>25</v>
      </c>
    </row>
    <row r="1204" spans="1:24" ht="14.25" customHeight="1">
      <c r="A1204" t="s">
        <v>1952</v>
      </c>
      <c r="B1204" t="s">
        <v>2278</v>
      </c>
      <c r="C1204" s="6" t="str">
        <f t="shared" si="55"/>
        <v>January</v>
      </c>
      <c r="D1204" s="6" t="str">
        <f t="shared" si="56"/>
        <v>22</v>
      </c>
      <c r="E1204" t="s">
        <v>36</v>
      </c>
      <c r="F1204" t="s">
        <v>21</v>
      </c>
      <c r="G1204" t="s">
        <v>68</v>
      </c>
      <c r="H1204" s="4" t="s">
        <v>2258</v>
      </c>
      <c r="I1204">
        <v>133734</v>
      </c>
      <c r="J1204" s="8" t="s">
        <v>30</v>
      </c>
      <c r="K1204" t="s">
        <v>38</v>
      </c>
      <c r="L1204" t="s">
        <v>39</v>
      </c>
      <c r="M1204" t="s">
        <v>71</v>
      </c>
      <c r="N1204">
        <f t="shared" si="57"/>
        <v>6</v>
      </c>
      <c r="O1204">
        <v>4</v>
      </c>
      <c r="P1204" s="6">
        <v>191.44</v>
      </c>
      <c r="Q1204">
        <v>9.57</v>
      </c>
      <c r="R1204">
        <v>756.18999999999994</v>
      </c>
      <c r="S1204">
        <v>37.81</v>
      </c>
      <c r="T1204">
        <v>10</v>
      </c>
      <c r="U1204">
        <v>10</v>
      </c>
      <c r="V1204">
        <v>814</v>
      </c>
      <c r="W1204" t="s">
        <v>27</v>
      </c>
      <c r="X1204">
        <v>27</v>
      </c>
    </row>
    <row r="1205" spans="1:24" ht="14.25" customHeight="1">
      <c r="A1205" t="s">
        <v>1953</v>
      </c>
      <c r="B1205" t="s">
        <v>2310</v>
      </c>
      <c r="C1205" s="6" t="str">
        <f t="shared" si="55"/>
        <v>February</v>
      </c>
      <c r="D1205" s="6" t="str">
        <f t="shared" si="56"/>
        <v>03</v>
      </c>
      <c r="E1205" t="s">
        <v>42</v>
      </c>
      <c r="F1205" t="s">
        <v>80</v>
      </c>
      <c r="G1205" t="s">
        <v>81</v>
      </c>
      <c r="H1205" s="4" t="s">
        <v>2258</v>
      </c>
      <c r="I1205">
        <v>423923</v>
      </c>
      <c r="J1205" s="8" t="s">
        <v>2349</v>
      </c>
      <c r="K1205" t="s">
        <v>43</v>
      </c>
      <c r="L1205" t="s">
        <v>44</v>
      </c>
      <c r="M1205" t="s">
        <v>65</v>
      </c>
      <c r="N1205">
        <f t="shared" si="57"/>
        <v>6</v>
      </c>
      <c r="O1205">
        <v>3</v>
      </c>
      <c r="P1205" s="6">
        <v>195.1</v>
      </c>
      <c r="Q1205">
        <v>19.510000000000002</v>
      </c>
      <c r="R1205">
        <v>565.79</v>
      </c>
      <c r="S1205">
        <v>28.29</v>
      </c>
      <c r="T1205">
        <v>20</v>
      </c>
      <c r="U1205">
        <v>5</v>
      </c>
      <c r="V1205">
        <v>619.07999999999993</v>
      </c>
      <c r="W1205" t="s">
        <v>27</v>
      </c>
      <c r="X1205">
        <v>32</v>
      </c>
    </row>
    <row r="1206" spans="1:24" ht="14.25" customHeight="1">
      <c r="A1206" t="s">
        <v>1954</v>
      </c>
      <c r="B1206" t="s">
        <v>2293</v>
      </c>
      <c r="C1206" s="6" t="str">
        <f t="shared" si="55"/>
        <v>February</v>
      </c>
      <c r="D1206" s="6" t="str">
        <f t="shared" si="56"/>
        <v>16</v>
      </c>
      <c r="E1206" t="s">
        <v>47</v>
      </c>
      <c r="F1206" t="s">
        <v>21</v>
      </c>
      <c r="G1206" t="s">
        <v>106</v>
      </c>
      <c r="H1206" s="4" t="s">
        <v>2258</v>
      </c>
      <c r="I1206">
        <v>641228</v>
      </c>
      <c r="J1206" s="8" t="s">
        <v>2349</v>
      </c>
      <c r="K1206" t="s">
        <v>48</v>
      </c>
      <c r="L1206" t="s">
        <v>49</v>
      </c>
      <c r="M1206" t="s">
        <v>77</v>
      </c>
      <c r="N1206">
        <f t="shared" si="57"/>
        <v>5</v>
      </c>
      <c r="O1206">
        <v>6</v>
      </c>
      <c r="P1206" s="6">
        <v>135.71</v>
      </c>
      <c r="Q1206">
        <v>6.79</v>
      </c>
      <c r="R1206">
        <v>807.47</v>
      </c>
      <c r="S1206">
        <v>40.369999999999997</v>
      </c>
      <c r="T1206">
        <v>10</v>
      </c>
      <c r="U1206">
        <v>15</v>
      </c>
      <c r="V1206">
        <v>872.84</v>
      </c>
      <c r="W1206" t="s">
        <v>27</v>
      </c>
      <c r="X1206">
        <v>20</v>
      </c>
    </row>
    <row r="1207" spans="1:24" ht="14.25" customHeight="1">
      <c r="A1207" t="s">
        <v>1955</v>
      </c>
      <c r="B1207" t="s">
        <v>2267</v>
      </c>
      <c r="C1207" s="6" t="str">
        <f t="shared" si="55"/>
        <v>January</v>
      </c>
      <c r="D1207" s="6" t="str">
        <f t="shared" si="56"/>
        <v>08</v>
      </c>
      <c r="E1207" t="s">
        <v>52</v>
      </c>
      <c r="F1207" t="s">
        <v>21</v>
      </c>
      <c r="G1207" t="s">
        <v>74</v>
      </c>
      <c r="H1207" s="4" t="s">
        <v>2258</v>
      </c>
      <c r="I1207">
        <v>643910</v>
      </c>
      <c r="J1207" s="8" t="s">
        <v>2347</v>
      </c>
      <c r="K1207" t="s">
        <v>53</v>
      </c>
      <c r="L1207" t="s">
        <v>54</v>
      </c>
      <c r="M1207" t="s">
        <v>135</v>
      </c>
      <c r="N1207">
        <f t="shared" si="57"/>
        <v>9</v>
      </c>
      <c r="O1207">
        <v>8</v>
      </c>
      <c r="P1207" s="6">
        <v>143.91</v>
      </c>
      <c r="Q1207">
        <v>7.2</v>
      </c>
      <c r="R1207">
        <v>1144.08</v>
      </c>
      <c r="S1207">
        <v>57.2</v>
      </c>
      <c r="T1207">
        <v>20</v>
      </c>
      <c r="U1207">
        <v>15</v>
      </c>
      <c r="V1207">
        <v>1236.28</v>
      </c>
      <c r="W1207" t="s">
        <v>27</v>
      </c>
      <c r="X1207">
        <v>24</v>
      </c>
    </row>
    <row r="1208" spans="1:24" ht="14.25" customHeight="1">
      <c r="A1208" t="s">
        <v>1956</v>
      </c>
      <c r="B1208" t="s">
        <v>2276</v>
      </c>
      <c r="C1208" s="6" t="str">
        <f t="shared" si="55"/>
        <v>February</v>
      </c>
      <c r="D1208" s="6" t="str">
        <f t="shared" si="56"/>
        <v>09</v>
      </c>
      <c r="E1208" t="s">
        <v>57</v>
      </c>
      <c r="F1208" t="s">
        <v>21</v>
      </c>
      <c r="G1208" t="s">
        <v>68</v>
      </c>
      <c r="H1208" s="4" t="s">
        <v>2258</v>
      </c>
      <c r="I1208">
        <v>601072</v>
      </c>
      <c r="J1208" s="8" t="s">
        <v>2349</v>
      </c>
      <c r="K1208" t="s">
        <v>58</v>
      </c>
      <c r="L1208" t="s">
        <v>59</v>
      </c>
      <c r="M1208" t="s">
        <v>98</v>
      </c>
      <c r="N1208">
        <f t="shared" si="57"/>
        <v>4</v>
      </c>
      <c r="O1208">
        <v>2</v>
      </c>
      <c r="P1208" s="6">
        <v>14.79</v>
      </c>
      <c r="Q1208">
        <v>2.2200000000000002</v>
      </c>
      <c r="R1208">
        <v>27.36</v>
      </c>
      <c r="S1208">
        <v>1.37</v>
      </c>
      <c r="T1208">
        <v>20</v>
      </c>
      <c r="U1208">
        <v>0</v>
      </c>
      <c r="V1208">
        <v>48.73</v>
      </c>
      <c r="W1208" t="s">
        <v>27</v>
      </c>
      <c r="X1208">
        <v>41</v>
      </c>
    </row>
    <row r="1209" spans="1:24" ht="14.25" customHeight="1">
      <c r="A1209" t="s">
        <v>1957</v>
      </c>
      <c r="B1209" t="s">
        <v>2287</v>
      </c>
      <c r="C1209" s="6" t="str">
        <f t="shared" si="55"/>
        <v>February</v>
      </c>
      <c r="D1209" s="6" t="str">
        <f t="shared" si="56"/>
        <v>18</v>
      </c>
      <c r="E1209" t="s">
        <v>61</v>
      </c>
      <c r="F1209" t="s">
        <v>21</v>
      </c>
      <c r="G1209" t="s">
        <v>106</v>
      </c>
      <c r="H1209" s="4" t="s">
        <v>2258</v>
      </c>
      <c r="I1209">
        <v>535132</v>
      </c>
      <c r="J1209" s="8" t="s">
        <v>2349</v>
      </c>
      <c r="K1209" t="s">
        <v>63</v>
      </c>
      <c r="L1209" t="s">
        <v>64</v>
      </c>
      <c r="M1209" t="s">
        <v>135</v>
      </c>
      <c r="N1209">
        <f t="shared" si="57"/>
        <v>9</v>
      </c>
      <c r="O1209">
        <v>1</v>
      </c>
      <c r="P1209" s="6">
        <v>130.24</v>
      </c>
      <c r="Q1209">
        <v>13.02</v>
      </c>
      <c r="R1209">
        <v>117.22</v>
      </c>
      <c r="S1209">
        <v>5.86</v>
      </c>
      <c r="T1209">
        <v>10</v>
      </c>
      <c r="U1209">
        <v>5</v>
      </c>
      <c r="V1209">
        <v>138.08000000000001</v>
      </c>
      <c r="W1209" t="s">
        <v>84</v>
      </c>
      <c r="X1209">
        <v>25</v>
      </c>
    </row>
    <row r="1210" spans="1:24" ht="14.25" customHeight="1">
      <c r="A1210" t="s">
        <v>1958</v>
      </c>
      <c r="B1210" t="s">
        <v>2280</v>
      </c>
      <c r="C1210" s="6" t="str">
        <f t="shared" si="55"/>
        <v>February</v>
      </c>
      <c r="D1210" s="6" t="str">
        <f t="shared" si="56"/>
        <v>13</v>
      </c>
      <c r="E1210" t="s">
        <v>67</v>
      </c>
      <c r="F1210" t="s">
        <v>21</v>
      </c>
      <c r="G1210" t="s">
        <v>106</v>
      </c>
      <c r="H1210" s="4" t="s">
        <v>2258</v>
      </c>
      <c r="I1210">
        <v>553112</v>
      </c>
      <c r="J1210" s="8" t="s">
        <v>2348</v>
      </c>
      <c r="K1210" t="s">
        <v>69</v>
      </c>
      <c r="L1210" t="s">
        <v>70</v>
      </c>
      <c r="M1210" t="s">
        <v>26</v>
      </c>
      <c r="N1210">
        <f t="shared" si="57"/>
        <v>3</v>
      </c>
      <c r="O1210">
        <v>2</v>
      </c>
      <c r="P1210" s="6">
        <v>56.19</v>
      </c>
      <c r="Q1210">
        <v>8.43</v>
      </c>
      <c r="R1210">
        <v>103.95</v>
      </c>
      <c r="S1210">
        <v>5.2</v>
      </c>
      <c r="T1210">
        <v>20</v>
      </c>
      <c r="U1210">
        <v>0</v>
      </c>
      <c r="V1210">
        <v>129.15</v>
      </c>
      <c r="W1210" t="s">
        <v>27</v>
      </c>
      <c r="X1210">
        <v>3</v>
      </c>
    </row>
    <row r="1211" spans="1:24" ht="14.25" customHeight="1">
      <c r="A1211" t="s">
        <v>1959</v>
      </c>
      <c r="B1211" t="s">
        <v>2270</v>
      </c>
      <c r="C1211" s="6" t="str">
        <f t="shared" si="55"/>
        <v>January</v>
      </c>
      <c r="D1211" s="6" t="str">
        <f t="shared" si="56"/>
        <v>19</v>
      </c>
      <c r="E1211" t="s">
        <v>73</v>
      </c>
      <c r="F1211" t="s">
        <v>21</v>
      </c>
      <c r="G1211" t="s">
        <v>74</v>
      </c>
      <c r="H1211" s="4" t="s">
        <v>2258</v>
      </c>
      <c r="I1211">
        <v>856355</v>
      </c>
      <c r="J1211" s="8" t="s">
        <v>2346</v>
      </c>
      <c r="K1211" t="s">
        <v>75</v>
      </c>
      <c r="L1211" t="s">
        <v>76</v>
      </c>
      <c r="M1211" t="s">
        <v>33</v>
      </c>
      <c r="N1211">
        <f t="shared" si="57"/>
        <v>10</v>
      </c>
      <c r="O1211">
        <v>1</v>
      </c>
      <c r="P1211" s="6">
        <v>103.73</v>
      </c>
      <c r="Q1211">
        <v>5.19</v>
      </c>
      <c r="R1211">
        <v>98.54</v>
      </c>
      <c r="S1211">
        <v>4.93</v>
      </c>
      <c r="T1211">
        <v>30</v>
      </c>
      <c r="U1211">
        <v>15</v>
      </c>
      <c r="V1211">
        <v>148.47</v>
      </c>
      <c r="W1211" t="s">
        <v>27</v>
      </c>
      <c r="X1211">
        <v>18</v>
      </c>
    </row>
    <row r="1212" spans="1:24" ht="14.25" customHeight="1">
      <c r="A1212" t="s">
        <v>1960</v>
      </c>
      <c r="B1212" t="s">
        <v>2290</v>
      </c>
      <c r="C1212" s="6" t="str">
        <f t="shared" si="55"/>
        <v>February</v>
      </c>
      <c r="D1212" s="6" t="str">
        <f t="shared" si="56"/>
        <v>11</v>
      </c>
      <c r="E1212" t="s">
        <v>79</v>
      </c>
      <c r="F1212" t="s">
        <v>21</v>
      </c>
      <c r="G1212" t="s">
        <v>22</v>
      </c>
      <c r="H1212" s="4" t="s">
        <v>2258</v>
      </c>
      <c r="I1212">
        <v>476826</v>
      </c>
      <c r="J1212" s="8" t="s">
        <v>30</v>
      </c>
      <c r="K1212" t="s">
        <v>82</v>
      </c>
      <c r="L1212" t="s">
        <v>83</v>
      </c>
      <c r="M1212" t="s">
        <v>130</v>
      </c>
      <c r="N1212">
        <f t="shared" si="57"/>
        <v>7</v>
      </c>
      <c r="O1212">
        <v>4</v>
      </c>
      <c r="P1212" s="6">
        <v>43.39</v>
      </c>
      <c r="Q1212">
        <v>4.34</v>
      </c>
      <c r="R1212">
        <v>169.22</v>
      </c>
      <c r="S1212">
        <v>8.4600000000000009</v>
      </c>
      <c r="T1212">
        <v>10</v>
      </c>
      <c r="U1212">
        <v>10</v>
      </c>
      <c r="V1212">
        <v>197.68</v>
      </c>
      <c r="W1212" t="s">
        <v>27</v>
      </c>
      <c r="X1212">
        <v>34</v>
      </c>
    </row>
    <row r="1213" spans="1:24" ht="14.25" customHeight="1">
      <c r="A1213" t="s">
        <v>1961</v>
      </c>
      <c r="B1213" t="s">
        <v>2315</v>
      </c>
      <c r="C1213" s="6" t="str">
        <f t="shared" si="55"/>
        <v>February</v>
      </c>
      <c r="D1213" s="6" t="str">
        <f t="shared" si="56"/>
        <v>10</v>
      </c>
      <c r="E1213" t="s">
        <v>86</v>
      </c>
      <c r="F1213" t="s">
        <v>21</v>
      </c>
      <c r="G1213" t="s">
        <v>37</v>
      </c>
      <c r="H1213" s="4" t="s">
        <v>2258</v>
      </c>
      <c r="I1213">
        <v>217752</v>
      </c>
      <c r="J1213" s="8" t="s">
        <v>2348</v>
      </c>
      <c r="K1213" t="s">
        <v>87</v>
      </c>
      <c r="L1213" t="s">
        <v>88</v>
      </c>
      <c r="M1213" t="s">
        <v>177</v>
      </c>
      <c r="N1213">
        <f t="shared" si="57"/>
        <v>5</v>
      </c>
      <c r="O1213">
        <v>1</v>
      </c>
      <c r="P1213" s="6">
        <v>41.69</v>
      </c>
      <c r="Q1213">
        <v>0</v>
      </c>
      <c r="R1213">
        <v>41.69</v>
      </c>
      <c r="S1213">
        <v>2.08</v>
      </c>
      <c r="T1213">
        <v>30</v>
      </c>
      <c r="U1213">
        <v>0</v>
      </c>
      <c r="V1213">
        <v>73.77</v>
      </c>
      <c r="W1213" t="s">
        <v>27</v>
      </c>
      <c r="X1213">
        <v>28</v>
      </c>
    </row>
    <row r="1214" spans="1:24" ht="14.25" customHeight="1">
      <c r="A1214" t="s">
        <v>1962</v>
      </c>
      <c r="B1214" t="s">
        <v>2297</v>
      </c>
      <c r="C1214" s="6" t="str">
        <f t="shared" si="55"/>
        <v>February</v>
      </c>
      <c r="D1214" s="6" t="str">
        <f t="shared" si="56"/>
        <v>06</v>
      </c>
      <c r="E1214" t="s">
        <v>91</v>
      </c>
      <c r="F1214" t="s">
        <v>21</v>
      </c>
      <c r="G1214" t="s">
        <v>106</v>
      </c>
      <c r="H1214" s="4" t="s">
        <v>2258</v>
      </c>
      <c r="I1214">
        <v>315432</v>
      </c>
      <c r="J1214" s="8" t="s">
        <v>2347</v>
      </c>
      <c r="K1214" t="s">
        <v>92</v>
      </c>
      <c r="L1214" t="s">
        <v>93</v>
      </c>
      <c r="M1214" t="s">
        <v>40</v>
      </c>
      <c r="N1214">
        <f t="shared" si="57"/>
        <v>6</v>
      </c>
      <c r="O1214">
        <v>3</v>
      </c>
      <c r="P1214" s="6">
        <v>141.93</v>
      </c>
      <c r="Q1214">
        <v>21.29</v>
      </c>
      <c r="R1214">
        <v>404.5</v>
      </c>
      <c r="S1214">
        <v>20.23</v>
      </c>
      <c r="T1214">
        <v>20</v>
      </c>
      <c r="U1214">
        <v>0</v>
      </c>
      <c r="V1214">
        <v>444.73</v>
      </c>
      <c r="W1214" t="s">
        <v>27</v>
      </c>
      <c r="X1214">
        <v>34</v>
      </c>
    </row>
    <row r="1215" spans="1:24" ht="14.25" customHeight="1">
      <c r="A1215" t="s">
        <v>1963</v>
      </c>
      <c r="B1215" t="s">
        <v>2308</v>
      </c>
      <c r="C1215" s="6" t="str">
        <f t="shared" si="55"/>
        <v>January</v>
      </c>
      <c r="D1215" s="6" t="str">
        <f t="shared" si="56"/>
        <v>06</v>
      </c>
      <c r="E1215" t="s">
        <v>95</v>
      </c>
      <c r="F1215" t="s">
        <v>21</v>
      </c>
      <c r="G1215" t="s">
        <v>22</v>
      </c>
      <c r="H1215" s="4" t="s">
        <v>2258</v>
      </c>
      <c r="I1215">
        <v>565448</v>
      </c>
      <c r="J1215" s="8" t="s">
        <v>2345</v>
      </c>
      <c r="K1215" t="s">
        <v>96</v>
      </c>
      <c r="L1215" t="s">
        <v>97</v>
      </c>
      <c r="M1215" t="s">
        <v>135</v>
      </c>
      <c r="N1215">
        <f t="shared" si="57"/>
        <v>9</v>
      </c>
      <c r="O1215">
        <v>3</v>
      </c>
      <c r="P1215" s="6">
        <v>32.96</v>
      </c>
      <c r="Q1215">
        <v>3.3</v>
      </c>
      <c r="R1215">
        <v>95.58</v>
      </c>
      <c r="S1215">
        <v>4.78</v>
      </c>
      <c r="T1215">
        <v>30</v>
      </c>
      <c r="U1215">
        <v>20</v>
      </c>
      <c r="V1215">
        <v>150.36000000000001</v>
      </c>
      <c r="W1215" t="s">
        <v>34</v>
      </c>
      <c r="X1215">
        <v>25</v>
      </c>
    </row>
    <row r="1216" spans="1:24" ht="14.25" customHeight="1">
      <c r="A1216" t="s">
        <v>1964</v>
      </c>
      <c r="B1216" t="s">
        <v>2263</v>
      </c>
      <c r="C1216" s="6" t="str">
        <f t="shared" si="55"/>
        <v>February</v>
      </c>
      <c r="D1216" s="6" t="str">
        <f t="shared" si="56"/>
        <v>21</v>
      </c>
      <c r="E1216" t="s">
        <v>100</v>
      </c>
      <c r="F1216" t="s">
        <v>21</v>
      </c>
      <c r="G1216" t="s">
        <v>68</v>
      </c>
      <c r="H1216" s="4" t="s">
        <v>2258</v>
      </c>
      <c r="I1216">
        <v>617400</v>
      </c>
      <c r="J1216" s="8" t="s">
        <v>30</v>
      </c>
      <c r="K1216" t="s">
        <v>102</v>
      </c>
      <c r="L1216" t="s">
        <v>103</v>
      </c>
      <c r="M1216" t="s">
        <v>89</v>
      </c>
      <c r="N1216">
        <f t="shared" si="57"/>
        <v>7</v>
      </c>
      <c r="O1216">
        <v>1</v>
      </c>
      <c r="P1216" s="6">
        <v>255.79</v>
      </c>
      <c r="Q1216">
        <v>38.369999999999997</v>
      </c>
      <c r="R1216">
        <v>217.42</v>
      </c>
      <c r="S1216">
        <v>10.87</v>
      </c>
      <c r="T1216">
        <v>30</v>
      </c>
      <c r="U1216">
        <v>0</v>
      </c>
      <c r="V1216">
        <v>258.29000000000002</v>
      </c>
      <c r="W1216" t="s">
        <v>27</v>
      </c>
      <c r="X1216">
        <v>31</v>
      </c>
    </row>
    <row r="1217" spans="1:24" ht="14.25" customHeight="1">
      <c r="A1217" t="s">
        <v>1965</v>
      </c>
      <c r="B1217" t="s">
        <v>2304</v>
      </c>
      <c r="C1217" s="6" t="str">
        <f t="shared" si="55"/>
        <v>January</v>
      </c>
      <c r="D1217" s="6" t="str">
        <f t="shared" si="56"/>
        <v>26</v>
      </c>
      <c r="E1217" t="s">
        <v>105</v>
      </c>
      <c r="F1217" t="s">
        <v>21</v>
      </c>
      <c r="G1217" t="s">
        <v>74</v>
      </c>
      <c r="H1217" s="4" t="s">
        <v>2258</v>
      </c>
      <c r="I1217">
        <v>104677</v>
      </c>
      <c r="J1217" s="8" t="s">
        <v>30</v>
      </c>
      <c r="K1217" t="s">
        <v>107</v>
      </c>
      <c r="L1217" t="s">
        <v>108</v>
      </c>
      <c r="M1217" t="s">
        <v>26</v>
      </c>
      <c r="N1217">
        <f t="shared" si="57"/>
        <v>3</v>
      </c>
      <c r="O1217">
        <v>3</v>
      </c>
      <c r="P1217" s="6">
        <v>182.03</v>
      </c>
      <c r="Q1217">
        <v>9.1</v>
      </c>
      <c r="R1217">
        <v>536.99</v>
      </c>
      <c r="S1217">
        <v>26.85</v>
      </c>
      <c r="T1217">
        <v>20</v>
      </c>
      <c r="U1217">
        <v>5</v>
      </c>
      <c r="V1217">
        <v>588.84</v>
      </c>
      <c r="W1217" t="s">
        <v>27</v>
      </c>
      <c r="X1217">
        <v>20</v>
      </c>
    </row>
    <row r="1218" spans="1:24" ht="14.25" customHeight="1">
      <c r="A1218" t="s">
        <v>1966</v>
      </c>
      <c r="B1218" t="s">
        <v>2310</v>
      </c>
      <c r="C1218" s="6" t="str">
        <f t="shared" si="55"/>
        <v>February</v>
      </c>
      <c r="D1218" s="6" t="str">
        <f t="shared" si="56"/>
        <v>03</v>
      </c>
      <c r="E1218" t="s">
        <v>110</v>
      </c>
      <c r="F1218" t="s">
        <v>21</v>
      </c>
      <c r="G1218" t="s">
        <v>22</v>
      </c>
      <c r="H1218" s="4" t="s">
        <v>2259</v>
      </c>
      <c r="I1218">
        <v>580675</v>
      </c>
      <c r="J1218" s="8" t="s">
        <v>2346</v>
      </c>
      <c r="K1218" t="s">
        <v>111</v>
      </c>
      <c r="L1218" t="s">
        <v>112</v>
      </c>
      <c r="M1218" t="s">
        <v>140</v>
      </c>
      <c r="N1218">
        <f t="shared" si="57"/>
        <v>3</v>
      </c>
      <c r="O1218">
        <v>2</v>
      </c>
      <c r="P1218" s="6">
        <v>74.97</v>
      </c>
      <c r="Q1218">
        <v>11.25</v>
      </c>
      <c r="R1218">
        <v>138.69</v>
      </c>
      <c r="S1218">
        <v>6.93</v>
      </c>
      <c r="T1218">
        <v>0</v>
      </c>
      <c r="U1218">
        <v>15</v>
      </c>
      <c r="V1218">
        <v>160.62</v>
      </c>
      <c r="W1218" t="s">
        <v>27</v>
      </c>
      <c r="X1218">
        <v>23</v>
      </c>
    </row>
    <row r="1219" spans="1:24" ht="14.25" customHeight="1">
      <c r="A1219" t="s">
        <v>1967</v>
      </c>
      <c r="B1219" t="s">
        <v>2289</v>
      </c>
      <c r="C1219" s="6" t="str">
        <f t="shared" ref="C1219:C1282" si="58">TEXT(B1219,"mmmm")</f>
        <v>February</v>
      </c>
      <c r="D1219" s="6" t="str">
        <f t="shared" ref="D1219:D1282" si="59">TEXT(B1219,"dd")</f>
        <v>28</v>
      </c>
      <c r="E1219" t="s">
        <v>114</v>
      </c>
      <c r="F1219" t="s">
        <v>21</v>
      </c>
      <c r="G1219" t="s">
        <v>74</v>
      </c>
      <c r="H1219" s="4" t="s">
        <v>2259</v>
      </c>
      <c r="I1219">
        <v>717423</v>
      </c>
      <c r="J1219" s="8" t="s">
        <v>30</v>
      </c>
      <c r="K1219" t="s">
        <v>115</v>
      </c>
      <c r="L1219" t="s">
        <v>116</v>
      </c>
      <c r="M1219" t="s">
        <v>50</v>
      </c>
      <c r="N1219">
        <f t="shared" si="57"/>
        <v>5</v>
      </c>
      <c r="O1219">
        <v>2</v>
      </c>
      <c r="P1219" s="6">
        <v>76.59</v>
      </c>
      <c r="Q1219">
        <v>7.66</v>
      </c>
      <c r="R1219">
        <v>145.52000000000001</v>
      </c>
      <c r="S1219">
        <v>7.28</v>
      </c>
      <c r="T1219">
        <v>10</v>
      </c>
      <c r="U1219">
        <v>10</v>
      </c>
      <c r="V1219">
        <v>172.8</v>
      </c>
      <c r="W1219" t="s">
        <v>27</v>
      </c>
      <c r="X1219">
        <v>24</v>
      </c>
    </row>
    <row r="1220" spans="1:24" ht="14.25" customHeight="1">
      <c r="A1220" t="s">
        <v>1968</v>
      </c>
      <c r="B1220" t="s">
        <v>2320</v>
      </c>
      <c r="C1220" s="6" t="str">
        <f t="shared" si="58"/>
        <v>February</v>
      </c>
      <c r="D1220" s="6" t="str">
        <f t="shared" si="59"/>
        <v>25</v>
      </c>
      <c r="E1220" t="s">
        <v>119</v>
      </c>
      <c r="F1220" t="s">
        <v>21</v>
      </c>
      <c r="G1220" t="s">
        <v>74</v>
      </c>
      <c r="H1220" s="4" t="s">
        <v>2259</v>
      </c>
      <c r="I1220">
        <v>302268</v>
      </c>
      <c r="J1220" s="8" t="s">
        <v>30</v>
      </c>
      <c r="K1220" t="s">
        <v>120</v>
      </c>
      <c r="L1220" t="s">
        <v>121</v>
      </c>
      <c r="M1220" t="s">
        <v>33</v>
      </c>
      <c r="N1220">
        <f t="shared" si="57"/>
        <v>10</v>
      </c>
      <c r="O1220">
        <v>3</v>
      </c>
      <c r="P1220" s="6">
        <v>125.04</v>
      </c>
      <c r="Q1220">
        <v>6.25</v>
      </c>
      <c r="R1220">
        <v>368.87</v>
      </c>
      <c r="S1220">
        <v>18.440000000000001</v>
      </c>
      <c r="T1220">
        <v>30</v>
      </c>
      <c r="U1220">
        <v>20</v>
      </c>
      <c r="V1220">
        <v>437.31</v>
      </c>
      <c r="W1220" t="s">
        <v>27</v>
      </c>
      <c r="X1220">
        <v>16</v>
      </c>
    </row>
    <row r="1221" spans="1:24" ht="14.25" customHeight="1">
      <c r="A1221" t="s">
        <v>1969</v>
      </c>
      <c r="B1221" t="s">
        <v>2289</v>
      </c>
      <c r="C1221" s="6" t="str">
        <f t="shared" si="58"/>
        <v>February</v>
      </c>
      <c r="D1221" s="6" t="str">
        <f t="shared" si="59"/>
        <v>28</v>
      </c>
      <c r="E1221" t="s">
        <v>123</v>
      </c>
      <c r="F1221" t="s">
        <v>21</v>
      </c>
      <c r="G1221" t="s">
        <v>106</v>
      </c>
      <c r="H1221" s="4" t="s">
        <v>2259</v>
      </c>
      <c r="I1221">
        <v>975584</v>
      </c>
      <c r="J1221" s="8" t="s">
        <v>62</v>
      </c>
      <c r="K1221" t="s">
        <v>124</v>
      </c>
      <c r="L1221" t="s">
        <v>125</v>
      </c>
      <c r="M1221" t="s">
        <v>65</v>
      </c>
      <c r="N1221">
        <f t="shared" si="57"/>
        <v>6</v>
      </c>
      <c r="O1221">
        <v>2</v>
      </c>
      <c r="P1221" s="6">
        <v>51.13</v>
      </c>
      <c r="Q1221">
        <v>7.67</v>
      </c>
      <c r="R1221">
        <v>94.59</v>
      </c>
      <c r="S1221">
        <v>4.7300000000000004</v>
      </c>
      <c r="T1221">
        <v>0</v>
      </c>
      <c r="U1221">
        <v>10</v>
      </c>
      <c r="V1221">
        <v>109.32</v>
      </c>
      <c r="W1221" t="s">
        <v>27</v>
      </c>
      <c r="X1221">
        <v>32</v>
      </c>
    </row>
    <row r="1222" spans="1:24" ht="14.25" customHeight="1">
      <c r="A1222" t="s">
        <v>1970</v>
      </c>
      <c r="B1222" t="s">
        <v>2314</v>
      </c>
      <c r="C1222" s="6" t="str">
        <f t="shared" si="58"/>
        <v>February</v>
      </c>
      <c r="D1222" s="6" t="str">
        <f t="shared" si="59"/>
        <v>14</v>
      </c>
      <c r="E1222" t="s">
        <v>127</v>
      </c>
      <c r="F1222" t="s">
        <v>21</v>
      </c>
      <c r="G1222" t="s">
        <v>37</v>
      </c>
      <c r="H1222" s="4" t="s">
        <v>2259</v>
      </c>
      <c r="I1222">
        <v>181238</v>
      </c>
      <c r="J1222" s="8" t="s">
        <v>30</v>
      </c>
      <c r="K1222" t="s">
        <v>128</v>
      </c>
      <c r="L1222" t="s">
        <v>129</v>
      </c>
      <c r="M1222" t="s">
        <v>89</v>
      </c>
      <c r="N1222">
        <f t="shared" si="57"/>
        <v>7</v>
      </c>
      <c r="O1222">
        <v>1</v>
      </c>
      <c r="P1222" s="6">
        <v>187.04</v>
      </c>
      <c r="Q1222">
        <v>9.35</v>
      </c>
      <c r="R1222">
        <v>177.69</v>
      </c>
      <c r="S1222">
        <v>8.8800000000000008</v>
      </c>
      <c r="T1222">
        <v>10</v>
      </c>
      <c r="U1222">
        <v>5</v>
      </c>
      <c r="V1222">
        <v>201.57</v>
      </c>
      <c r="W1222" t="s">
        <v>27</v>
      </c>
      <c r="X1222">
        <v>24</v>
      </c>
    </row>
    <row r="1223" spans="1:24" ht="14.25" customHeight="1">
      <c r="A1223" t="s">
        <v>1971</v>
      </c>
      <c r="B1223" t="s">
        <v>2308</v>
      </c>
      <c r="C1223" s="6" t="str">
        <f t="shared" si="58"/>
        <v>January</v>
      </c>
      <c r="D1223" s="6" t="str">
        <f t="shared" si="59"/>
        <v>06</v>
      </c>
      <c r="E1223" t="s">
        <v>132</v>
      </c>
      <c r="F1223" t="s">
        <v>21</v>
      </c>
      <c r="G1223" t="s">
        <v>22</v>
      </c>
      <c r="H1223" s="4" t="s">
        <v>2259</v>
      </c>
      <c r="I1223">
        <v>928681</v>
      </c>
      <c r="J1223" s="8" t="s">
        <v>30</v>
      </c>
      <c r="K1223" t="s">
        <v>133</v>
      </c>
      <c r="L1223" t="s">
        <v>134</v>
      </c>
      <c r="M1223" t="s">
        <v>50</v>
      </c>
      <c r="N1223">
        <f t="shared" si="57"/>
        <v>5</v>
      </c>
      <c r="O1223">
        <v>3</v>
      </c>
      <c r="P1223" s="6">
        <v>157.72999999999999</v>
      </c>
      <c r="Q1223">
        <v>23.66</v>
      </c>
      <c r="R1223">
        <v>449.52999999999992</v>
      </c>
      <c r="S1223">
        <v>22.48</v>
      </c>
      <c r="T1223">
        <v>30</v>
      </c>
      <c r="U1223">
        <v>15</v>
      </c>
      <c r="V1223">
        <v>517.01</v>
      </c>
      <c r="W1223" t="s">
        <v>27</v>
      </c>
      <c r="X1223">
        <v>21</v>
      </c>
    </row>
    <row r="1224" spans="1:24" ht="14.25" customHeight="1">
      <c r="A1224" t="s">
        <v>1972</v>
      </c>
      <c r="B1224" t="s">
        <v>2297</v>
      </c>
      <c r="C1224" s="6" t="str">
        <f t="shared" si="58"/>
        <v>February</v>
      </c>
      <c r="D1224" s="6" t="str">
        <f t="shared" si="59"/>
        <v>06</v>
      </c>
      <c r="E1224" t="s">
        <v>137</v>
      </c>
      <c r="F1224" t="s">
        <v>80</v>
      </c>
      <c r="G1224" t="s">
        <v>81</v>
      </c>
      <c r="H1224" s="4" t="s">
        <v>2259</v>
      </c>
      <c r="I1224">
        <v>198843</v>
      </c>
      <c r="J1224" s="8" t="s">
        <v>2345</v>
      </c>
      <c r="K1224" t="s">
        <v>138</v>
      </c>
      <c r="L1224" t="s">
        <v>139</v>
      </c>
      <c r="M1224" t="s">
        <v>98</v>
      </c>
      <c r="N1224">
        <f t="shared" si="57"/>
        <v>4</v>
      </c>
      <c r="O1224">
        <v>1</v>
      </c>
      <c r="P1224" s="6">
        <v>219.49</v>
      </c>
      <c r="Q1224">
        <v>32.92</v>
      </c>
      <c r="R1224">
        <v>186.57</v>
      </c>
      <c r="S1224">
        <v>9.33</v>
      </c>
      <c r="T1224">
        <v>20</v>
      </c>
      <c r="U1224">
        <v>10</v>
      </c>
      <c r="V1224">
        <v>225.9</v>
      </c>
      <c r="W1224" t="s">
        <v>27</v>
      </c>
      <c r="X1224">
        <v>20</v>
      </c>
    </row>
    <row r="1225" spans="1:24" ht="14.25" customHeight="1">
      <c r="A1225" t="s">
        <v>1973</v>
      </c>
      <c r="B1225" t="s">
        <v>2296</v>
      </c>
      <c r="C1225" s="6" t="str">
        <f t="shared" si="58"/>
        <v>February</v>
      </c>
      <c r="D1225" s="6" t="str">
        <f t="shared" si="59"/>
        <v>26</v>
      </c>
      <c r="E1225" t="s">
        <v>142</v>
      </c>
      <c r="F1225" t="s">
        <v>21</v>
      </c>
      <c r="G1225" t="s">
        <v>106</v>
      </c>
      <c r="H1225" s="4" t="s">
        <v>2259</v>
      </c>
      <c r="I1225">
        <v>574768</v>
      </c>
      <c r="J1225" s="8" t="s">
        <v>2346</v>
      </c>
      <c r="K1225" t="s">
        <v>143</v>
      </c>
      <c r="L1225" t="s">
        <v>144</v>
      </c>
      <c r="M1225" t="s">
        <v>140</v>
      </c>
      <c r="N1225">
        <f t="shared" si="57"/>
        <v>3</v>
      </c>
      <c r="O1225">
        <v>1</v>
      </c>
      <c r="P1225" s="6">
        <v>42.99</v>
      </c>
      <c r="Q1225">
        <v>2.15</v>
      </c>
      <c r="R1225">
        <v>40.840000000000003</v>
      </c>
      <c r="S1225">
        <v>2.04</v>
      </c>
      <c r="T1225">
        <v>10</v>
      </c>
      <c r="U1225">
        <v>20</v>
      </c>
      <c r="V1225">
        <v>72.88</v>
      </c>
      <c r="W1225" t="s">
        <v>27</v>
      </c>
      <c r="X1225">
        <v>37</v>
      </c>
    </row>
    <row r="1226" spans="1:24" ht="14.25" customHeight="1">
      <c r="A1226" t="s">
        <v>1974</v>
      </c>
      <c r="B1226" t="s">
        <v>2284</v>
      </c>
      <c r="C1226" s="6" t="str">
        <f t="shared" si="58"/>
        <v>February</v>
      </c>
      <c r="D1226" s="6" t="str">
        <f t="shared" si="59"/>
        <v>02</v>
      </c>
      <c r="E1226" t="s">
        <v>146</v>
      </c>
      <c r="F1226" t="s">
        <v>21</v>
      </c>
      <c r="G1226" t="s">
        <v>74</v>
      </c>
      <c r="H1226" s="4" t="s">
        <v>2259</v>
      </c>
      <c r="I1226">
        <v>155612</v>
      </c>
      <c r="J1226" s="8" t="s">
        <v>30</v>
      </c>
      <c r="K1226" t="s">
        <v>147</v>
      </c>
      <c r="L1226" t="s">
        <v>148</v>
      </c>
      <c r="M1226" t="s">
        <v>45</v>
      </c>
      <c r="N1226">
        <f t="shared" si="57"/>
        <v>6</v>
      </c>
      <c r="O1226">
        <v>1</v>
      </c>
      <c r="P1226" s="6">
        <v>242.03</v>
      </c>
      <c r="Q1226">
        <v>24.2</v>
      </c>
      <c r="R1226">
        <v>217.83</v>
      </c>
      <c r="S1226">
        <v>10.89</v>
      </c>
      <c r="T1226">
        <v>0</v>
      </c>
      <c r="U1226">
        <v>20</v>
      </c>
      <c r="V1226">
        <v>248.72</v>
      </c>
      <c r="W1226" t="s">
        <v>27</v>
      </c>
      <c r="X1226">
        <v>29</v>
      </c>
    </row>
    <row r="1227" spans="1:24" ht="14.25" customHeight="1">
      <c r="A1227" t="s">
        <v>1975</v>
      </c>
      <c r="B1227" t="s">
        <v>2274</v>
      </c>
      <c r="C1227" s="6" t="str">
        <f t="shared" si="58"/>
        <v>February</v>
      </c>
      <c r="D1227" s="6" t="str">
        <f t="shared" si="59"/>
        <v>22</v>
      </c>
      <c r="E1227" t="s">
        <v>150</v>
      </c>
      <c r="F1227" t="s">
        <v>21</v>
      </c>
      <c r="G1227" t="s">
        <v>74</v>
      </c>
      <c r="H1227" s="4" t="s">
        <v>2259</v>
      </c>
      <c r="I1227">
        <v>737384</v>
      </c>
      <c r="J1227" s="8" t="s">
        <v>2345</v>
      </c>
      <c r="K1227" t="s">
        <v>151</v>
      </c>
      <c r="L1227" t="s">
        <v>152</v>
      </c>
      <c r="M1227" t="s">
        <v>45</v>
      </c>
      <c r="N1227">
        <f t="shared" si="57"/>
        <v>6</v>
      </c>
      <c r="O1227">
        <v>3</v>
      </c>
      <c r="P1227" s="6">
        <v>160.01</v>
      </c>
      <c r="Q1227">
        <v>0</v>
      </c>
      <c r="R1227">
        <v>480.03</v>
      </c>
      <c r="S1227">
        <v>24</v>
      </c>
      <c r="T1227">
        <v>20</v>
      </c>
      <c r="U1227">
        <v>0</v>
      </c>
      <c r="V1227">
        <v>524.03</v>
      </c>
      <c r="W1227" t="s">
        <v>27</v>
      </c>
      <c r="X1227">
        <v>23</v>
      </c>
    </row>
    <row r="1228" spans="1:24" ht="14.25" customHeight="1">
      <c r="A1228" t="s">
        <v>1976</v>
      </c>
      <c r="B1228" t="s">
        <v>2278</v>
      </c>
      <c r="C1228" s="6" t="str">
        <f t="shared" si="58"/>
        <v>January</v>
      </c>
      <c r="D1228" s="6" t="str">
        <f t="shared" si="59"/>
        <v>22</v>
      </c>
      <c r="E1228" t="s">
        <v>154</v>
      </c>
      <c r="F1228" t="s">
        <v>21</v>
      </c>
      <c r="G1228" t="s">
        <v>22</v>
      </c>
      <c r="H1228" s="4" t="s">
        <v>2259</v>
      </c>
      <c r="I1228">
        <v>800975</v>
      </c>
      <c r="J1228" s="8" t="s">
        <v>30</v>
      </c>
      <c r="K1228" t="s">
        <v>155</v>
      </c>
      <c r="L1228" t="s">
        <v>156</v>
      </c>
      <c r="M1228" t="s">
        <v>45</v>
      </c>
      <c r="N1228">
        <f t="shared" si="57"/>
        <v>6</v>
      </c>
      <c r="O1228">
        <v>4</v>
      </c>
      <c r="P1228" s="6">
        <v>135.22</v>
      </c>
      <c r="Q1228">
        <v>13.52</v>
      </c>
      <c r="R1228">
        <v>527.36</v>
      </c>
      <c r="S1228">
        <v>26.37</v>
      </c>
      <c r="T1228">
        <v>10</v>
      </c>
      <c r="U1228">
        <v>20</v>
      </c>
      <c r="V1228">
        <v>583.73</v>
      </c>
      <c r="W1228" t="s">
        <v>27</v>
      </c>
      <c r="X1228">
        <v>27</v>
      </c>
    </row>
    <row r="1229" spans="1:24" ht="14.25" customHeight="1">
      <c r="A1229" t="s">
        <v>1977</v>
      </c>
      <c r="B1229" t="s">
        <v>2268</v>
      </c>
      <c r="C1229" s="6" t="str">
        <f t="shared" si="58"/>
        <v>January</v>
      </c>
      <c r="D1229" s="6" t="str">
        <f t="shared" si="59"/>
        <v>21</v>
      </c>
      <c r="E1229" t="s">
        <v>158</v>
      </c>
      <c r="F1229" t="s">
        <v>21</v>
      </c>
      <c r="G1229" t="s">
        <v>37</v>
      </c>
      <c r="H1229" s="4" t="s">
        <v>2259</v>
      </c>
      <c r="I1229">
        <v>401411</v>
      </c>
      <c r="J1229" s="8" t="s">
        <v>2345</v>
      </c>
      <c r="K1229" t="s">
        <v>159</v>
      </c>
      <c r="L1229" t="s">
        <v>160</v>
      </c>
      <c r="M1229" t="s">
        <v>65</v>
      </c>
      <c r="N1229">
        <f t="shared" ref="N1229:N1292" si="60">LEN(M1229)</f>
        <v>6</v>
      </c>
      <c r="O1229">
        <v>1</v>
      </c>
      <c r="P1229" s="6">
        <v>195.69</v>
      </c>
      <c r="Q1229">
        <v>29.35</v>
      </c>
      <c r="R1229">
        <v>166.34</v>
      </c>
      <c r="S1229">
        <v>8.32</v>
      </c>
      <c r="T1229">
        <v>0</v>
      </c>
      <c r="U1229">
        <v>20</v>
      </c>
      <c r="V1229">
        <v>194.66</v>
      </c>
      <c r="W1229" t="s">
        <v>27</v>
      </c>
      <c r="X1229">
        <v>15</v>
      </c>
    </row>
    <row r="1230" spans="1:24" ht="14.25" customHeight="1">
      <c r="A1230" t="s">
        <v>1978</v>
      </c>
      <c r="B1230" t="s">
        <v>2308</v>
      </c>
      <c r="C1230" s="6" t="str">
        <f t="shared" si="58"/>
        <v>January</v>
      </c>
      <c r="D1230" s="6" t="str">
        <f t="shared" si="59"/>
        <v>06</v>
      </c>
      <c r="E1230" t="s">
        <v>162</v>
      </c>
      <c r="F1230" t="s">
        <v>21</v>
      </c>
      <c r="G1230" t="s">
        <v>37</v>
      </c>
      <c r="H1230" s="4" t="s">
        <v>2259</v>
      </c>
      <c r="I1230">
        <v>100801</v>
      </c>
      <c r="J1230" s="8" t="s">
        <v>30</v>
      </c>
      <c r="K1230" t="s">
        <v>163</v>
      </c>
      <c r="L1230" t="s">
        <v>164</v>
      </c>
      <c r="M1230" t="s">
        <v>55</v>
      </c>
      <c r="N1230">
        <f t="shared" si="60"/>
        <v>5</v>
      </c>
      <c r="O1230">
        <v>2</v>
      </c>
      <c r="P1230" s="6">
        <v>206.33</v>
      </c>
      <c r="Q1230">
        <v>20.63</v>
      </c>
      <c r="R1230">
        <v>392.03</v>
      </c>
      <c r="S1230">
        <v>19.600000000000001</v>
      </c>
      <c r="T1230">
        <v>0</v>
      </c>
      <c r="U1230">
        <v>10</v>
      </c>
      <c r="V1230">
        <v>421.63000000000011</v>
      </c>
      <c r="W1230" t="s">
        <v>27</v>
      </c>
      <c r="X1230">
        <v>34</v>
      </c>
    </row>
    <row r="1231" spans="1:24" ht="14.25" customHeight="1">
      <c r="A1231" t="s">
        <v>1979</v>
      </c>
      <c r="B1231" t="s">
        <v>2308</v>
      </c>
      <c r="C1231" s="6" t="str">
        <f t="shared" si="58"/>
        <v>January</v>
      </c>
      <c r="D1231" s="6" t="str">
        <f t="shared" si="59"/>
        <v>06</v>
      </c>
      <c r="E1231" t="s">
        <v>166</v>
      </c>
      <c r="F1231" t="s">
        <v>80</v>
      </c>
      <c r="G1231" t="s">
        <v>81</v>
      </c>
      <c r="H1231" s="4" t="s">
        <v>2259</v>
      </c>
      <c r="I1231">
        <v>261792</v>
      </c>
      <c r="J1231" s="8" t="s">
        <v>62</v>
      </c>
      <c r="K1231" t="s">
        <v>167</v>
      </c>
      <c r="L1231" t="s">
        <v>168</v>
      </c>
      <c r="M1231" t="s">
        <v>65</v>
      </c>
      <c r="N1231">
        <f t="shared" si="60"/>
        <v>6</v>
      </c>
      <c r="O1231">
        <v>6</v>
      </c>
      <c r="P1231" s="6">
        <v>84.85</v>
      </c>
      <c r="Q1231">
        <v>4.24</v>
      </c>
      <c r="R1231">
        <v>504.86</v>
      </c>
      <c r="S1231">
        <v>25.24</v>
      </c>
      <c r="T1231">
        <v>10</v>
      </c>
      <c r="U1231">
        <v>10</v>
      </c>
      <c r="V1231">
        <v>550.09999999999991</v>
      </c>
      <c r="W1231" t="s">
        <v>34</v>
      </c>
      <c r="X1231">
        <v>25</v>
      </c>
    </row>
    <row r="1232" spans="1:24" ht="14.25" customHeight="1">
      <c r="A1232" t="s">
        <v>1980</v>
      </c>
      <c r="B1232" t="s">
        <v>2295</v>
      </c>
      <c r="C1232" s="6" t="str">
        <f t="shared" si="58"/>
        <v>February</v>
      </c>
      <c r="D1232" s="6" t="str">
        <f t="shared" si="59"/>
        <v>24</v>
      </c>
      <c r="E1232" t="s">
        <v>170</v>
      </c>
      <c r="F1232" t="s">
        <v>21</v>
      </c>
      <c r="G1232" t="s">
        <v>37</v>
      </c>
      <c r="H1232" s="4" t="s">
        <v>2259</v>
      </c>
      <c r="I1232">
        <v>277476</v>
      </c>
      <c r="J1232" s="8" t="s">
        <v>2348</v>
      </c>
      <c r="K1232" t="s">
        <v>171</v>
      </c>
      <c r="L1232" t="s">
        <v>172</v>
      </c>
      <c r="M1232" t="s">
        <v>33</v>
      </c>
      <c r="N1232">
        <f t="shared" si="60"/>
        <v>10</v>
      </c>
      <c r="O1232">
        <v>2</v>
      </c>
      <c r="P1232" s="6">
        <v>128.97</v>
      </c>
      <c r="Q1232">
        <v>6.45</v>
      </c>
      <c r="R1232">
        <v>251.49</v>
      </c>
      <c r="S1232">
        <v>12.57</v>
      </c>
      <c r="T1232">
        <v>0</v>
      </c>
      <c r="U1232">
        <v>20</v>
      </c>
      <c r="V1232">
        <v>284.06</v>
      </c>
      <c r="W1232" t="s">
        <v>27</v>
      </c>
      <c r="X1232">
        <v>32</v>
      </c>
    </row>
    <row r="1233" spans="1:24" ht="14.25" customHeight="1">
      <c r="A1233" t="s">
        <v>1981</v>
      </c>
      <c r="B1233" t="s">
        <v>2313</v>
      </c>
      <c r="C1233" s="6" t="str">
        <f t="shared" si="58"/>
        <v>February</v>
      </c>
      <c r="D1233" s="6" t="str">
        <f t="shared" si="59"/>
        <v>17</v>
      </c>
      <c r="E1233" t="s">
        <v>174</v>
      </c>
      <c r="F1233" t="s">
        <v>80</v>
      </c>
      <c r="G1233" t="s">
        <v>81</v>
      </c>
      <c r="H1233" s="4" t="s">
        <v>2259</v>
      </c>
      <c r="I1233">
        <v>765491</v>
      </c>
      <c r="J1233" s="8" t="s">
        <v>62</v>
      </c>
      <c r="K1233" t="s">
        <v>175</v>
      </c>
      <c r="L1233" t="s">
        <v>176</v>
      </c>
      <c r="M1233" t="s">
        <v>50</v>
      </c>
      <c r="N1233">
        <f t="shared" si="60"/>
        <v>5</v>
      </c>
      <c r="O1233">
        <v>1</v>
      </c>
      <c r="P1233" s="6">
        <v>193.79</v>
      </c>
      <c r="Q1233">
        <v>0</v>
      </c>
      <c r="R1233">
        <v>193.79</v>
      </c>
      <c r="S1233">
        <v>9.69</v>
      </c>
      <c r="T1233">
        <v>0</v>
      </c>
      <c r="U1233">
        <v>20</v>
      </c>
      <c r="V1233">
        <v>223.48</v>
      </c>
      <c r="W1233" t="s">
        <v>34</v>
      </c>
      <c r="X1233">
        <v>25</v>
      </c>
    </row>
    <row r="1234" spans="1:24" ht="14.25" customHeight="1">
      <c r="A1234" t="s">
        <v>1982</v>
      </c>
      <c r="B1234" t="s">
        <v>2301</v>
      </c>
      <c r="C1234" s="6" t="str">
        <f t="shared" si="58"/>
        <v>January</v>
      </c>
      <c r="D1234" s="6" t="str">
        <f t="shared" si="59"/>
        <v>04</v>
      </c>
      <c r="E1234" t="s">
        <v>179</v>
      </c>
      <c r="F1234" t="s">
        <v>21</v>
      </c>
      <c r="G1234" t="s">
        <v>22</v>
      </c>
      <c r="H1234" s="4" t="s">
        <v>2259</v>
      </c>
      <c r="I1234">
        <v>656357</v>
      </c>
      <c r="J1234" s="8" t="s">
        <v>62</v>
      </c>
      <c r="K1234" t="s">
        <v>180</v>
      </c>
      <c r="L1234" t="s">
        <v>181</v>
      </c>
      <c r="M1234" t="s">
        <v>71</v>
      </c>
      <c r="N1234">
        <f t="shared" si="60"/>
        <v>6</v>
      </c>
      <c r="O1234">
        <v>1</v>
      </c>
      <c r="P1234" s="6">
        <v>243.73</v>
      </c>
      <c r="Q1234">
        <v>12.19</v>
      </c>
      <c r="R1234">
        <v>231.54</v>
      </c>
      <c r="S1234">
        <v>11.58</v>
      </c>
      <c r="T1234">
        <v>0</v>
      </c>
      <c r="U1234">
        <v>15</v>
      </c>
      <c r="V1234">
        <v>258.12</v>
      </c>
      <c r="W1234" t="s">
        <v>27</v>
      </c>
      <c r="X1234">
        <v>26</v>
      </c>
    </row>
    <row r="1235" spans="1:24" ht="14.25" customHeight="1">
      <c r="A1235" t="s">
        <v>1983</v>
      </c>
      <c r="B1235" t="s">
        <v>2281</v>
      </c>
      <c r="C1235" s="6" t="str">
        <f t="shared" si="58"/>
        <v>January</v>
      </c>
      <c r="D1235" s="6" t="str">
        <f t="shared" si="59"/>
        <v>30</v>
      </c>
      <c r="E1235" t="s">
        <v>183</v>
      </c>
      <c r="F1235" t="s">
        <v>21</v>
      </c>
      <c r="G1235" t="s">
        <v>106</v>
      </c>
      <c r="H1235" s="4" t="s">
        <v>2259</v>
      </c>
      <c r="I1235">
        <v>218104</v>
      </c>
      <c r="J1235" s="8" t="s">
        <v>2349</v>
      </c>
      <c r="K1235" t="s">
        <v>184</v>
      </c>
      <c r="L1235" t="s">
        <v>185</v>
      </c>
      <c r="M1235" t="s">
        <v>45</v>
      </c>
      <c r="N1235">
        <f t="shared" si="60"/>
        <v>6</v>
      </c>
      <c r="O1235">
        <v>1</v>
      </c>
      <c r="P1235" s="6">
        <v>82</v>
      </c>
      <c r="Q1235">
        <v>12.3</v>
      </c>
      <c r="R1235">
        <v>69.7</v>
      </c>
      <c r="S1235">
        <v>3.49</v>
      </c>
      <c r="T1235">
        <v>0</v>
      </c>
      <c r="U1235">
        <v>0</v>
      </c>
      <c r="V1235">
        <v>73.19</v>
      </c>
      <c r="W1235" t="s">
        <v>27</v>
      </c>
      <c r="X1235">
        <v>30</v>
      </c>
    </row>
    <row r="1236" spans="1:24" ht="14.25" customHeight="1">
      <c r="A1236" t="s">
        <v>1984</v>
      </c>
      <c r="B1236" t="s">
        <v>2272</v>
      </c>
      <c r="C1236" s="6" t="str">
        <f t="shared" si="58"/>
        <v>January</v>
      </c>
      <c r="D1236" s="6" t="str">
        <f t="shared" si="59"/>
        <v>11</v>
      </c>
      <c r="E1236" t="s">
        <v>187</v>
      </c>
      <c r="F1236" t="s">
        <v>21</v>
      </c>
      <c r="G1236" t="s">
        <v>74</v>
      </c>
      <c r="H1236" s="4" t="s">
        <v>2259</v>
      </c>
      <c r="I1236">
        <v>145784</v>
      </c>
      <c r="J1236" s="8" t="s">
        <v>2347</v>
      </c>
      <c r="K1236" t="s">
        <v>188</v>
      </c>
      <c r="L1236" t="s">
        <v>189</v>
      </c>
      <c r="M1236" t="s">
        <v>89</v>
      </c>
      <c r="N1236">
        <f t="shared" si="60"/>
        <v>7</v>
      </c>
      <c r="O1236">
        <v>1</v>
      </c>
      <c r="P1236" s="6">
        <v>128.51</v>
      </c>
      <c r="Q1236">
        <v>12.85</v>
      </c>
      <c r="R1236">
        <v>115.66</v>
      </c>
      <c r="S1236">
        <v>5.78</v>
      </c>
      <c r="T1236">
        <v>20</v>
      </c>
      <c r="U1236">
        <v>0</v>
      </c>
      <c r="V1236">
        <v>141.44</v>
      </c>
      <c r="W1236" t="s">
        <v>27</v>
      </c>
      <c r="X1236">
        <v>27</v>
      </c>
    </row>
    <row r="1237" spans="1:24" ht="14.25" customHeight="1">
      <c r="A1237" t="s">
        <v>1985</v>
      </c>
      <c r="B1237" t="s">
        <v>2281</v>
      </c>
      <c r="C1237" s="6" t="str">
        <f t="shared" si="58"/>
        <v>January</v>
      </c>
      <c r="D1237" s="6" t="str">
        <f t="shared" si="59"/>
        <v>30</v>
      </c>
      <c r="E1237" t="s">
        <v>191</v>
      </c>
      <c r="F1237" t="s">
        <v>21</v>
      </c>
      <c r="G1237" t="s">
        <v>74</v>
      </c>
      <c r="H1237" s="4" t="s">
        <v>2259</v>
      </c>
      <c r="I1237">
        <v>355564</v>
      </c>
      <c r="J1237" s="8" t="s">
        <v>2349</v>
      </c>
      <c r="K1237" t="s">
        <v>192</v>
      </c>
      <c r="L1237" t="s">
        <v>193</v>
      </c>
      <c r="M1237" t="s">
        <v>55</v>
      </c>
      <c r="N1237">
        <f t="shared" si="60"/>
        <v>5</v>
      </c>
      <c r="O1237">
        <v>1</v>
      </c>
      <c r="P1237" s="6">
        <v>26.36</v>
      </c>
      <c r="Q1237">
        <v>1.32</v>
      </c>
      <c r="R1237">
        <v>25.04</v>
      </c>
      <c r="S1237">
        <v>1.25</v>
      </c>
      <c r="T1237">
        <v>30</v>
      </c>
      <c r="U1237">
        <v>5</v>
      </c>
      <c r="V1237">
        <v>61.29</v>
      </c>
      <c r="W1237" t="s">
        <v>34</v>
      </c>
      <c r="X1237">
        <v>25</v>
      </c>
    </row>
    <row r="1238" spans="1:24" ht="14.25" customHeight="1">
      <c r="A1238" t="s">
        <v>1986</v>
      </c>
      <c r="B1238" t="s">
        <v>2312</v>
      </c>
      <c r="C1238" s="6" t="str">
        <f t="shared" si="58"/>
        <v>January</v>
      </c>
      <c r="D1238" s="6" t="str">
        <f t="shared" si="59"/>
        <v>31</v>
      </c>
      <c r="E1238" t="s">
        <v>195</v>
      </c>
      <c r="F1238" t="s">
        <v>21</v>
      </c>
      <c r="G1238" t="s">
        <v>74</v>
      </c>
      <c r="H1238" s="4" t="s">
        <v>2259</v>
      </c>
      <c r="I1238">
        <v>104922</v>
      </c>
      <c r="J1238" s="8" t="s">
        <v>2349</v>
      </c>
      <c r="K1238" t="s">
        <v>196</v>
      </c>
      <c r="L1238" t="s">
        <v>197</v>
      </c>
      <c r="M1238" t="s">
        <v>40</v>
      </c>
      <c r="N1238">
        <f t="shared" si="60"/>
        <v>6</v>
      </c>
      <c r="O1238">
        <v>6</v>
      </c>
      <c r="P1238" s="6">
        <v>106.51</v>
      </c>
      <c r="Q1238">
        <v>15.98</v>
      </c>
      <c r="R1238">
        <v>623.08000000000004</v>
      </c>
      <c r="S1238">
        <v>31.15</v>
      </c>
      <c r="T1238">
        <v>10</v>
      </c>
      <c r="U1238">
        <v>15</v>
      </c>
      <c r="V1238">
        <v>679.23</v>
      </c>
      <c r="W1238" t="s">
        <v>84</v>
      </c>
      <c r="X1238">
        <v>25</v>
      </c>
    </row>
    <row r="1239" spans="1:24" ht="14.25" customHeight="1">
      <c r="A1239" t="s">
        <v>1987</v>
      </c>
      <c r="B1239" t="s">
        <v>2273</v>
      </c>
      <c r="C1239" s="6" t="str">
        <f t="shared" si="58"/>
        <v>January</v>
      </c>
      <c r="D1239" s="6" t="str">
        <f t="shared" si="59"/>
        <v>24</v>
      </c>
      <c r="E1239" t="s">
        <v>199</v>
      </c>
      <c r="F1239" t="s">
        <v>21</v>
      </c>
      <c r="G1239" t="s">
        <v>74</v>
      </c>
      <c r="H1239" s="4" t="s">
        <v>2259</v>
      </c>
      <c r="I1239">
        <v>250453</v>
      </c>
      <c r="J1239" s="8" t="s">
        <v>2345</v>
      </c>
      <c r="K1239" t="s">
        <v>200</v>
      </c>
      <c r="L1239" t="s">
        <v>201</v>
      </c>
      <c r="M1239" t="s">
        <v>135</v>
      </c>
      <c r="N1239">
        <f t="shared" si="60"/>
        <v>9</v>
      </c>
      <c r="O1239">
        <v>1</v>
      </c>
      <c r="P1239" s="6">
        <v>199.25</v>
      </c>
      <c r="Q1239">
        <v>0</v>
      </c>
      <c r="R1239">
        <v>199.25</v>
      </c>
      <c r="S1239">
        <v>9.9600000000000009</v>
      </c>
      <c r="T1239">
        <v>0</v>
      </c>
      <c r="U1239">
        <v>20</v>
      </c>
      <c r="V1239">
        <v>229.21</v>
      </c>
      <c r="W1239" t="s">
        <v>27</v>
      </c>
      <c r="X1239">
        <v>26</v>
      </c>
    </row>
    <row r="1240" spans="1:24" ht="14.25" customHeight="1">
      <c r="A1240" t="s">
        <v>1988</v>
      </c>
      <c r="B1240" t="s">
        <v>2295</v>
      </c>
      <c r="C1240" s="6" t="str">
        <f t="shared" si="58"/>
        <v>February</v>
      </c>
      <c r="D1240" s="6" t="str">
        <f t="shared" si="59"/>
        <v>24</v>
      </c>
      <c r="E1240" t="s">
        <v>203</v>
      </c>
      <c r="F1240" t="s">
        <v>21</v>
      </c>
      <c r="G1240" t="s">
        <v>22</v>
      </c>
      <c r="H1240" s="4" t="s">
        <v>2259</v>
      </c>
      <c r="I1240">
        <v>107086</v>
      </c>
      <c r="J1240" s="8" t="s">
        <v>30</v>
      </c>
      <c r="K1240" t="s">
        <v>204</v>
      </c>
      <c r="L1240" t="s">
        <v>205</v>
      </c>
      <c r="M1240" t="s">
        <v>65</v>
      </c>
      <c r="N1240">
        <f t="shared" si="60"/>
        <v>6</v>
      </c>
      <c r="O1240">
        <v>4</v>
      </c>
      <c r="P1240" s="6">
        <v>177.48</v>
      </c>
      <c r="Q1240">
        <v>0</v>
      </c>
      <c r="R1240">
        <v>709.92</v>
      </c>
      <c r="S1240">
        <v>35.5</v>
      </c>
      <c r="T1240">
        <v>20</v>
      </c>
      <c r="U1240">
        <v>5</v>
      </c>
      <c r="V1240">
        <v>770.42</v>
      </c>
      <c r="W1240" t="s">
        <v>27</v>
      </c>
      <c r="X1240">
        <v>20</v>
      </c>
    </row>
    <row r="1241" spans="1:24" ht="14.25" customHeight="1">
      <c r="A1241" t="s">
        <v>1989</v>
      </c>
      <c r="B1241" t="s">
        <v>2299</v>
      </c>
      <c r="C1241" s="6" t="str">
        <f t="shared" si="58"/>
        <v>January</v>
      </c>
      <c r="D1241" s="6" t="str">
        <f t="shared" si="59"/>
        <v>09</v>
      </c>
      <c r="E1241" t="s">
        <v>207</v>
      </c>
      <c r="F1241" t="s">
        <v>21</v>
      </c>
      <c r="G1241" t="s">
        <v>22</v>
      </c>
      <c r="H1241" s="4" t="s">
        <v>2259</v>
      </c>
      <c r="I1241">
        <v>863210</v>
      </c>
      <c r="J1241" s="8" t="s">
        <v>30</v>
      </c>
      <c r="K1241" t="s">
        <v>208</v>
      </c>
      <c r="L1241" t="s">
        <v>209</v>
      </c>
      <c r="M1241" t="s">
        <v>77</v>
      </c>
      <c r="N1241">
        <f t="shared" si="60"/>
        <v>5</v>
      </c>
      <c r="O1241">
        <v>6</v>
      </c>
      <c r="P1241" s="6">
        <v>143.91</v>
      </c>
      <c r="Q1241">
        <v>0</v>
      </c>
      <c r="R1241">
        <v>863.46</v>
      </c>
      <c r="S1241">
        <v>43.17</v>
      </c>
      <c r="T1241">
        <v>30</v>
      </c>
      <c r="U1241">
        <v>0</v>
      </c>
      <c r="V1241">
        <v>936.63</v>
      </c>
      <c r="W1241" t="s">
        <v>27</v>
      </c>
      <c r="X1241">
        <v>16</v>
      </c>
    </row>
    <row r="1242" spans="1:24" ht="14.25" customHeight="1">
      <c r="A1242" t="s">
        <v>1990</v>
      </c>
      <c r="B1242" t="s">
        <v>2295</v>
      </c>
      <c r="C1242" s="6" t="str">
        <f t="shared" si="58"/>
        <v>February</v>
      </c>
      <c r="D1242" s="6" t="str">
        <f t="shared" si="59"/>
        <v>24</v>
      </c>
      <c r="E1242" t="s">
        <v>211</v>
      </c>
      <c r="F1242" t="s">
        <v>21</v>
      </c>
      <c r="G1242" t="s">
        <v>106</v>
      </c>
      <c r="H1242" s="4" t="s">
        <v>2259</v>
      </c>
      <c r="I1242">
        <v>884403</v>
      </c>
      <c r="J1242" s="8" t="s">
        <v>2347</v>
      </c>
      <c r="K1242" t="s">
        <v>212</v>
      </c>
      <c r="L1242" t="s">
        <v>213</v>
      </c>
      <c r="M1242" t="s">
        <v>71</v>
      </c>
      <c r="N1242">
        <f t="shared" si="60"/>
        <v>6</v>
      </c>
      <c r="O1242">
        <v>7</v>
      </c>
      <c r="P1242" s="6">
        <v>66.760000000000005</v>
      </c>
      <c r="Q1242">
        <v>3.34</v>
      </c>
      <c r="R1242">
        <v>463.98000000000008</v>
      </c>
      <c r="S1242">
        <v>23.2</v>
      </c>
      <c r="T1242">
        <v>10</v>
      </c>
      <c r="U1242">
        <v>0</v>
      </c>
      <c r="V1242">
        <v>497.18000000000012</v>
      </c>
      <c r="W1242" t="s">
        <v>27</v>
      </c>
      <c r="X1242">
        <v>23</v>
      </c>
    </row>
    <row r="1243" spans="1:24" ht="14.25" customHeight="1">
      <c r="A1243" t="s">
        <v>1991</v>
      </c>
      <c r="B1243" t="s">
        <v>2277</v>
      </c>
      <c r="C1243" s="6" t="str">
        <f t="shared" si="58"/>
        <v>January</v>
      </c>
      <c r="D1243" s="6" t="str">
        <f t="shared" si="59"/>
        <v>03</v>
      </c>
      <c r="E1243" t="s">
        <v>215</v>
      </c>
      <c r="F1243" t="s">
        <v>101</v>
      </c>
      <c r="G1243" t="s">
        <v>81</v>
      </c>
      <c r="H1243" s="4" t="s">
        <v>2259</v>
      </c>
      <c r="I1243">
        <v>717752</v>
      </c>
      <c r="J1243" s="8" t="s">
        <v>2345</v>
      </c>
      <c r="K1243" t="s">
        <v>216</v>
      </c>
      <c r="L1243" t="s">
        <v>217</v>
      </c>
      <c r="M1243" t="s">
        <v>130</v>
      </c>
      <c r="N1243">
        <f t="shared" si="60"/>
        <v>7</v>
      </c>
      <c r="O1243">
        <v>1</v>
      </c>
      <c r="P1243" s="6">
        <v>150.80000000000001</v>
      </c>
      <c r="Q1243">
        <v>7.54</v>
      </c>
      <c r="R1243">
        <v>143.26</v>
      </c>
      <c r="S1243">
        <v>7.16</v>
      </c>
      <c r="T1243">
        <v>10</v>
      </c>
      <c r="U1243">
        <v>15</v>
      </c>
      <c r="V1243">
        <v>175.42</v>
      </c>
      <c r="W1243" t="s">
        <v>27</v>
      </c>
      <c r="X1243">
        <v>11</v>
      </c>
    </row>
    <row r="1244" spans="1:24" ht="14.25" customHeight="1">
      <c r="A1244" t="s">
        <v>1992</v>
      </c>
      <c r="B1244" t="s">
        <v>2294</v>
      </c>
      <c r="C1244" s="6" t="str">
        <f t="shared" si="58"/>
        <v>February</v>
      </c>
      <c r="D1244" s="6" t="str">
        <f t="shared" si="59"/>
        <v>20</v>
      </c>
      <c r="E1244" t="s">
        <v>219</v>
      </c>
      <c r="F1244" t="s">
        <v>21</v>
      </c>
      <c r="G1244" t="s">
        <v>68</v>
      </c>
      <c r="H1244" s="4" t="s">
        <v>2259</v>
      </c>
      <c r="I1244">
        <v>354174</v>
      </c>
      <c r="J1244" s="8" t="s">
        <v>30</v>
      </c>
      <c r="K1244" t="s">
        <v>220</v>
      </c>
      <c r="L1244" t="s">
        <v>221</v>
      </c>
      <c r="M1244" t="s">
        <v>50</v>
      </c>
      <c r="N1244">
        <f t="shared" si="60"/>
        <v>5</v>
      </c>
      <c r="O1244">
        <v>1</v>
      </c>
      <c r="P1244" s="6">
        <v>26.47</v>
      </c>
      <c r="Q1244">
        <v>2.65</v>
      </c>
      <c r="R1244">
        <v>23.82</v>
      </c>
      <c r="S1244">
        <v>1.19</v>
      </c>
      <c r="T1244">
        <v>20</v>
      </c>
      <c r="U1244">
        <v>20</v>
      </c>
      <c r="V1244">
        <v>65.010000000000005</v>
      </c>
      <c r="W1244" t="s">
        <v>27</v>
      </c>
      <c r="X1244">
        <v>16</v>
      </c>
    </row>
    <row r="1245" spans="1:24" ht="14.25" customHeight="1">
      <c r="A1245" t="s">
        <v>1993</v>
      </c>
      <c r="B1245" t="s">
        <v>2312</v>
      </c>
      <c r="C1245" s="6" t="str">
        <f t="shared" si="58"/>
        <v>January</v>
      </c>
      <c r="D1245" s="6" t="str">
        <f t="shared" si="59"/>
        <v>31</v>
      </c>
      <c r="E1245" t="s">
        <v>223</v>
      </c>
      <c r="F1245" t="s">
        <v>21</v>
      </c>
      <c r="G1245" t="s">
        <v>22</v>
      </c>
      <c r="H1245" s="4" t="s">
        <v>2259</v>
      </c>
      <c r="I1245">
        <v>195696</v>
      </c>
      <c r="J1245" s="8" t="s">
        <v>30</v>
      </c>
      <c r="K1245" t="s">
        <v>224</v>
      </c>
      <c r="L1245" t="s">
        <v>225</v>
      </c>
      <c r="M1245" t="s">
        <v>71</v>
      </c>
      <c r="N1245">
        <f t="shared" si="60"/>
        <v>6</v>
      </c>
      <c r="O1245">
        <v>4</v>
      </c>
      <c r="P1245" s="6">
        <v>95.95</v>
      </c>
      <c r="Q1245">
        <v>9.6</v>
      </c>
      <c r="R1245">
        <v>374.2</v>
      </c>
      <c r="S1245">
        <v>18.71</v>
      </c>
      <c r="T1245">
        <v>30</v>
      </c>
      <c r="U1245">
        <v>20</v>
      </c>
      <c r="V1245">
        <v>442.91</v>
      </c>
      <c r="W1245" t="s">
        <v>34</v>
      </c>
      <c r="X1245">
        <v>25</v>
      </c>
    </row>
    <row r="1246" spans="1:24" ht="14.25" customHeight="1">
      <c r="A1246" t="s">
        <v>1994</v>
      </c>
      <c r="B1246" t="s">
        <v>2276</v>
      </c>
      <c r="C1246" s="6" t="str">
        <f t="shared" si="58"/>
        <v>February</v>
      </c>
      <c r="D1246" s="6" t="str">
        <f t="shared" si="59"/>
        <v>09</v>
      </c>
      <c r="E1246" t="s">
        <v>227</v>
      </c>
      <c r="F1246" t="s">
        <v>101</v>
      </c>
      <c r="G1246" t="s">
        <v>81</v>
      </c>
      <c r="H1246" s="4" t="s">
        <v>2259</v>
      </c>
      <c r="I1246">
        <v>770397</v>
      </c>
      <c r="J1246" s="8" t="s">
        <v>30</v>
      </c>
      <c r="K1246" t="s">
        <v>228</v>
      </c>
      <c r="L1246" t="s">
        <v>229</v>
      </c>
      <c r="M1246" t="s">
        <v>45</v>
      </c>
      <c r="N1246">
        <f t="shared" si="60"/>
        <v>6</v>
      </c>
      <c r="O1246">
        <v>4</v>
      </c>
      <c r="P1246" s="6">
        <v>91.99</v>
      </c>
      <c r="Q1246">
        <v>4.5999999999999996</v>
      </c>
      <c r="R1246">
        <v>363.36</v>
      </c>
      <c r="S1246">
        <v>18.170000000000002</v>
      </c>
      <c r="T1246">
        <v>20</v>
      </c>
      <c r="U1246">
        <v>0</v>
      </c>
      <c r="V1246">
        <v>401.53</v>
      </c>
      <c r="W1246" t="s">
        <v>27</v>
      </c>
      <c r="X1246">
        <v>10</v>
      </c>
    </row>
    <row r="1247" spans="1:24" ht="14.25" customHeight="1">
      <c r="A1247" t="s">
        <v>1995</v>
      </c>
      <c r="B1247" t="s">
        <v>2297</v>
      </c>
      <c r="C1247" s="6" t="str">
        <f t="shared" si="58"/>
        <v>February</v>
      </c>
      <c r="D1247" s="6" t="str">
        <f t="shared" si="59"/>
        <v>06</v>
      </c>
      <c r="E1247" t="s">
        <v>231</v>
      </c>
      <c r="F1247" t="s">
        <v>101</v>
      </c>
      <c r="G1247" t="s">
        <v>81</v>
      </c>
      <c r="H1247" s="4" t="s">
        <v>2259</v>
      </c>
      <c r="I1247">
        <v>991907</v>
      </c>
      <c r="J1247" s="8" t="s">
        <v>2349</v>
      </c>
      <c r="K1247" t="s">
        <v>232</v>
      </c>
      <c r="L1247" t="s">
        <v>233</v>
      </c>
      <c r="M1247" t="s">
        <v>140</v>
      </c>
      <c r="N1247">
        <f t="shared" si="60"/>
        <v>3</v>
      </c>
      <c r="O1247">
        <v>1</v>
      </c>
      <c r="P1247" s="6">
        <v>95.95</v>
      </c>
      <c r="Q1247">
        <v>9.6</v>
      </c>
      <c r="R1247">
        <v>86.350000000000009</v>
      </c>
      <c r="S1247">
        <v>4.32</v>
      </c>
      <c r="T1247">
        <v>0</v>
      </c>
      <c r="U1247">
        <v>0</v>
      </c>
      <c r="V1247">
        <v>90.670000000000016</v>
      </c>
      <c r="W1247" t="s">
        <v>27</v>
      </c>
      <c r="X1247">
        <v>4</v>
      </c>
    </row>
    <row r="1248" spans="1:24" ht="14.25" customHeight="1">
      <c r="A1248" t="s">
        <v>1996</v>
      </c>
      <c r="B1248" t="s">
        <v>2275</v>
      </c>
      <c r="C1248" s="6" t="str">
        <f t="shared" si="58"/>
        <v>February</v>
      </c>
      <c r="D1248" s="6" t="str">
        <f t="shared" si="59"/>
        <v>05</v>
      </c>
      <c r="E1248" t="s">
        <v>235</v>
      </c>
      <c r="F1248" t="s">
        <v>21</v>
      </c>
      <c r="G1248" t="s">
        <v>68</v>
      </c>
      <c r="H1248" s="4" t="s">
        <v>2259</v>
      </c>
      <c r="I1248">
        <v>312826</v>
      </c>
      <c r="J1248" s="8" t="s">
        <v>30</v>
      </c>
      <c r="K1248" t="s">
        <v>236</v>
      </c>
      <c r="L1248" t="s">
        <v>237</v>
      </c>
      <c r="M1248" t="s">
        <v>177</v>
      </c>
      <c r="N1248">
        <f t="shared" si="60"/>
        <v>5</v>
      </c>
      <c r="O1248">
        <v>4</v>
      </c>
      <c r="P1248" s="6">
        <v>195.15</v>
      </c>
      <c r="Q1248">
        <v>19.52</v>
      </c>
      <c r="R1248">
        <v>761.08</v>
      </c>
      <c r="S1248">
        <v>38.049999999999997</v>
      </c>
      <c r="T1248">
        <v>10</v>
      </c>
      <c r="U1248">
        <v>0</v>
      </c>
      <c r="V1248">
        <v>809.13</v>
      </c>
      <c r="W1248" t="s">
        <v>27</v>
      </c>
      <c r="X1248">
        <v>17</v>
      </c>
    </row>
    <row r="1249" spans="1:24" ht="14.25" customHeight="1">
      <c r="A1249" t="s">
        <v>1997</v>
      </c>
      <c r="B1249" t="s">
        <v>2273</v>
      </c>
      <c r="C1249" s="6" t="str">
        <f t="shared" si="58"/>
        <v>January</v>
      </c>
      <c r="D1249" s="6" t="str">
        <f t="shared" si="59"/>
        <v>24</v>
      </c>
      <c r="E1249" t="s">
        <v>239</v>
      </c>
      <c r="F1249" t="s">
        <v>21</v>
      </c>
      <c r="G1249" t="s">
        <v>22</v>
      </c>
      <c r="H1249" s="4" t="s">
        <v>2259</v>
      </c>
      <c r="I1249">
        <v>581930</v>
      </c>
      <c r="J1249" s="8" t="s">
        <v>2349</v>
      </c>
      <c r="K1249" t="s">
        <v>240</v>
      </c>
      <c r="L1249" t="s">
        <v>241</v>
      </c>
      <c r="M1249" t="s">
        <v>22</v>
      </c>
      <c r="N1249">
        <f t="shared" si="60"/>
        <v>6</v>
      </c>
      <c r="O1249">
        <v>1</v>
      </c>
      <c r="P1249" s="6">
        <v>190.16</v>
      </c>
      <c r="Q1249">
        <v>9.51</v>
      </c>
      <c r="R1249">
        <v>180.65</v>
      </c>
      <c r="S1249">
        <v>9.0299999999999994</v>
      </c>
      <c r="T1249">
        <v>10</v>
      </c>
      <c r="U1249">
        <v>0</v>
      </c>
      <c r="V1249">
        <v>199.68</v>
      </c>
      <c r="W1249" t="s">
        <v>117</v>
      </c>
      <c r="X1249">
        <v>25</v>
      </c>
    </row>
    <row r="1250" spans="1:24" ht="14.25" customHeight="1">
      <c r="A1250" t="s">
        <v>1998</v>
      </c>
      <c r="B1250" t="s">
        <v>2312</v>
      </c>
      <c r="C1250" s="6" t="str">
        <f t="shared" si="58"/>
        <v>January</v>
      </c>
      <c r="D1250" s="6" t="str">
        <f t="shared" si="59"/>
        <v>31</v>
      </c>
      <c r="E1250" t="s">
        <v>243</v>
      </c>
      <c r="F1250" t="s">
        <v>21</v>
      </c>
      <c r="G1250" t="s">
        <v>22</v>
      </c>
      <c r="H1250" s="4" t="s">
        <v>2259</v>
      </c>
      <c r="I1250">
        <v>329192</v>
      </c>
      <c r="J1250" s="8" t="s">
        <v>2347</v>
      </c>
      <c r="K1250" t="s">
        <v>244</v>
      </c>
      <c r="L1250" t="s">
        <v>245</v>
      </c>
      <c r="M1250" t="s">
        <v>22</v>
      </c>
      <c r="N1250">
        <f t="shared" si="60"/>
        <v>6</v>
      </c>
      <c r="O1250">
        <v>5</v>
      </c>
      <c r="P1250" s="6">
        <v>91.98</v>
      </c>
      <c r="Q1250">
        <v>0</v>
      </c>
      <c r="R1250">
        <v>459.9</v>
      </c>
      <c r="S1250">
        <v>23</v>
      </c>
      <c r="T1250">
        <v>0</v>
      </c>
      <c r="U1250">
        <v>10</v>
      </c>
      <c r="V1250">
        <v>492.9</v>
      </c>
      <c r="W1250" t="s">
        <v>27</v>
      </c>
      <c r="X1250">
        <v>35</v>
      </c>
    </row>
    <row r="1251" spans="1:24" ht="14.25" customHeight="1">
      <c r="A1251" t="s">
        <v>1999</v>
      </c>
      <c r="B1251" t="s">
        <v>2308</v>
      </c>
      <c r="C1251" s="6" t="str">
        <f t="shared" si="58"/>
        <v>January</v>
      </c>
      <c r="D1251" s="6" t="str">
        <f t="shared" si="59"/>
        <v>06</v>
      </c>
      <c r="E1251" t="s">
        <v>247</v>
      </c>
      <c r="F1251" t="s">
        <v>21</v>
      </c>
      <c r="G1251" t="s">
        <v>106</v>
      </c>
      <c r="H1251" s="4" t="s">
        <v>2259</v>
      </c>
      <c r="I1251">
        <v>919444</v>
      </c>
      <c r="J1251" s="8" t="s">
        <v>30</v>
      </c>
      <c r="K1251" t="s">
        <v>248</v>
      </c>
      <c r="L1251" t="s">
        <v>249</v>
      </c>
      <c r="M1251" t="s">
        <v>33</v>
      </c>
      <c r="N1251">
        <f t="shared" si="60"/>
        <v>10</v>
      </c>
      <c r="O1251">
        <v>1</v>
      </c>
      <c r="P1251" s="6">
        <v>236.38</v>
      </c>
      <c r="Q1251">
        <v>23.64</v>
      </c>
      <c r="R1251">
        <v>212.74</v>
      </c>
      <c r="S1251">
        <v>10.64</v>
      </c>
      <c r="T1251">
        <v>30</v>
      </c>
      <c r="U1251">
        <v>5</v>
      </c>
      <c r="V1251">
        <v>258.38</v>
      </c>
      <c r="W1251" t="s">
        <v>84</v>
      </c>
      <c r="X1251">
        <v>25</v>
      </c>
    </row>
    <row r="1252" spans="1:24" ht="14.25" customHeight="1">
      <c r="A1252" t="s">
        <v>2000</v>
      </c>
      <c r="B1252" t="s">
        <v>2279</v>
      </c>
      <c r="C1252" s="6" t="str">
        <f t="shared" si="58"/>
        <v>January</v>
      </c>
      <c r="D1252" s="6" t="str">
        <f t="shared" si="59"/>
        <v>02</v>
      </c>
      <c r="E1252" t="s">
        <v>251</v>
      </c>
      <c r="F1252" t="s">
        <v>21</v>
      </c>
      <c r="G1252" t="s">
        <v>22</v>
      </c>
      <c r="H1252" s="4" t="s">
        <v>2259</v>
      </c>
      <c r="I1252">
        <v>772636</v>
      </c>
      <c r="J1252" s="8" t="s">
        <v>2346</v>
      </c>
      <c r="K1252" t="s">
        <v>252</v>
      </c>
      <c r="L1252" t="s">
        <v>253</v>
      </c>
      <c r="M1252" t="s">
        <v>177</v>
      </c>
      <c r="N1252">
        <f t="shared" si="60"/>
        <v>5</v>
      </c>
      <c r="O1252">
        <v>5</v>
      </c>
      <c r="P1252" s="6">
        <v>154.46</v>
      </c>
      <c r="Q1252">
        <v>23.17</v>
      </c>
      <c r="R1252">
        <v>749.13000000000011</v>
      </c>
      <c r="S1252">
        <v>37.46</v>
      </c>
      <c r="T1252">
        <v>30</v>
      </c>
      <c r="U1252">
        <v>15</v>
      </c>
      <c r="V1252">
        <v>831.59000000000015</v>
      </c>
      <c r="W1252" t="s">
        <v>34</v>
      </c>
      <c r="X1252">
        <v>25</v>
      </c>
    </row>
    <row r="1253" spans="1:24" ht="14.25" customHeight="1">
      <c r="A1253" t="s">
        <v>2001</v>
      </c>
      <c r="B1253" t="s">
        <v>2305</v>
      </c>
      <c r="C1253" s="6" t="str">
        <f t="shared" si="58"/>
        <v>January</v>
      </c>
      <c r="D1253" s="6" t="str">
        <f t="shared" si="59"/>
        <v>20</v>
      </c>
      <c r="E1253" t="s">
        <v>255</v>
      </c>
      <c r="F1253" t="s">
        <v>101</v>
      </c>
      <c r="G1253" t="s">
        <v>81</v>
      </c>
      <c r="H1253" s="4" t="s">
        <v>2259</v>
      </c>
      <c r="I1253">
        <v>766252</v>
      </c>
      <c r="J1253" s="8" t="s">
        <v>2348</v>
      </c>
      <c r="K1253" t="s">
        <v>256</v>
      </c>
      <c r="L1253" t="s">
        <v>257</v>
      </c>
      <c r="M1253" t="s">
        <v>65</v>
      </c>
      <c r="N1253">
        <f t="shared" si="60"/>
        <v>6</v>
      </c>
      <c r="O1253">
        <v>2</v>
      </c>
      <c r="P1253" s="6">
        <v>120.79</v>
      </c>
      <c r="Q1253">
        <v>6.04</v>
      </c>
      <c r="R1253">
        <v>235.54</v>
      </c>
      <c r="S1253">
        <v>11.78</v>
      </c>
      <c r="T1253">
        <v>20</v>
      </c>
      <c r="U1253">
        <v>5</v>
      </c>
      <c r="V1253">
        <v>272.32000000000011</v>
      </c>
      <c r="W1253" t="s">
        <v>27</v>
      </c>
      <c r="X1253">
        <v>21</v>
      </c>
    </row>
    <row r="1254" spans="1:24" ht="14.25" customHeight="1">
      <c r="A1254" t="s">
        <v>2002</v>
      </c>
      <c r="B1254" t="s">
        <v>2291</v>
      </c>
      <c r="C1254" s="6" t="str">
        <f t="shared" si="58"/>
        <v>January</v>
      </c>
      <c r="D1254" s="6" t="str">
        <f t="shared" si="59"/>
        <v>28</v>
      </c>
      <c r="E1254" t="s">
        <v>259</v>
      </c>
      <c r="F1254" t="s">
        <v>21</v>
      </c>
      <c r="G1254" t="s">
        <v>22</v>
      </c>
      <c r="H1254" s="4" t="s">
        <v>2259</v>
      </c>
      <c r="I1254">
        <v>367531</v>
      </c>
      <c r="J1254" s="8" t="s">
        <v>2346</v>
      </c>
      <c r="K1254" t="s">
        <v>260</v>
      </c>
      <c r="L1254" t="s">
        <v>261</v>
      </c>
      <c r="M1254" t="s">
        <v>71</v>
      </c>
      <c r="N1254">
        <f t="shared" si="60"/>
        <v>6</v>
      </c>
      <c r="O1254">
        <v>1</v>
      </c>
      <c r="P1254" s="6">
        <v>72.95</v>
      </c>
      <c r="Q1254">
        <v>10.94</v>
      </c>
      <c r="R1254">
        <v>62.010000000000012</v>
      </c>
      <c r="S1254">
        <v>3.1</v>
      </c>
      <c r="T1254">
        <v>0</v>
      </c>
      <c r="U1254">
        <v>0</v>
      </c>
      <c r="V1254">
        <v>65.11</v>
      </c>
      <c r="W1254" t="s">
        <v>27</v>
      </c>
      <c r="X1254">
        <v>17</v>
      </c>
    </row>
    <row r="1255" spans="1:24" ht="14.25" customHeight="1">
      <c r="A1255" t="s">
        <v>2003</v>
      </c>
      <c r="B1255" t="s">
        <v>2272</v>
      </c>
      <c r="C1255" s="6" t="str">
        <f t="shared" si="58"/>
        <v>January</v>
      </c>
      <c r="D1255" s="6" t="str">
        <f t="shared" si="59"/>
        <v>11</v>
      </c>
      <c r="E1255" t="s">
        <v>263</v>
      </c>
      <c r="F1255" t="s">
        <v>101</v>
      </c>
      <c r="G1255" t="s">
        <v>81</v>
      </c>
      <c r="H1255" s="4" t="s">
        <v>2259</v>
      </c>
      <c r="I1255">
        <v>334484</v>
      </c>
      <c r="J1255" s="8" t="s">
        <v>30</v>
      </c>
      <c r="K1255" t="s">
        <v>264</v>
      </c>
      <c r="L1255" t="s">
        <v>265</v>
      </c>
      <c r="M1255" t="s">
        <v>22</v>
      </c>
      <c r="N1255">
        <f t="shared" si="60"/>
        <v>6</v>
      </c>
      <c r="O1255">
        <v>3</v>
      </c>
      <c r="P1255" s="6">
        <v>98.01</v>
      </c>
      <c r="Q1255">
        <v>9.8000000000000007</v>
      </c>
      <c r="R1255">
        <v>284.23</v>
      </c>
      <c r="S1255">
        <v>14.21</v>
      </c>
      <c r="T1255">
        <v>0</v>
      </c>
      <c r="U1255">
        <v>15</v>
      </c>
      <c r="V1255">
        <v>313.44</v>
      </c>
      <c r="W1255" t="s">
        <v>27</v>
      </c>
      <c r="X1255">
        <v>38</v>
      </c>
    </row>
    <row r="1256" spans="1:24" ht="14.25" customHeight="1">
      <c r="A1256" t="s">
        <v>2004</v>
      </c>
      <c r="B1256" t="s">
        <v>2301</v>
      </c>
      <c r="C1256" s="6" t="str">
        <f t="shared" si="58"/>
        <v>January</v>
      </c>
      <c r="D1256" s="6" t="str">
        <f t="shared" si="59"/>
        <v>04</v>
      </c>
      <c r="E1256" t="s">
        <v>267</v>
      </c>
      <c r="F1256" t="s">
        <v>21</v>
      </c>
      <c r="G1256" t="s">
        <v>37</v>
      </c>
      <c r="H1256" s="4" t="s">
        <v>2259</v>
      </c>
      <c r="I1256">
        <v>486354</v>
      </c>
      <c r="J1256" s="8" t="s">
        <v>30</v>
      </c>
      <c r="K1256" t="s">
        <v>268</v>
      </c>
      <c r="L1256" t="s">
        <v>269</v>
      </c>
      <c r="M1256" t="s">
        <v>33</v>
      </c>
      <c r="N1256">
        <f t="shared" si="60"/>
        <v>10</v>
      </c>
      <c r="O1256">
        <v>6</v>
      </c>
      <c r="P1256" s="6">
        <v>144.94999999999999</v>
      </c>
      <c r="Q1256">
        <v>7.25</v>
      </c>
      <c r="R1256">
        <v>862.44999999999993</v>
      </c>
      <c r="S1256">
        <v>43.12</v>
      </c>
      <c r="T1256">
        <v>20</v>
      </c>
      <c r="U1256">
        <v>10</v>
      </c>
      <c r="V1256">
        <v>935.56999999999994</v>
      </c>
      <c r="W1256" t="s">
        <v>27</v>
      </c>
      <c r="X1256">
        <v>37</v>
      </c>
    </row>
    <row r="1257" spans="1:24" ht="14.25" customHeight="1">
      <c r="A1257" t="s">
        <v>2005</v>
      </c>
      <c r="B1257" t="s">
        <v>2265</v>
      </c>
      <c r="C1257" s="6" t="str">
        <f t="shared" si="58"/>
        <v>January</v>
      </c>
      <c r="D1257" s="6" t="str">
        <f t="shared" si="59"/>
        <v>15</v>
      </c>
      <c r="E1257" t="s">
        <v>271</v>
      </c>
      <c r="F1257" t="s">
        <v>21</v>
      </c>
      <c r="G1257" t="s">
        <v>74</v>
      </c>
      <c r="H1257" s="4" t="s">
        <v>2259</v>
      </c>
      <c r="I1257">
        <v>586598</v>
      </c>
      <c r="J1257" s="8" t="s">
        <v>2345</v>
      </c>
      <c r="K1257" t="s">
        <v>272</v>
      </c>
      <c r="L1257" t="s">
        <v>273</v>
      </c>
      <c r="M1257" t="s">
        <v>140</v>
      </c>
      <c r="N1257">
        <f t="shared" si="60"/>
        <v>3</v>
      </c>
      <c r="O1257">
        <v>1</v>
      </c>
      <c r="P1257" s="6">
        <v>155.9</v>
      </c>
      <c r="Q1257">
        <v>23.39</v>
      </c>
      <c r="R1257">
        <v>132.51</v>
      </c>
      <c r="S1257">
        <v>6.63</v>
      </c>
      <c r="T1257">
        <v>30</v>
      </c>
      <c r="U1257">
        <v>0</v>
      </c>
      <c r="V1257">
        <v>169.14</v>
      </c>
      <c r="W1257" t="s">
        <v>27</v>
      </c>
      <c r="X1257">
        <v>7</v>
      </c>
    </row>
    <row r="1258" spans="1:24" ht="14.25" customHeight="1">
      <c r="A1258" t="s">
        <v>2006</v>
      </c>
      <c r="B1258" t="s">
        <v>2308</v>
      </c>
      <c r="C1258" s="6" t="str">
        <f t="shared" si="58"/>
        <v>January</v>
      </c>
      <c r="D1258" s="6" t="str">
        <f t="shared" si="59"/>
        <v>06</v>
      </c>
      <c r="E1258" t="s">
        <v>275</v>
      </c>
      <c r="F1258" t="s">
        <v>80</v>
      </c>
      <c r="G1258" t="s">
        <v>81</v>
      </c>
      <c r="H1258" s="4" t="s">
        <v>2259</v>
      </c>
      <c r="I1258">
        <v>248395</v>
      </c>
      <c r="J1258" s="8" t="s">
        <v>2345</v>
      </c>
      <c r="K1258" t="s">
        <v>276</v>
      </c>
      <c r="L1258" t="s">
        <v>277</v>
      </c>
      <c r="M1258" t="s">
        <v>89</v>
      </c>
      <c r="N1258">
        <f t="shared" si="60"/>
        <v>7</v>
      </c>
      <c r="O1258">
        <v>1</v>
      </c>
      <c r="P1258" s="6">
        <v>64.91</v>
      </c>
      <c r="Q1258">
        <v>0</v>
      </c>
      <c r="R1258">
        <v>64.91</v>
      </c>
      <c r="S1258">
        <v>3.25</v>
      </c>
      <c r="T1258">
        <v>10</v>
      </c>
      <c r="U1258">
        <v>10</v>
      </c>
      <c r="V1258">
        <v>88.16</v>
      </c>
      <c r="W1258" t="s">
        <v>27</v>
      </c>
      <c r="X1258">
        <v>28</v>
      </c>
    </row>
    <row r="1259" spans="1:24" ht="14.25" customHeight="1">
      <c r="A1259" t="s">
        <v>2007</v>
      </c>
      <c r="B1259" t="s">
        <v>2309</v>
      </c>
      <c r="C1259" s="6" t="str">
        <f t="shared" si="58"/>
        <v>February</v>
      </c>
      <c r="D1259" s="6" t="str">
        <f t="shared" si="59"/>
        <v>23</v>
      </c>
      <c r="E1259" t="s">
        <v>279</v>
      </c>
      <c r="F1259" t="s">
        <v>21</v>
      </c>
      <c r="G1259" t="s">
        <v>74</v>
      </c>
      <c r="H1259" s="4" t="s">
        <v>2259</v>
      </c>
      <c r="I1259">
        <v>132583</v>
      </c>
      <c r="J1259" s="8" t="s">
        <v>2345</v>
      </c>
      <c r="K1259" t="s">
        <v>280</v>
      </c>
      <c r="L1259" t="s">
        <v>281</v>
      </c>
      <c r="M1259" t="s">
        <v>33</v>
      </c>
      <c r="N1259">
        <f t="shared" si="60"/>
        <v>10</v>
      </c>
      <c r="O1259">
        <v>3</v>
      </c>
      <c r="P1259" s="6">
        <v>240.82</v>
      </c>
      <c r="Q1259">
        <v>0</v>
      </c>
      <c r="R1259">
        <v>722.46</v>
      </c>
      <c r="S1259">
        <v>36.119999999999997</v>
      </c>
      <c r="T1259">
        <v>20</v>
      </c>
      <c r="U1259">
        <v>5</v>
      </c>
      <c r="V1259">
        <v>783.58</v>
      </c>
      <c r="W1259" t="s">
        <v>27</v>
      </c>
      <c r="X1259">
        <v>30</v>
      </c>
    </row>
    <row r="1260" spans="1:24" ht="14.25" customHeight="1">
      <c r="A1260" t="s">
        <v>2008</v>
      </c>
      <c r="B1260" t="s">
        <v>2287</v>
      </c>
      <c r="C1260" s="6" t="str">
        <f t="shared" si="58"/>
        <v>February</v>
      </c>
      <c r="D1260" s="6" t="str">
        <f t="shared" si="59"/>
        <v>18</v>
      </c>
      <c r="E1260" t="s">
        <v>283</v>
      </c>
      <c r="F1260" t="s">
        <v>21</v>
      </c>
      <c r="G1260" t="s">
        <v>68</v>
      </c>
      <c r="H1260" s="4" t="s">
        <v>2259</v>
      </c>
      <c r="I1260">
        <v>119510</v>
      </c>
      <c r="J1260" s="8" t="s">
        <v>62</v>
      </c>
      <c r="K1260" t="s">
        <v>284</v>
      </c>
      <c r="L1260" t="s">
        <v>285</v>
      </c>
      <c r="M1260" t="s">
        <v>55</v>
      </c>
      <c r="N1260">
        <f t="shared" si="60"/>
        <v>5</v>
      </c>
      <c r="O1260">
        <v>2</v>
      </c>
      <c r="P1260" s="6">
        <v>101.24</v>
      </c>
      <c r="Q1260">
        <v>5.0599999999999996</v>
      </c>
      <c r="R1260">
        <v>197.42</v>
      </c>
      <c r="S1260">
        <v>9.8699999999999992</v>
      </c>
      <c r="T1260">
        <v>10</v>
      </c>
      <c r="U1260">
        <v>5</v>
      </c>
      <c r="V1260">
        <v>222.29</v>
      </c>
      <c r="W1260" t="s">
        <v>27</v>
      </c>
      <c r="X1260">
        <v>20</v>
      </c>
    </row>
    <row r="1261" spans="1:24" ht="14.25" customHeight="1">
      <c r="A1261" t="s">
        <v>2009</v>
      </c>
      <c r="B1261" t="s">
        <v>2281</v>
      </c>
      <c r="C1261" s="6" t="str">
        <f t="shared" si="58"/>
        <v>January</v>
      </c>
      <c r="D1261" s="6" t="str">
        <f t="shared" si="59"/>
        <v>30</v>
      </c>
      <c r="E1261" t="s">
        <v>287</v>
      </c>
      <c r="F1261" t="s">
        <v>21</v>
      </c>
      <c r="G1261" t="s">
        <v>22</v>
      </c>
      <c r="H1261" s="4" t="s">
        <v>2259</v>
      </c>
      <c r="I1261">
        <v>645893</v>
      </c>
      <c r="J1261" s="8" t="s">
        <v>2347</v>
      </c>
      <c r="K1261" t="s">
        <v>288</v>
      </c>
      <c r="L1261" t="s">
        <v>289</v>
      </c>
      <c r="M1261" t="s">
        <v>40</v>
      </c>
      <c r="N1261">
        <f t="shared" si="60"/>
        <v>6</v>
      </c>
      <c r="O1261">
        <v>2</v>
      </c>
      <c r="P1261" s="6">
        <v>70.709999999999994</v>
      </c>
      <c r="Q1261">
        <v>7.07</v>
      </c>
      <c r="R1261">
        <v>134.35</v>
      </c>
      <c r="S1261">
        <v>6.72</v>
      </c>
      <c r="T1261">
        <v>30</v>
      </c>
      <c r="U1261">
        <v>10</v>
      </c>
      <c r="V1261">
        <v>181.07</v>
      </c>
      <c r="W1261" t="s">
        <v>27</v>
      </c>
      <c r="X1261">
        <v>23</v>
      </c>
    </row>
    <row r="1262" spans="1:24" ht="14.25" customHeight="1">
      <c r="A1262" t="s">
        <v>2010</v>
      </c>
      <c r="B1262" t="s">
        <v>2320</v>
      </c>
      <c r="C1262" s="6" t="str">
        <f t="shared" si="58"/>
        <v>February</v>
      </c>
      <c r="D1262" s="6" t="str">
        <f t="shared" si="59"/>
        <v>25</v>
      </c>
      <c r="E1262" t="s">
        <v>291</v>
      </c>
      <c r="F1262" t="s">
        <v>21</v>
      </c>
      <c r="G1262" t="s">
        <v>68</v>
      </c>
      <c r="H1262" s="4" t="s">
        <v>2259</v>
      </c>
      <c r="I1262">
        <v>792272</v>
      </c>
      <c r="J1262" s="8" t="s">
        <v>30</v>
      </c>
      <c r="K1262" t="s">
        <v>292</v>
      </c>
      <c r="L1262" t="s">
        <v>293</v>
      </c>
      <c r="M1262" t="s">
        <v>45</v>
      </c>
      <c r="N1262">
        <f t="shared" si="60"/>
        <v>6</v>
      </c>
      <c r="O1262">
        <v>2</v>
      </c>
      <c r="P1262" s="6">
        <v>23.19</v>
      </c>
      <c r="Q1262">
        <v>3.48</v>
      </c>
      <c r="R1262">
        <v>42.900000000000013</v>
      </c>
      <c r="S1262">
        <v>2.15</v>
      </c>
      <c r="T1262">
        <v>10</v>
      </c>
      <c r="U1262">
        <v>0</v>
      </c>
      <c r="V1262">
        <v>55.05</v>
      </c>
      <c r="W1262" t="s">
        <v>27</v>
      </c>
      <c r="X1262">
        <v>22</v>
      </c>
    </row>
    <row r="1263" spans="1:24" ht="14.25" customHeight="1">
      <c r="A1263" t="s">
        <v>2011</v>
      </c>
      <c r="B1263" t="s">
        <v>2282</v>
      </c>
      <c r="C1263" s="6" t="str">
        <f t="shared" si="58"/>
        <v>February</v>
      </c>
      <c r="D1263" s="6" t="str">
        <f t="shared" si="59"/>
        <v>07</v>
      </c>
      <c r="E1263" t="s">
        <v>295</v>
      </c>
      <c r="F1263" t="s">
        <v>101</v>
      </c>
      <c r="G1263" t="s">
        <v>81</v>
      </c>
      <c r="H1263" s="4" t="s">
        <v>2259</v>
      </c>
      <c r="I1263">
        <v>792494</v>
      </c>
      <c r="J1263" s="8" t="s">
        <v>30</v>
      </c>
      <c r="K1263" t="s">
        <v>296</v>
      </c>
      <c r="L1263" t="s">
        <v>297</v>
      </c>
      <c r="M1263" t="s">
        <v>26</v>
      </c>
      <c r="N1263">
        <f t="shared" si="60"/>
        <v>3</v>
      </c>
      <c r="O1263">
        <v>5</v>
      </c>
      <c r="P1263" s="6">
        <v>203.98</v>
      </c>
      <c r="Q1263">
        <v>20.399999999999999</v>
      </c>
      <c r="R1263">
        <v>999.5</v>
      </c>
      <c r="S1263">
        <v>49.98</v>
      </c>
      <c r="T1263">
        <v>30</v>
      </c>
      <c r="U1263">
        <v>20</v>
      </c>
      <c r="V1263">
        <v>1099.48</v>
      </c>
      <c r="W1263" t="s">
        <v>27</v>
      </c>
      <c r="X1263">
        <v>28</v>
      </c>
    </row>
    <row r="1264" spans="1:24" ht="14.25" customHeight="1">
      <c r="A1264" t="s">
        <v>2012</v>
      </c>
      <c r="B1264" t="s">
        <v>2294</v>
      </c>
      <c r="C1264" s="6" t="str">
        <f t="shared" si="58"/>
        <v>February</v>
      </c>
      <c r="D1264" s="6" t="str">
        <f t="shared" si="59"/>
        <v>20</v>
      </c>
      <c r="E1264" t="s">
        <v>299</v>
      </c>
      <c r="F1264" t="s">
        <v>21</v>
      </c>
      <c r="G1264" t="s">
        <v>68</v>
      </c>
      <c r="H1264" s="4" t="s">
        <v>2259</v>
      </c>
      <c r="I1264">
        <v>364954</v>
      </c>
      <c r="J1264" s="8" t="s">
        <v>62</v>
      </c>
      <c r="K1264" t="s">
        <v>300</v>
      </c>
      <c r="L1264" t="s">
        <v>301</v>
      </c>
      <c r="M1264" t="s">
        <v>22</v>
      </c>
      <c r="N1264">
        <f t="shared" si="60"/>
        <v>6</v>
      </c>
      <c r="O1264">
        <v>5</v>
      </c>
      <c r="P1264" s="6">
        <v>129.41</v>
      </c>
      <c r="Q1264">
        <v>6.47</v>
      </c>
      <c r="R1264">
        <v>640.57999999999993</v>
      </c>
      <c r="S1264">
        <v>32.03</v>
      </c>
      <c r="T1264">
        <v>20</v>
      </c>
      <c r="U1264">
        <v>10</v>
      </c>
      <c r="V1264">
        <v>702.6099999999999</v>
      </c>
      <c r="W1264" t="s">
        <v>27</v>
      </c>
      <c r="X1264">
        <v>9</v>
      </c>
    </row>
    <row r="1265" spans="1:24" ht="14.25" customHeight="1">
      <c r="A1265" t="s">
        <v>2013</v>
      </c>
      <c r="B1265" t="s">
        <v>2296</v>
      </c>
      <c r="C1265" s="6" t="str">
        <f t="shared" si="58"/>
        <v>February</v>
      </c>
      <c r="D1265" s="6" t="str">
        <f t="shared" si="59"/>
        <v>26</v>
      </c>
      <c r="E1265" t="s">
        <v>303</v>
      </c>
      <c r="F1265" t="s">
        <v>21</v>
      </c>
      <c r="G1265" t="s">
        <v>37</v>
      </c>
      <c r="H1265" s="4" t="s">
        <v>2259</v>
      </c>
      <c r="I1265">
        <v>697823</v>
      </c>
      <c r="J1265" s="8" t="s">
        <v>62</v>
      </c>
      <c r="K1265" t="s">
        <v>304</v>
      </c>
      <c r="L1265" t="s">
        <v>305</v>
      </c>
      <c r="M1265" t="s">
        <v>77</v>
      </c>
      <c r="N1265">
        <f t="shared" si="60"/>
        <v>5</v>
      </c>
      <c r="O1265">
        <v>2</v>
      </c>
      <c r="P1265" s="6">
        <v>51.72</v>
      </c>
      <c r="Q1265">
        <v>5.17</v>
      </c>
      <c r="R1265">
        <v>98.27</v>
      </c>
      <c r="S1265">
        <v>4.91</v>
      </c>
      <c r="T1265">
        <v>30</v>
      </c>
      <c r="U1265">
        <v>20</v>
      </c>
      <c r="V1265">
        <v>153.18</v>
      </c>
      <c r="W1265" t="s">
        <v>117</v>
      </c>
      <c r="X1265">
        <v>25</v>
      </c>
    </row>
    <row r="1266" spans="1:24" ht="14.25" customHeight="1">
      <c r="A1266" t="s">
        <v>2014</v>
      </c>
      <c r="B1266" t="s">
        <v>2279</v>
      </c>
      <c r="C1266" s="6" t="str">
        <f t="shared" si="58"/>
        <v>January</v>
      </c>
      <c r="D1266" s="6" t="str">
        <f t="shared" si="59"/>
        <v>02</v>
      </c>
      <c r="E1266" t="s">
        <v>307</v>
      </c>
      <c r="F1266" t="s">
        <v>21</v>
      </c>
      <c r="G1266" t="s">
        <v>68</v>
      </c>
      <c r="H1266" s="4" t="s">
        <v>2259</v>
      </c>
      <c r="I1266">
        <v>799793</v>
      </c>
      <c r="J1266" s="8" t="s">
        <v>2346</v>
      </c>
      <c r="K1266" t="s">
        <v>308</v>
      </c>
      <c r="L1266" t="s">
        <v>309</v>
      </c>
      <c r="M1266" t="s">
        <v>33</v>
      </c>
      <c r="N1266">
        <f t="shared" si="60"/>
        <v>10</v>
      </c>
      <c r="O1266">
        <v>2</v>
      </c>
      <c r="P1266" s="6">
        <v>68.23</v>
      </c>
      <c r="Q1266">
        <v>10.23</v>
      </c>
      <c r="R1266">
        <v>126.23</v>
      </c>
      <c r="S1266">
        <v>6.31</v>
      </c>
      <c r="T1266">
        <v>20</v>
      </c>
      <c r="U1266">
        <v>5</v>
      </c>
      <c r="V1266">
        <v>157.54</v>
      </c>
      <c r="W1266" t="s">
        <v>27</v>
      </c>
      <c r="X1266">
        <v>30</v>
      </c>
    </row>
    <row r="1267" spans="1:24" ht="14.25" customHeight="1">
      <c r="A1267" t="s">
        <v>2015</v>
      </c>
      <c r="B1267" t="s">
        <v>2265</v>
      </c>
      <c r="C1267" s="6" t="str">
        <f t="shared" si="58"/>
        <v>January</v>
      </c>
      <c r="D1267" s="6" t="str">
        <f t="shared" si="59"/>
        <v>15</v>
      </c>
      <c r="E1267" t="s">
        <v>311</v>
      </c>
      <c r="F1267" t="s">
        <v>21</v>
      </c>
      <c r="G1267" t="s">
        <v>106</v>
      </c>
      <c r="H1267" s="4" t="s">
        <v>2259</v>
      </c>
      <c r="I1267">
        <v>652355</v>
      </c>
      <c r="J1267" s="8" t="s">
        <v>2349</v>
      </c>
      <c r="K1267" t="s">
        <v>312</v>
      </c>
      <c r="L1267" t="s">
        <v>313</v>
      </c>
      <c r="M1267" t="s">
        <v>135</v>
      </c>
      <c r="N1267">
        <f t="shared" si="60"/>
        <v>9</v>
      </c>
      <c r="O1267">
        <v>1</v>
      </c>
      <c r="P1267" s="6">
        <v>109.04</v>
      </c>
      <c r="Q1267">
        <v>0</v>
      </c>
      <c r="R1267">
        <v>109.04</v>
      </c>
      <c r="S1267">
        <v>5.45</v>
      </c>
      <c r="T1267">
        <v>10</v>
      </c>
      <c r="U1267">
        <v>10</v>
      </c>
      <c r="V1267">
        <v>134.49</v>
      </c>
      <c r="W1267" t="s">
        <v>27</v>
      </c>
      <c r="X1267">
        <v>26</v>
      </c>
    </row>
    <row r="1268" spans="1:24" ht="14.25" customHeight="1">
      <c r="A1268" t="s">
        <v>2016</v>
      </c>
      <c r="B1268" t="s">
        <v>2272</v>
      </c>
      <c r="C1268" s="6" t="str">
        <f t="shared" si="58"/>
        <v>January</v>
      </c>
      <c r="D1268" s="6" t="str">
        <f t="shared" si="59"/>
        <v>11</v>
      </c>
      <c r="E1268" t="s">
        <v>315</v>
      </c>
      <c r="F1268" t="s">
        <v>21</v>
      </c>
      <c r="G1268" t="s">
        <v>22</v>
      </c>
      <c r="H1268" s="4" t="s">
        <v>2259</v>
      </c>
      <c r="I1268">
        <v>843787</v>
      </c>
      <c r="J1268" s="8" t="s">
        <v>2348</v>
      </c>
      <c r="K1268" t="s">
        <v>316</v>
      </c>
      <c r="L1268" t="s">
        <v>317</v>
      </c>
      <c r="M1268" t="s">
        <v>33</v>
      </c>
      <c r="N1268">
        <f t="shared" si="60"/>
        <v>10</v>
      </c>
      <c r="O1268">
        <v>1</v>
      </c>
      <c r="P1268" s="6">
        <v>146.82</v>
      </c>
      <c r="Q1268">
        <v>0</v>
      </c>
      <c r="R1268">
        <v>146.82</v>
      </c>
      <c r="S1268">
        <v>7.34</v>
      </c>
      <c r="T1268">
        <v>30</v>
      </c>
      <c r="U1268">
        <v>5</v>
      </c>
      <c r="V1268">
        <v>189.16</v>
      </c>
      <c r="W1268" t="s">
        <v>27</v>
      </c>
      <c r="X1268">
        <v>31</v>
      </c>
    </row>
    <row r="1269" spans="1:24" ht="14.25" customHeight="1">
      <c r="A1269" t="s">
        <v>2017</v>
      </c>
      <c r="B1269" t="s">
        <v>2267</v>
      </c>
      <c r="C1269" s="6" t="str">
        <f t="shared" si="58"/>
        <v>January</v>
      </c>
      <c r="D1269" s="6" t="str">
        <f t="shared" si="59"/>
        <v>08</v>
      </c>
      <c r="E1269" t="s">
        <v>319</v>
      </c>
      <c r="F1269" t="s">
        <v>101</v>
      </c>
      <c r="G1269" t="s">
        <v>81</v>
      </c>
      <c r="H1269" s="4" t="s">
        <v>2259</v>
      </c>
      <c r="I1269">
        <v>236984</v>
      </c>
      <c r="J1269" s="8" t="s">
        <v>2348</v>
      </c>
      <c r="K1269" t="s">
        <v>320</v>
      </c>
      <c r="L1269" t="s">
        <v>321</v>
      </c>
      <c r="M1269" t="s">
        <v>77</v>
      </c>
      <c r="N1269">
        <f t="shared" si="60"/>
        <v>5</v>
      </c>
      <c r="O1269">
        <v>1</v>
      </c>
      <c r="P1269" s="6">
        <v>78.16</v>
      </c>
      <c r="Q1269">
        <v>0</v>
      </c>
      <c r="R1269">
        <v>78.16</v>
      </c>
      <c r="S1269">
        <v>3.91</v>
      </c>
      <c r="T1269">
        <v>0</v>
      </c>
      <c r="U1269">
        <v>0</v>
      </c>
      <c r="V1269">
        <v>82.07</v>
      </c>
      <c r="W1269" t="s">
        <v>34</v>
      </c>
      <c r="X1269">
        <v>25</v>
      </c>
    </row>
    <row r="1270" spans="1:24" ht="14.25" customHeight="1">
      <c r="A1270" t="s">
        <v>2018</v>
      </c>
      <c r="B1270" t="s">
        <v>2304</v>
      </c>
      <c r="C1270" s="6" t="str">
        <f t="shared" si="58"/>
        <v>January</v>
      </c>
      <c r="D1270" s="6" t="str">
        <f t="shared" si="59"/>
        <v>26</v>
      </c>
      <c r="E1270" t="s">
        <v>323</v>
      </c>
      <c r="F1270" t="s">
        <v>21</v>
      </c>
      <c r="G1270" t="s">
        <v>37</v>
      </c>
      <c r="H1270" s="4" t="s">
        <v>2259</v>
      </c>
      <c r="I1270">
        <v>225555</v>
      </c>
      <c r="J1270" s="8" t="s">
        <v>30</v>
      </c>
      <c r="K1270" t="s">
        <v>324</v>
      </c>
      <c r="L1270" t="s">
        <v>325</v>
      </c>
      <c r="M1270" t="s">
        <v>135</v>
      </c>
      <c r="N1270">
        <f t="shared" si="60"/>
        <v>9</v>
      </c>
      <c r="O1270">
        <v>1</v>
      </c>
      <c r="P1270" s="6">
        <v>139.5</v>
      </c>
      <c r="Q1270">
        <v>0</v>
      </c>
      <c r="R1270">
        <v>139.5</v>
      </c>
      <c r="S1270">
        <v>6.98</v>
      </c>
      <c r="T1270">
        <v>20</v>
      </c>
      <c r="U1270">
        <v>5</v>
      </c>
      <c r="V1270">
        <v>171.48</v>
      </c>
      <c r="W1270" t="s">
        <v>34</v>
      </c>
      <c r="X1270">
        <v>25</v>
      </c>
    </row>
    <row r="1271" spans="1:24" ht="14.25" customHeight="1">
      <c r="A1271" t="s">
        <v>2019</v>
      </c>
      <c r="B1271" t="s">
        <v>2294</v>
      </c>
      <c r="C1271" s="6" t="str">
        <f t="shared" si="58"/>
        <v>February</v>
      </c>
      <c r="D1271" s="6" t="str">
        <f t="shared" si="59"/>
        <v>20</v>
      </c>
      <c r="E1271" t="s">
        <v>327</v>
      </c>
      <c r="F1271" t="s">
        <v>80</v>
      </c>
      <c r="G1271" t="s">
        <v>81</v>
      </c>
      <c r="H1271" s="4" t="s">
        <v>2259</v>
      </c>
      <c r="I1271">
        <v>911624</v>
      </c>
      <c r="J1271" s="8" t="s">
        <v>2349</v>
      </c>
      <c r="K1271" t="s">
        <v>328</v>
      </c>
      <c r="L1271" t="s">
        <v>329</v>
      </c>
      <c r="M1271" t="s">
        <v>77</v>
      </c>
      <c r="N1271">
        <f t="shared" si="60"/>
        <v>5</v>
      </c>
      <c r="O1271">
        <v>2</v>
      </c>
      <c r="P1271" s="6">
        <v>94.6</v>
      </c>
      <c r="Q1271">
        <v>14.19</v>
      </c>
      <c r="R1271">
        <v>175.01</v>
      </c>
      <c r="S1271">
        <v>8.75</v>
      </c>
      <c r="T1271">
        <v>30</v>
      </c>
      <c r="U1271">
        <v>20</v>
      </c>
      <c r="V1271">
        <v>233.76</v>
      </c>
      <c r="W1271" t="s">
        <v>27</v>
      </c>
      <c r="X1271">
        <v>17</v>
      </c>
    </row>
    <row r="1272" spans="1:24" ht="14.25" customHeight="1">
      <c r="A1272" t="s">
        <v>2020</v>
      </c>
      <c r="B1272" t="s">
        <v>2314</v>
      </c>
      <c r="C1272" s="6" t="str">
        <f t="shared" si="58"/>
        <v>February</v>
      </c>
      <c r="D1272" s="6" t="str">
        <f t="shared" si="59"/>
        <v>14</v>
      </c>
      <c r="E1272" t="s">
        <v>331</v>
      </c>
      <c r="F1272" t="s">
        <v>21</v>
      </c>
      <c r="G1272" t="s">
        <v>22</v>
      </c>
      <c r="H1272" s="4" t="s">
        <v>2259</v>
      </c>
      <c r="I1272">
        <v>298017</v>
      </c>
      <c r="J1272" s="8" t="s">
        <v>30</v>
      </c>
      <c r="K1272" t="s">
        <v>332</v>
      </c>
      <c r="L1272" t="s">
        <v>333</v>
      </c>
      <c r="M1272" t="s">
        <v>177</v>
      </c>
      <c r="N1272">
        <f t="shared" si="60"/>
        <v>5</v>
      </c>
      <c r="O1272">
        <v>2</v>
      </c>
      <c r="P1272" s="6">
        <v>253.44</v>
      </c>
      <c r="Q1272">
        <v>25.34</v>
      </c>
      <c r="R1272">
        <v>481.54</v>
      </c>
      <c r="S1272">
        <v>24.08</v>
      </c>
      <c r="T1272">
        <v>20</v>
      </c>
      <c r="U1272">
        <v>10</v>
      </c>
      <c r="V1272">
        <v>535.62</v>
      </c>
      <c r="W1272" t="s">
        <v>27</v>
      </c>
      <c r="X1272">
        <v>41</v>
      </c>
    </row>
    <row r="1273" spans="1:24" ht="14.25" customHeight="1">
      <c r="A1273" t="s">
        <v>2021</v>
      </c>
      <c r="B1273" t="s">
        <v>2280</v>
      </c>
      <c r="C1273" s="6" t="str">
        <f t="shared" si="58"/>
        <v>February</v>
      </c>
      <c r="D1273" s="6" t="str">
        <f t="shared" si="59"/>
        <v>13</v>
      </c>
      <c r="E1273" t="s">
        <v>335</v>
      </c>
      <c r="F1273" t="s">
        <v>21</v>
      </c>
      <c r="G1273" t="s">
        <v>68</v>
      </c>
      <c r="H1273" s="4" t="s">
        <v>2259</v>
      </c>
      <c r="I1273">
        <v>771064</v>
      </c>
      <c r="J1273" s="8" t="s">
        <v>62</v>
      </c>
      <c r="K1273" t="s">
        <v>336</v>
      </c>
      <c r="L1273" t="s">
        <v>337</v>
      </c>
      <c r="M1273" t="s">
        <v>77</v>
      </c>
      <c r="N1273">
        <f t="shared" si="60"/>
        <v>5</v>
      </c>
      <c r="O1273">
        <v>1</v>
      </c>
      <c r="P1273" s="6">
        <v>161.21</v>
      </c>
      <c r="Q1273">
        <v>16.12</v>
      </c>
      <c r="R1273">
        <v>145.09</v>
      </c>
      <c r="S1273">
        <v>7.25</v>
      </c>
      <c r="T1273">
        <v>30</v>
      </c>
      <c r="U1273">
        <v>15</v>
      </c>
      <c r="V1273">
        <v>197.34</v>
      </c>
      <c r="W1273" t="s">
        <v>27</v>
      </c>
      <c r="X1273">
        <v>14</v>
      </c>
    </row>
    <row r="1274" spans="1:24" ht="14.25" customHeight="1">
      <c r="A1274" t="s">
        <v>2022</v>
      </c>
      <c r="B1274" t="s">
        <v>2317</v>
      </c>
      <c r="C1274" s="6" t="str">
        <f t="shared" si="58"/>
        <v>January</v>
      </c>
      <c r="D1274" s="6" t="str">
        <f t="shared" si="59"/>
        <v>05</v>
      </c>
      <c r="E1274" t="s">
        <v>339</v>
      </c>
      <c r="F1274" t="s">
        <v>21</v>
      </c>
      <c r="G1274" t="s">
        <v>22</v>
      </c>
      <c r="H1274" s="4" t="s">
        <v>2259</v>
      </c>
      <c r="I1274">
        <v>350319</v>
      </c>
      <c r="J1274" s="8" t="s">
        <v>30</v>
      </c>
      <c r="K1274" t="s">
        <v>340</v>
      </c>
      <c r="L1274" t="s">
        <v>341</v>
      </c>
      <c r="M1274" t="s">
        <v>33</v>
      </c>
      <c r="N1274">
        <f t="shared" si="60"/>
        <v>10</v>
      </c>
      <c r="O1274">
        <v>3</v>
      </c>
      <c r="P1274" s="6">
        <v>94.25</v>
      </c>
      <c r="Q1274">
        <v>4.71</v>
      </c>
      <c r="R1274">
        <v>278.04000000000002</v>
      </c>
      <c r="S1274">
        <v>13.9</v>
      </c>
      <c r="T1274">
        <v>30</v>
      </c>
      <c r="U1274">
        <v>0</v>
      </c>
      <c r="V1274">
        <v>321.94</v>
      </c>
      <c r="W1274" t="s">
        <v>27</v>
      </c>
      <c r="X1274">
        <v>28</v>
      </c>
    </row>
    <row r="1275" spans="1:24" ht="14.25" customHeight="1">
      <c r="A1275" t="s">
        <v>2023</v>
      </c>
      <c r="B1275" t="s">
        <v>2308</v>
      </c>
      <c r="C1275" s="6" t="str">
        <f t="shared" si="58"/>
        <v>January</v>
      </c>
      <c r="D1275" s="6" t="str">
        <f t="shared" si="59"/>
        <v>06</v>
      </c>
      <c r="E1275" t="s">
        <v>343</v>
      </c>
      <c r="F1275" t="s">
        <v>21</v>
      </c>
      <c r="G1275" t="s">
        <v>106</v>
      </c>
      <c r="H1275" s="4" t="s">
        <v>2259</v>
      </c>
      <c r="I1275">
        <v>554529</v>
      </c>
      <c r="J1275" s="8" t="s">
        <v>30</v>
      </c>
      <c r="K1275" t="s">
        <v>344</v>
      </c>
      <c r="L1275" t="s">
        <v>345</v>
      </c>
      <c r="M1275" t="s">
        <v>177</v>
      </c>
      <c r="N1275">
        <f t="shared" si="60"/>
        <v>5</v>
      </c>
      <c r="O1275">
        <v>4</v>
      </c>
      <c r="P1275" s="6">
        <v>18.03</v>
      </c>
      <c r="Q1275">
        <v>1.8</v>
      </c>
      <c r="R1275">
        <v>70.320000000000007</v>
      </c>
      <c r="S1275">
        <v>3.52</v>
      </c>
      <c r="T1275">
        <v>20</v>
      </c>
      <c r="U1275">
        <v>15</v>
      </c>
      <c r="V1275">
        <v>108.84</v>
      </c>
      <c r="W1275" t="s">
        <v>27</v>
      </c>
      <c r="X1275">
        <v>22</v>
      </c>
    </row>
    <row r="1276" spans="1:24" ht="14.25" customHeight="1">
      <c r="A1276" t="s">
        <v>2024</v>
      </c>
      <c r="B1276" t="s">
        <v>2304</v>
      </c>
      <c r="C1276" s="6" t="str">
        <f t="shared" si="58"/>
        <v>January</v>
      </c>
      <c r="D1276" s="6" t="str">
        <f t="shared" si="59"/>
        <v>26</v>
      </c>
      <c r="E1276" t="s">
        <v>347</v>
      </c>
      <c r="F1276" t="s">
        <v>21</v>
      </c>
      <c r="G1276" t="s">
        <v>106</v>
      </c>
      <c r="H1276" s="4" t="s">
        <v>2259</v>
      </c>
      <c r="I1276">
        <v>375419</v>
      </c>
      <c r="J1276" s="8" t="s">
        <v>62</v>
      </c>
      <c r="K1276" t="s">
        <v>348</v>
      </c>
      <c r="L1276" t="s">
        <v>349</v>
      </c>
      <c r="M1276" t="s">
        <v>140</v>
      </c>
      <c r="N1276">
        <f t="shared" si="60"/>
        <v>3</v>
      </c>
      <c r="O1276">
        <v>1</v>
      </c>
      <c r="P1276" s="6">
        <v>27.52</v>
      </c>
      <c r="Q1276">
        <v>2.75</v>
      </c>
      <c r="R1276">
        <v>24.77</v>
      </c>
      <c r="S1276">
        <v>1.24</v>
      </c>
      <c r="T1276">
        <v>10</v>
      </c>
      <c r="U1276">
        <v>20</v>
      </c>
      <c r="V1276">
        <v>56.01</v>
      </c>
      <c r="W1276" t="s">
        <v>27</v>
      </c>
      <c r="X1276">
        <v>31</v>
      </c>
    </row>
    <row r="1277" spans="1:24" ht="14.25" customHeight="1">
      <c r="A1277" t="s">
        <v>2025</v>
      </c>
      <c r="B1277" t="s">
        <v>2309</v>
      </c>
      <c r="C1277" s="6" t="str">
        <f t="shared" si="58"/>
        <v>February</v>
      </c>
      <c r="D1277" s="6" t="str">
        <f t="shared" si="59"/>
        <v>23</v>
      </c>
      <c r="E1277" t="s">
        <v>351</v>
      </c>
      <c r="F1277" t="s">
        <v>21</v>
      </c>
      <c r="G1277" t="s">
        <v>74</v>
      </c>
      <c r="H1277" s="4" t="s">
        <v>2259</v>
      </c>
      <c r="I1277">
        <v>394768</v>
      </c>
      <c r="J1277" s="8" t="s">
        <v>2349</v>
      </c>
      <c r="K1277" t="s">
        <v>352</v>
      </c>
      <c r="L1277" t="s">
        <v>353</v>
      </c>
      <c r="M1277" t="s">
        <v>40</v>
      </c>
      <c r="N1277">
        <f t="shared" si="60"/>
        <v>6</v>
      </c>
      <c r="O1277">
        <v>3</v>
      </c>
      <c r="P1277" s="6">
        <v>189.74</v>
      </c>
      <c r="Q1277">
        <v>18.97</v>
      </c>
      <c r="R1277">
        <v>550.25</v>
      </c>
      <c r="S1277">
        <v>27.51</v>
      </c>
      <c r="T1277">
        <v>0</v>
      </c>
      <c r="U1277">
        <v>10</v>
      </c>
      <c r="V1277">
        <v>587.76</v>
      </c>
      <c r="W1277" t="s">
        <v>34</v>
      </c>
      <c r="X1277">
        <v>25</v>
      </c>
    </row>
    <row r="1278" spans="1:24" ht="14.25" customHeight="1">
      <c r="A1278" t="s">
        <v>2026</v>
      </c>
      <c r="B1278" t="s">
        <v>2301</v>
      </c>
      <c r="C1278" s="6" t="str">
        <f t="shared" si="58"/>
        <v>January</v>
      </c>
      <c r="D1278" s="6" t="str">
        <f t="shared" si="59"/>
        <v>04</v>
      </c>
      <c r="E1278" t="s">
        <v>355</v>
      </c>
      <c r="F1278" t="s">
        <v>21</v>
      </c>
      <c r="G1278" t="s">
        <v>37</v>
      </c>
      <c r="H1278" s="4" t="s">
        <v>2259</v>
      </c>
      <c r="I1278">
        <v>462355</v>
      </c>
      <c r="J1278" s="8" t="s">
        <v>2348</v>
      </c>
      <c r="K1278" t="s">
        <v>356</v>
      </c>
      <c r="L1278" t="s">
        <v>357</v>
      </c>
      <c r="M1278" t="s">
        <v>77</v>
      </c>
      <c r="N1278">
        <f t="shared" si="60"/>
        <v>5</v>
      </c>
      <c r="O1278">
        <v>1</v>
      </c>
      <c r="P1278" s="6">
        <v>23.71</v>
      </c>
      <c r="Q1278">
        <v>3.56</v>
      </c>
      <c r="R1278">
        <v>20.149999999999999</v>
      </c>
      <c r="S1278">
        <v>1.01</v>
      </c>
      <c r="T1278">
        <v>10</v>
      </c>
      <c r="U1278">
        <v>10</v>
      </c>
      <c r="V1278">
        <v>41.16</v>
      </c>
      <c r="W1278" t="s">
        <v>27</v>
      </c>
      <c r="X1278">
        <v>13</v>
      </c>
    </row>
    <row r="1279" spans="1:24" ht="14.25" customHeight="1">
      <c r="A1279" t="s">
        <v>2027</v>
      </c>
      <c r="B1279" t="s">
        <v>2270</v>
      </c>
      <c r="C1279" s="6" t="str">
        <f t="shared" si="58"/>
        <v>January</v>
      </c>
      <c r="D1279" s="6" t="str">
        <f t="shared" si="59"/>
        <v>19</v>
      </c>
      <c r="E1279" t="s">
        <v>359</v>
      </c>
      <c r="F1279" t="s">
        <v>21</v>
      </c>
      <c r="G1279" t="s">
        <v>22</v>
      </c>
      <c r="H1279" s="4" t="s">
        <v>2259</v>
      </c>
      <c r="I1279">
        <v>305463</v>
      </c>
      <c r="J1279" s="8" t="s">
        <v>2345</v>
      </c>
      <c r="K1279" t="s">
        <v>360</v>
      </c>
      <c r="L1279" t="s">
        <v>361</v>
      </c>
      <c r="M1279" t="s">
        <v>45</v>
      </c>
      <c r="N1279">
        <f t="shared" si="60"/>
        <v>6</v>
      </c>
      <c r="O1279">
        <v>4</v>
      </c>
      <c r="P1279" s="6">
        <v>117.22</v>
      </c>
      <c r="Q1279">
        <v>17.579999999999998</v>
      </c>
      <c r="R1279">
        <v>451.3</v>
      </c>
      <c r="S1279">
        <v>22.57</v>
      </c>
      <c r="T1279">
        <v>0</v>
      </c>
      <c r="U1279">
        <v>15</v>
      </c>
      <c r="V1279">
        <v>488.87</v>
      </c>
      <c r="W1279" t="s">
        <v>27</v>
      </c>
      <c r="X1279">
        <v>26</v>
      </c>
    </row>
    <row r="1280" spans="1:24" ht="14.25" customHeight="1">
      <c r="A1280" t="s">
        <v>2028</v>
      </c>
      <c r="B1280" t="s">
        <v>2305</v>
      </c>
      <c r="C1280" s="6" t="str">
        <f t="shared" si="58"/>
        <v>January</v>
      </c>
      <c r="D1280" s="6" t="str">
        <f t="shared" si="59"/>
        <v>20</v>
      </c>
      <c r="E1280" t="s">
        <v>363</v>
      </c>
      <c r="F1280" t="s">
        <v>21</v>
      </c>
      <c r="G1280" t="s">
        <v>74</v>
      </c>
      <c r="H1280" s="4" t="s">
        <v>2259</v>
      </c>
      <c r="I1280">
        <v>240302</v>
      </c>
      <c r="J1280" s="8" t="s">
        <v>2349</v>
      </c>
      <c r="K1280" t="s">
        <v>364</v>
      </c>
      <c r="L1280" t="s">
        <v>365</v>
      </c>
      <c r="M1280" t="s">
        <v>77</v>
      </c>
      <c r="N1280">
        <f t="shared" si="60"/>
        <v>5</v>
      </c>
      <c r="O1280">
        <v>1</v>
      </c>
      <c r="P1280" s="6">
        <v>122.51</v>
      </c>
      <c r="Q1280">
        <v>12.25</v>
      </c>
      <c r="R1280">
        <v>110.26</v>
      </c>
      <c r="S1280">
        <v>5.51</v>
      </c>
      <c r="T1280">
        <v>0</v>
      </c>
      <c r="U1280">
        <v>5</v>
      </c>
      <c r="V1280">
        <v>120.77</v>
      </c>
      <c r="W1280" t="s">
        <v>27</v>
      </c>
      <c r="X1280">
        <v>10</v>
      </c>
    </row>
    <row r="1281" spans="1:24" ht="14.25" customHeight="1">
      <c r="A1281" t="s">
        <v>2029</v>
      </c>
      <c r="B1281" t="s">
        <v>2284</v>
      </c>
      <c r="C1281" s="6" t="str">
        <f t="shared" si="58"/>
        <v>February</v>
      </c>
      <c r="D1281" s="6" t="str">
        <f t="shared" si="59"/>
        <v>02</v>
      </c>
      <c r="E1281" t="s">
        <v>367</v>
      </c>
      <c r="F1281" t="s">
        <v>21</v>
      </c>
      <c r="G1281" t="s">
        <v>106</v>
      </c>
      <c r="H1281" s="4" t="s">
        <v>2259</v>
      </c>
      <c r="I1281">
        <v>742064</v>
      </c>
      <c r="J1281" s="8" t="s">
        <v>30</v>
      </c>
      <c r="K1281" t="s">
        <v>368</v>
      </c>
      <c r="L1281" t="s">
        <v>369</v>
      </c>
      <c r="M1281" t="s">
        <v>22</v>
      </c>
      <c r="N1281">
        <f t="shared" si="60"/>
        <v>6</v>
      </c>
      <c r="O1281">
        <v>5</v>
      </c>
      <c r="P1281" s="6">
        <v>201.79</v>
      </c>
      <c r="Q1281">
        <v>0</v>
      </c>
      <c r="R1281">
        <v>1008.95</v>
      </c>
      <c r="S1281">
        <v>50.45</v>
      </c>
      <c r="T1281">
        <v>0</v>
      </c>
      <c r="U1281">
        <v>5</v>
      </c>
      <c r="V1281">
        <v>1064.4000000000001</v>
      </c>
      <c r="W1281" t="s">
        <v>27</v>
      </c>
      <c r="X1281">
        <v>21</v>
      </c>
    </row>
    <row r="1282" spans="1:24" ht="14.25" customHeight="1">
      <c r="A1282" t="s">
        <v>2030</v>
      </c>
      <c r="B1282" t="s">
        <v>2305</v>
      </c>
      <c r="C1282" s="6" t="str">
        <f t="shared" si="58"/>
        <v>January</v>
      </c>
      <c r="D1282" s="6" t="str">
        <f t="shared" si="59"/>
        <v>20</v>
      </c>
      <c r="E1282" t="s">
        <v>371</v>
      </c>
      <c r="F1282" t="s">
        <v>101</v>
      </c>
      <c r="G1282" t="s">
        <v>81</v>
      </c>
      <c r="H1282" s="4" t="s">
        <v>2259</v>
      </c>
      <c r="I1282">
        <v>626077</v>
      </c>
      <c r="J1282" s="8" t="s">
        <v>2348</v>
      </c>
      <c r="K1282" t="s">
        <v>372</v>
      </c>
      <c r="L1282" t="s">
        <v>373</v>
      </c>
      <c r="M1282" t="s">
        <v>22</v>
      </c>
      <c r="N1282">
        <f t="shared" si="60"/>
        <v>6</v>
      </c>
      <c r="O1282">
        <v>1</v>
      </c>
      <c r="P1282" s="6">
        <v>71.12</v>
      </c>
      <c r="Q1282">
        <v>3.56</v>
      </c>
      <c r="R1282">
        <v>67.56</v>
      </c>
      <c r="S1282">
        <v>3.38</v>
      </c>
      <c r="T1282">
        <v>30</v>
      </c>
      <c r="U1282">
        <v>0</v>
      </c>
      <c r="V1282">
        <v>100.94</v>
      </c>
      <c r="W1282" t="s">
        <v>27</v>
      </c>
      <c r="X1282">
        <v>26</v>
      </c>
    </row>
    <row r="1283" spans="1:24" ht="14.25" customHeight="1">
      <c r="A1283" t="s">
        <v>2031</v>
      </c>
      <c r="B1283" t="s">
        <v>2287</v>
      </c>
      <c r="C1283" s="6" t="str">
        <f t="shared" ref="C1283:C1346" si="61">TEXT(B1283,"mmmm")</f>
        <v>February</v>
      </c>
      <c r="D1283" s="6" t="str">
        <f t="shared" ref="D1283:D1346" si="62">TEXT(B1283,"dd")</f>
        <v>18</v>
      </c>
      <c r="E1283" t="s">
        <v>375</v>
      </c>
      <c r="F1283" t="s">
        <v>21</v>
      </c>
      <c r="G1283" t="s">
        <v>106</v>
      </c>
      <c r="H1283" s="4" t="s">
        <v>2259</v>
      </c>
      <c r="I1283">
        <v>514750</v>
      </c>
      <c r="J1283" s="8" t="s">
        <v>2345</v>
      </c>
      <c r="K1283" t="s">
        <v>376</v>
      </c>
      <c r="L1283" t="s">
        <v>377</v>
      </c>
      <c r="M1283" t="s">
        <v>177</v>
      </c>
      <c r="N1283">
        <f t="shared" si="60"/>
        <v>5</v>
      </c>
      <c r="O1283">
        <v>2</v>
      </c>
      <c r="P1283" s="6">
        <v>54.23</v>
      </c>
      <c r="Q1283">
        <v>8.1300000000000008</v>
      </c>
      <c r="R1283">
        <v>100.33</v>
      </c>
      <c r="S1283">
        <v>5.0199999999999996</v>
      </c>
      <c r="T1283">
        <v>30</v>
      </c>
      <c r="U1283">
        <v>15</v>
      </c>
      <c r="V1283">
        <v>150.35</v>
      </c>
      <c r="W1283" t="s">
        <v>27</v>
      </c>
      <c r="X1283">
        <v>24</v>
      </c>
    </row>
    <row r="1284" spans="1:24" ht="14.25" customHeight="1">
      <c r="A1284" t="s">
        <v>2032</v>
      </c>
      <c r="B1284" t="s">
        <v>2285</v>
      </c>
      <c r="C1284" s="6" t="str">
        <f t="shared" si="61"/>
        <v>January</v>
      </c>
      <c r="D1284" s="6" t="str">
        <f t="shared" si="62"/>
        <v>12</v>
      </c>
      <c r="E1284" t="s">
        <v>379</v>
      </c>
      <c r="F1284" t="s">
        <v>21</v>
      </c>
      <c r="G1284" t="s">
        <v>106</v>
      </c>
      <c r="H1284" s="4" t="s">
        <v>2259</v>
      </c>
      <c r="I1284">
        <v>693391</v>
      </c>
      <c r="J1284" s="8" t="s">
        <v>2345</v>
      </c>
      <c r="K1284" t="s">
        <v>380</v>
      </c>
      <c r="L1284" t="s">
        <v>381</v>
      </c>
      <c r="M1284" t="s">
        <v>140</v>
      </c>
      <c r="N1284">
        <f t="shared" si="60"/>
        <v>3</v>
      </c>
      <c r="O1284">
        <v>2</v>
      </c>
      <c r="P1284" s="6">
        <v>231.2</v>
      </c>
      <c r="Q1284">
        <v>0</v>
      </c>
      <c r="R1284">
        <v>462.4</v>
      </c>
      <c r="S1284">
        <v>23.12</v>
      </c>
      <c r="T1284">
        <v>20</v>
      </c>
      <c r="U1284">
        <v>5</v>
      </c>
      <c r="V1284">
        <v>510.52</v>
      </c>
      <c r="W1284" t="s">
        <v>84</v>
      </c>
      <c r="X1284">
        <v>25</v>
      </c>
    </row>
    <row r="1285" spans="1:24" ht="14.25" customHeight="1">
      <c r="A1285" t="s">
        <v>2033</v>
      </c>
      <c r="B1285" t="s">
        <v>2293</v>
      </c>
      <c r="C1285" s="6" t="str">
        <f t="shared" si="61"/>
        <v>February</v>
      </c>
      <c r="D1285" s="6" t="str">
        <f t="shared" si="62"/>
        <v>16</v>
      </c>
      <c r="E1285" t="s">
        <v>383</v>
      </c>
      <c r="F1285" t="s">
        <v>21</v>
      </c>
      <c r="G1285" t="s">
        <v>74</v>
      </c>
      <c r="H1285" s="4" t="s">
        <v>2259</v>
      </c>
      <c r="I1285">
        <v>595054</v>
      </c>
      <c r="J1285" s="8" t="s">
        <v>2345</v>
      </c>
      <c r="K1285" t="s">
        <v>384</v>
      </c>
      <c r="L1285" t="s">
        <v>385</v>
      </c>
      <c r="M1285" t="s">
        <v>26</v>
      </c>
      <c r="N1285">
        <f t="shared" si="60"/>
        <v>3</v>
      </c>
      <c r="O1285">
        <v>4</v>
      </c>
      <c r="P1285" s="6">
        <v>86.57</v>
      </c>
      <c r="Q1285">
        <v>8.66</v>
      </c>
      <c r="R1285">
        <v>337.61999999999989</v>
      </c>
      <c r="S1285">
        <v>16.88</v>
      </c>
      <c r="T1285">
        <v>20</v>
      </c>
      <c r="U1285">
        <v>5</v>
      </c>
      <c r="V1285">
        <v>379.49999999999989</v>
      </c>
      <c r="W1285" t="s">
        <v>27</v>
      </c>
      <c r="X1285">
        <v>14</v>
      </c>
    </row>
    <row r="1286" spans="1:24" ht="14.25" customHeight="1">
      <c r="A1286" t="s">
        <v>2034</v>
      </c>
      <c r="B1286" t="s">
        <v>2316</v>
      </c>
      <c r="C1286" s="6" t="str">
        <f t="shared" si="61"/>
        <v>January</v>
      </c>
      <c r="D1286" s="6" t="str">
        <f t="shared" si="62"/>
        <v>01</v>
      </c>
      <c r="E1286" t="s">
        <v>387</v>
      </c>
      <c r="F1286" t="s">
        <v>21</v>
      </c>
      <c r="G1286" t="s">
        <v>106</v>
      </c>
      <c r="H1286" s="4" t="s">
        <v>2259</v>
      </c>
      <c r="I1286">
        <v>853772</v>
      </c>
      <c r="J1286" s="8" t="s">
        <v>30</v>
      </c>
      <c r="K1286" t="s">
        <v>388</v>
      </c>
      <c r="L1286" t="s">
        <v>389</v>
      </c>
      <c r="M1286" t="s">
        <v>65</v>
      </c>
      <c r="N1286">
        <f t="shared" si="60"/>
        <v>6</v>
      </c>
      <c r="O1286">
        <v>3</v>
      </c>
      <c r="P1286" s="6">
        <v>161.19999999999999</v>
      </c>
      <c r="Q1286">
        <v>8.06</v>
      </c>
      <c r="R1286">
        <v>475.54</v>
      </c>
      <c r="S1286">
        <v>23.78</v>
      </c>
      <c r="T1286">
        <v>10</v>
      </c>
      <c r="U1286">
        <v>5</v>
      </c>
      <c r="V1286">
        <v>514.31999999999994</v>
      </c>
      <c r="W1286" t="s">
        <v>27</v>
      </c>
      <c r="X1286">
        <v>23</v>
      </c>
    </row>
    <row r="1287" spans="1:24" ht="14.25" customHeight="1">
      <c r="A1287" t="s">
        <v>2035</v>
      </c>
      <c r="B1287" t="s">
        <v>2304</v>
      </c>
      <c r="C1287" s="6" t="str">
        <f t="shared" si="61"/>
        <v>January</v>
      </c>
      <c r="D1287" s="6" t="str">
        <f t="shared" si="62"/>
        <v>26</v>
      </c>
      <c r="E1287" t="s">
        <v>391</v>
      </c>
      <c r="F1287" t="s">
        <v>21</v>
      </c>
      <c r="G1287" t="s">
        <v>106</v>
      </c>
      <c r="H1287" s="4" t="s">
        <v>2259</v>
      </c>
      <c r="I1287">
        <v>579673</v>
      </c>
      <c r="J1287" s="8" t="s">
        <v>30</v>
      </c>
      <c r="K1287" t="s">
        <v>392</v>
      </c>
      <c r="L1287" t="s">
        <v>393</v>
      </c>
      <c r="M1287" t="s">
        <v>77</v>
      </c>
      <c r="N1287">
        <f t="shared" si="60"/>
        <v>5</v>
      </c>
      <c r="O1287">
        <v>4</v>
      </c>
      <c r="P1287" s="6">
        <v>121.39</v>
      </c>
      <c r="Q1287">
        <v>0</v>
      </c>
      <c r="R1287">
        <v>485.56</v>
      </c>
      <c r="S1287">
        <v>24.28</v>
      </c>
      <c r="T1287">
        <v>30</v>
      </c>
      <c r="U1287">
        <v>0</v>
      </c>
      <c r="V1287">
        <v>539.84</v>
      </c>
      <c r="W1287" t="s">
        <v>84</v>
      </c>
      <c r="X1287">
        <v>25</v>
      </c>
    </row>
    <row r="1288" spans="1:24" ht="14.25" customHeight="1">
      <c r="A1288" t="s">
        <v>2036</v>
      </c>
      <c r="B1288" t="s">
        <v>2302</v>
      </c>
      <c r="C1288" s="6" t="str">
        <f t="shared" si="61"/>
        <v>January</v>
      </c>
      <c r="D1288" s="6" t="str">
        <f t="shared" si="62"/>
        <v>14</v>
      </c>
      <c r="E1288" t="s">
        <v>395</v>
      </c>
      <c r="F1288" t="s">
        <v>21</v>
      </c>
      <c r="G1288" t="s">
        <v>68</v>
      </c>
      <c r="H1288" s="4" t="s">
        <v>2259</v>
      </c>
      <c r="I1288">
        <v>332298</v>
      </c>
      <c r="J1288" s="8" t="s">
        <v>2348</v>
      </c>
      <c r="K1288" t="s">
        <v>396</v>
      </c>
      <c r="L1288" t="s">
        <v>397</v>
      </c>
      <c r="M1288" t="s">
        <v>130</v>
      </c>
      <c r="N1288">
        <f t="shared" si="60"/>
        <v>7</v>
      </c>
      <c r="O1288">
        <v>2</v>
      </c>
      <c r="P1288" s="6">
        <v>58.19</v>
      </c>
      <c r="Q1288">
        <v>2.91</v>
      </c>
      <c r="R1288">
        <v>113.47</v>
      </c>
      <c r="S1288">
        <v>5.67</v>
      </c>
      <c r="T1288">
        <v>30</v>
      </c>
      <c r="U1288">
        <v>0</v>
      </c>
      <c r="V1288">
        <v>149.13999999999999</v>
      </c>
      <c r="W1288" t="s">
        <v>27</v>
      </c>
      <c r="X1288">
        <v>12</v>
      </c>
    </row>
    <row r="1289" spans="1:24" ht="14.25" customHeight="1">
      <c r="A1289" t="s">
        <v>2037</v>
      </c>
      <c r="B1289" t="s">
        <v>2282</v>
      </c>
      <c r="C1289" s="6" t="str">
        <f t="shared" si="61"/>
        <v>February</v>
      </c>
      <c r="D1289" s="6" t="str">
        <f t="shared" si="62"/>
        <v>07</v>
      </c>
      <c r="E1289" t="s">
        <v>399</v>
      </c>
      <c r="F1289" t="s">
        <v>101</v>
      </c>
      <c r="G1289" t="s">
        <v>81</v>
      </c>
      <c r="H1289" s="4" t="s">
        <v>2259</v>
      </c>
      <c r="I1289">
        <v>795109</v>
      </c>
      <c r="J1289" s="8" t="s">
        <v>2348</v>
      </c>
      <c r="K1289" t="s">
        <v>400</v>
      </c>
      <c r="L1289" t="s">
        <v>401</v>
      </c>
      <c r="M1289" t="s">
        <v>140</v>
      </c>
      <c r="N1289">
        <f t="shared" si="60"/>
        <v>3</v>
      </c>
      <c r="O1289">
        <v>4</v>
      </c>
      <c r="P1289" s="6">
        <v>40.159999999999997</v>
      </c>
      <c r="Q1289">
        <v>2.0099999999999998</v>
      </c>
      <c r="R1289">
        <v>158.63</v>
      </c>
      <c r="S1289">
        <v>7.93</v>
      </c>
      <c r="T1289">
        <v>20</v>
      </c>
      <c r="U1289">
        <v>20</v>
      </c>
      <c r="V1289">
        <v>206.56</v>
      </c>
      <c r="W1289" t="s">
        <v>27</v>
      </c>
      <c r="X1289">
        <v>3</v>
      </c>
    </row>
    <row r="1290" spans="1:24" ht="14.25" customHeight="1">
      <c r="A1290" t="s">
        <v>2038</v>
      </c>
      <c r="B1290" t="s">
        <v>2297</v>
      </c>
      <c r="C1290" s="6" t="str">
        <f t="shared" si="61"/>
        <v>February</v>
      </c>
      <c r="D1290" s="6" t="str">
        <f t="shared" si="62"/>
        <v>06</v>
      </c>
      <c r="E1290" t="s">
        <v>403</v>
      </c>
      <c r="F1290" t="s">
        <v>21</v>
      </c>
      <c r="G1290" t="s">
        <v>74</v>
      </c>
      <c r="H1290" s="4" t="s">
        <v>2259</v>
      </c>
      <c r="I1290">
        <v>265640</v>
      </c>
      <c r="J1290" s="8" t="s">
        <v>2345</v>
      </c>
      <c r="K1290" t="s">
        <v>404</v>
      </c>
      <c r="L1290" t="s">
        <v>405</v>
      </c>
      <c r="M1290" t="s">
        <v>33</v>
      </c>
      <c r="N1290">
        <f t="shared" si="60"/>
        <v>10</v>
      </c>
      <c r="O1290">
        <v>5</v>
      </c>
      <c r="P1290" s="6">
        <v>31.41</v>
      </c>
      <c r="Q1290">
        <v>4.71</v>
      </c>
      <c r="R1290">
        <v>152.34</v>
      </c>
      <c r="S1290">
        <v>7.62</v>
      </c>
      <c r="T1290">
        <v>0</v>
      </c>
      <c r="U1290">
        <v>5</v>
      </c>
      <c r="V1290">
        <v>164.96</v>
      </c>
      <c r="W1290" t="s">
        <v>27</v>
      </c>
      <c r="X1290">
        <v>12</v>
      </c>
    </row>
    <row r="1291" spans="1:24" ht="14.25" customHeight="1">
      <c r="A1291" t="s">
        <v>2039</v>
      </c>
      <c r="B1291" t="s">
        <v>2272</v>
      </c>
      <c r="C1291" s="6" t="str">
        <f t="shared" si="61"/>
        <v>January</v>
      </c>
      <c r="D1291" s="6" t="str">
        <f t="shared" si="62"/>
        <v>11</v>
      </c>
      <c r="E1291" t="s">
        <v>407</v>
      </c>
      <c r="F1291" t="s">
        <v>21</v>
      </c>
      <c r="G1291" t="s">
        <v>37</v>
      </c>
      <c r="H1291" s="4" t="s">
        <v>2259</v>
      </c>
      <c r="I1291">
        <v>475903</v>
      </c>
      <c r="J1291" s="8" t="s">
        <v>2345</v>
      </c>
      <c r="K1291" t="s">
        <v>408</v>
      </c>
      <c r="L1291" t="s">
        <v>409</v>
      </c>
      <c r="M1291" t="s">
        <v>33</v>
      </c>
      <c r="N1291">
        <f t="shared" si="60"/>
        <v>10</v>
      </c>
      <c r="O1291">
        <v>1</v>
      </c>
      <c r="P1291" s="6">
        <v>6.43</v>
      </c>
      <c r="Q1291">
        <v>0.64</v>
      </c>
      <c r="R1291">
        <v>5.79</v>
      </c>
      <c r="S1291">
        <v>0.28999999999999998</v>
      </c>
      <c r="T1291">
        <v>0</v>
      </c>
      <c r="U1291">
        <v>20</v>
      </c>
      <c r="V1291">
        <v>26.08</v>
      </c>
      <c r="W1291" t="s">
        <v>34</v>
      </c>
      <c r="X1291">
        <v>25</v>
      </c>
    </row>
    <row r="1292" spans="1:24" ht="14.25" customHeight="1">
      <c r="A1292" t="s">
        <v>2040</v>
      </c>
      <c r="B1292" t="s">
        <v>2275</v>
      </c>
      <c r="C1292" s="6" t="str">
        <f t="shared" si="61"/>
        <v>February</v>
      </c>
      <c r="D1292" s="6" t="str">
        <f t="shared" si="62"/>
        <v>05</v>
      </c>
      <c r="E1292" t="s">
        <v>411</v>
      </c>
      <c r="F1292" t="s">
        <v>21</v>
      </c>
      <c r="G1292" t="s">
        <v>106</v>
      </c>
      <c r="H1292" s="4" t="s">
        <v>2259</v>
      </c>
      <c r="I1292">
        <v>287167</v>
      </c>
      <c r="J1292" s="8" t="s">
        <v>30</v>
      </c>
      <c r="K1292" t="s">
        <v>412</v>
      </c>
      <c r="L1292" t="s">
        <v>413</v>
      </c>
      <c r="M1292" t="s">
        <v>33</v>
      </c>
      <c r="N1292">
        <f t="shared" si="60"/>
        <v>10</v>
      </c>
      <c r="O1292">
        <v>3</v>
      </c>
      <c r="P1292" s="6">
        <v>138.33000000000001</v>
      </c>
      <c r="Q1292">
        <v>0</v>
      </c>
      <c r="R1292">
        <v>414.99</v>
      </c>
      <c r="S1292">
        <v>20.75</v>
      </c>
      <c r="T1292">
        <v>20</v>
      </c>
      <c r="U1292">
        <v>15</v>
      </c>
      <c r="V1292">
        <v>470.74</v>
      </c>
      <c r="W1292" t="s">
        <v>27</v>
      </c>
      <c r="X1292">
        <v>12</v>
      </c>
    </row>
    <row r="1293" spans="1:24" ht="14.25" customHeight="1">
      <c r="A1293" t="s">
        <v>2041</v>
      </c>
      <c r="B1293" t="s">
        <v>2318</v>
      </c>
      <c r="C1293" s="6" t="str">
        <f t="shared" si="61"/>
        <v>January</v>
      </c>
      <c r="D1293" s="6" t="str">
        <f t="shared" si="62"/>
        <v>13</v>
      </c>
      <c r="E1293" t="s">
        <v>415</v>
      </c>
      <c r="F1293" t="s">
        <v>21</v>
      </c>
      <c r="G1293" t="s">
        <v>74</v>
      </c>
      <c r="H1293" s="4" t="s">
        <v>2259</v>
      </c>
      <c r="I1293">
        <v>143988</v>
      </c>
      <c r="J1293" s="8" t="s">
        <v>2346</v>
      </c>
      <c r="K1293" t="s">
        <v>416</v>
      </c>
      <c r="L1293" t="s">
        <v>417</v>
      </c>
      <c r="M1293" t="s">
        <v>89</v>
      </c>
      <c r="N1293">
        <f t="shared" ref="N1293:N1356" si="63">LEN(M1293)</f>
        <v>7</v>
      </c>
      <c r="O1293">
        <v>1</v>
      </c>
      <c r="P1293" s="6">
        <v>120.38</v>
      </c>
      <c r="Q1293">
        <v>6.02</v>
      </c>
      <c r="R1293">
        <v>114.36</v>
      </c>
      <c r="S1293">
        <v>5.72</v>
      </c>
      <c r="T1293">
        <v>30</v>
      </c>
      <c r="U1293">
        <v>0</v>
      </c>
      <c r="V1293">
        <v>150.08000000000001</v>
      </c>
      <c r="W1293" t="s">
        <v>27</v>
      </c>
      <c r="X1293">
        <v>12</v>
      </c>
    </row>
    <row r="1294" spans="1:24" ht="14.25" customHeight="1">
      <c r="A1294" t="s">
        <v>2042</v>
      </c>
      <c r="B1294" t="s">
        <v>2266</v>
      </c>
      <c r="C1294" s="6" t="str">
        <f t="shared" si="61"/>
        <v>February</v>
      </c>
      <c r="D1294" s="6" t="str">
        <f t="shared" si="62"/>
        <v>12</v>
      </c>
      <c r="E1294" t="s">
        <v>419</v>
      </c>
      <c r="F1294" t="s">
        <v>21</v>
      </c>
      <c r="G1294" t="s">
        <v>106</v>
      </c>
      <c r="H1294" s="4" t="s">
        <v>2259</v>
      </c>
      <c r="I1294">
        <v>618728</v>
      </c>
      <c r="J1294" s="8" t="s">
        <v>30</v>
      </c>
      <c r="K1294" t="s">
        <v>420</v>
      </c>
      <c r="L1294" t="s">
        <v>421</v>
      </c>
      <c r="M1294" t="s">
        <v>45</v>
      </c>
      <c r="N1294">
        <f t="shared" si="63"/>
        <v>6</v>
      </c>
      <c r="O1294">
        <v>1</v>
      </c>
      <c r="P1294" s="6">
        <v>39.950000000000003</v>
      </c>
      <c r="Q1294">
        <v>5.99</v>
      </c>
      <c r="R1294">
        <v>33.96</v>
      </c>
      <c r="S1294">
        <v>1.7</v>
      </c>
      <c r="T1294">
        <v>0</v>
      </c>
      <c r="U1294">
        <v>15</v>
      </c>
      <c r="V1294">
        <v>50.66</v>
      </c>
      <c r="W1294" t="s">
        <v>27</v>
      </c>
      <c r="X1294">
        <v>22</v>
      </c>
    </row>
    <row r="1295" spans="1:24" ht="14.25" customHeight="1">
      <c r="A1295" t="s">
        <v>2043</v>
      </c>
      <c r="B1295" t="s">
        <v>2277</v>
      </c>
      <c r="C1295" s="6" t="str">
        <f t="shared" si="61"/>
        <v>January</v>
      </c>
      <c r="D1295" s="6" t="str">
        <f t="shared" si="62"/>
        <v>03</v>
      </c>
      <c r="E1295" t="s">
        <v>423</v>
      </c>
      <c r="F1295" t="s">
        <v>21</v>
      </c>
      <c r="G1295" t="s">
        <v>74</v>
      </c>
      <c r="H1295" s="4" t="s">
        <v>2259</v>
      </c>
      <c r="I1295">
        <v>269169</v>
      </c>
      <c r="J1295" s="8" t="s">
        <v>2349</v>
      </c>
      <c r="K1295" t="s">
        <v>424</v>
      </c>
      <c r="L1295" t="s">
        <v>425</v>
      </c>
      <c r="M1295" t="s">
        <v>26</v>
      </c>
      <c r="N1295">
        <f t="shared" si="63"/>
        <v>3</v>
      </c>
      <c r="O1295">
        <v>1</v>
      </c>
      <c r="P1295" s="6">
        <v>172.57</v>
      </c>
      <c r="Q1295">
        <v>8.6300000000000008</v>
      </c>
      <c r="R1295">
        <v>163.94</v>
      </c>
      <c r="S1295">
        <v>8.1999999999999993</v>
      </c>
      <c r="T1295">
        <v>20</v>
      </c>
      <c r="U1295">
        <v>20</v>
      </c>
      <c r="V1295">
        <v>212.14</v>
      </c>
      <c r="W1295" t="s">
        <v>27</v>
      </c>
      <c r="X1295">
        <v>36</v>
      </c>
    </row>
    <row r="1296" spans="1:24" ht="14.25" customHeight="1">
      <c r="A1296" t="s">
        <v>2044</v>
      </c>
      <c r="B1296" t="s">
        <v>2284</v>
      </c>
      <c r="C1296" s="6" t="str">
        <f t="shared" si="61"/>
        <v>February</v>
      </c>
      <c r="D1296" s="6" t="str">
        <f t="shared" si="62"/>
        <v>02</v>
      </c>
      <c r="E1296" t="s">
        <v>427</v>
      </c>
      <c r="F1296" t="s">
        <v>21</v>
      </c>
      <c r="G1296" t="s">
        <v>74</v>
      </c>
      <c r="H1296" s="4" t="s">
        <v>2259</v>
      </c>
      <c r="I1296">
        <v>955738</v>
      </c>
      <c r="J1296" s="8" t="s">
        <v>2349</v>
      </c>
      <c r="K1296" t="s">
        <v>428</v>
      </c>
      <c r="L1296" t="s">
        <v>429</v>
      </c>
      <c r="M1296" t="s">
        <v>130</v>
      </c>
      <c r="N1296">
        <f t="shared" si="63"/>
        <v>7</v>
      </c>
      <c r="O1296">
        <v>3</v>
      </c>
      <c r="P1296" s="6">
        <v>61.21</v>
      </c>
      <c r="Q1296">
        <v>6.12</v>
      </c>
      <c r="R1296">
        <v>177.51</v>
      </c>
      <c r="S1296">
        <v>8.8800000000000008</v>
      </c>
      <c r="T1296">
        <v>30</v>
      </c>
      <c r="U1296">
        <v>5</v>
      </c>
      <c r="V1296">
        <v>221.39</v>
      </c>
      <c r="W1296" t="s">
        <v>27</v>
      </c>
      <c r="X1296">
        <v>21</v>
      </c>
    </row>
    <row r="1297" spans="1:24" ht="14.25" customHeight="1">
      <c r="A1297" t="s">
        <v>2045</v>
      </c>
      <c r="B1297" t="s">
        <v>2308</v>
      </c>
      <c r="C1297" s="6" t="str">
        <f t="shared" si="61"/>
        <v>January</v>
      </c>
      <c r="D1297" s="6" t="str">
        <f t="shared" si="62"/>
        <v>06</v>
      </c>
      <c r="E1297" t="s">
        <v>431</v>
      </c>
      <c r="F1297" t="s">
        <v>80</v>
      </c>
      <c r="G1297" t="s">
        <v>81</v>
      </c>
      <c r="H1297" s="4" t="s">
        <v>2259</v>
      </c>
      <c r="I1297">
        <v>859036</v>
      </c>
      <c r="J1297" s="8" t="s">
        <v>2347</v>
      </c>
      <c r="K1297" t="s">
        <v>432</v>
      </c>
      <c r="L1297" t="s">
        <v>433</v>
      </c>
      <c r="M1297" t="s">
        <v>55</v>
      </c>
      <c r="N1297">
        <f t="shared" si="63"/>
        <v>5</v>
      </c>
      <c r="O1297">
        <v>4</v>
      </c>
      <c r="P1297" s="6">
        <v>114.54</v>
      </c>
      <c r="Q1297">
        <v>11.45</v>
      </c>
      <c r="R1297">
        <v>446.71</v>
      </c>
      <c r="S1297">
        <v>22.34</v>
      </c>
      <c r="T1297">
        <v>10</v>
      </c>
      <c r="U1297">
        <v>0</v>
      </c>
      <c r="V1297">
        <v>479.05</v>
      </c>
      <c r="W1297" t="s">
        <v>117</v>
      </c>
      <c r="X1297">
        <v>25</v>
      </c>
    </row>
    <row r="1298" spans="1:24" ht="14.25" customHeight="1">
      <c r="A1298" t="s">
        <v>2046</v>
      </c>
      <c r="B1298" t="s">
        <v>2303</v>
      </c>
      <c r="C1298" s="6" t="str">
        <f t="shared" si="61"/>
        <v>February</v>
      </c>
      <c r="D1298" s="6" t="str">
        <f t="shared" si="62"/>
        <v>19</v>
      </c>
      <c r="E1298" t="s">
        <v>435</v>
      </c>
      <c r="F1298" t="s">
        <v>21</v>
      </c>
      <c r="G1298" t="s">
        <v>74</v>
      </c>
      <c r="H1298" s="4" t="s">
        <v>2259</v>
      </c>
      <c r="I1298">
        <v>624436</v>
      </c>
      <c r="J1298" s="8" t="s">
        <v>30</v>
      </c>
      <c r="K1298" t="s">
        <v>436</v>
      </c>
      <c r="L1298" t="s">
        <v>437</v>
      </c>
      <c r="M1298" t="s">
        <v>22</v>
      </c>
      <c r="N1298">
        <f t="shared" si="63"/>
        <v>6</v>
      </c>
      <c r="O1298">
        <v>2</v>
      </c>
      <c r="P1298" s="6">
        <v>24.37</v>
      </c>
      <c r="Q1298">
        <v>0</v>
      </c>
      <c r="R1298">
        <v>48.74</v>
      </c>
      <c r="S1298">
        <v>2.44</v>
      </c>
      <c r="T1298">
        <v>20</v>
      </c>
      <c r="U1298">
        <v>5</v>
      </c>
      <c r="V1298">
        <v>76.180000000000007</v>
      </c>
      <c r="W1298" t="s">
        <v>27</v>
      </c>
      <c r="X1298">
        <v>26</v>
      </c>
    </row>
    <row r="1299" spans="1:24" ht="14.25" customHeight="1">
      <c r="A1299" t="s">
        <v>2047</v>
      </c>
      <c r="B1299" t="s">
        <v>2320</v>
      </c>
      <c r="C1299" s="6" t="str">
        <f t="shared" si="61"/>
        <v>February</v>
      </c>
      <c r="D1299" s="6" t="str">
        <f t="shared" si="62"/>
        <v>25</v>
      </c>
      <c r="E1299" t="s">
        <v>439</v>
      </c>
      <c r="F1299" t="s">
        <v>21</v>
      </c>
      <c r="G1299" t="s">
        <v>37</v>
      </c>
      <c r="H1299" s="4" t="s">
        <v>2259</v>
      </c>
      <c r="I1299">
        <v>292593</v>
      </c>
      <c r="J1299" s="8" t="s">
        <v>2348</v>
      </c>
      <c r="K1299" t="s">
        <v>440</v>
      </c>
      <c r="L1299" t="s">
        <v>441</v>
      </c>
      <c r="M1299" t="s">
        <v>65</v>
      </c>
      <c r="N1299">
        <f t="shared" si="63"/>
        <v>6</v>
      </c>
      <c r="O1299">
        <v>5</v>
      </c>
      <c r="P1299" s="6">
        <v>78.84</v>
      </c>
      <c r="Q1299">
        <v>11.83</v>
      </c>
      <c r="R1299">
        <v>382.37000000000012</v>
      </c>
      <c r="S1299">
        <v>19.12</v>
      </c>
      <c r="T1299">
        <v>10</v>
      </c>
      <c r="U1299">
        <v>5</v>
      </c>
      <c r="V1299">
        <v>416.49000000000012</v>
      </c>
      <c r="W1299" t="s">
        <v>27</v>
      </c>
      <c r="X1299">
        <v>18</v>
      </c>
    </row>
    <row r="1300" spans="1:24" ht="14.25" customHeight="1">
      <c r="A1300" t="s">
        <v>2048</v>
      </c>
      <c r="B1300" t="s">
        <v>2311</v>
      </c>
      <c r="C1300" s="6" t="str">
        <f t="shared" si="61"/>
        <v>January</v>
      </c>
      <c r="D1300" s="6" t="str">
        <f t="shared" si="62"/>
        <v>10</v>
      </c>
      <c r="E1300" t="s">
        <v>443</v>
      </c>
      <c r="F1300" t="s">
        <v>101</v>
      </c>
      <c r="G1300" t="s">
        <v>81</v>
      </c>
      <c r="H1300" s="4" t="s">
        <v>2259</v>
      </c>
      <c r="I1300">
        <v>109795</v>
      </c>
      <c r="J1300" s="8" t="s">
        <v>62</v>
      </c>
      <c r="K1300" t="s">
        <v>444</v>
      </c>
      <c r="L1300" t="s">
        <v>445</v>
      </c>
      <c r="M1300" t="s">
        <v>98</v>
      </c>
      <c r="N1300">
        <f t="shared" si="63"/>
        <v>4</v>
      </c>
      <c r="O1300">
        <v>4</v>
      </c>
      <c r="P1300" s="6">
        <v>165.63</v>
      </c>
      <c r="Q1300">
        <v>8.2799999999999994</v>
      </c>
      <c r="R1300">
        <v>654.24</v>
      </c>
      <c r="S1300">
        <v>32.71</v>
      </c>
      <c r="T1300">
        <v>0</v>
      </c>
      <c r="U1300">
        <v>0</v>
      </c>
      <c r="V1300">
        <v>686.95</v>
      </c>
      <c r="W1300" t="s">
        <v>34</v>
      </c>
      <c r="X1300">
        <v>25</v>
      </c>
    </row>
    <row r="1301" spans="1:24" ht="14.25" customHeight="1">
      <c r="A1301" t="s">
        <v>2049</v>
      </c>
      <c r="B1301" t="s">
        <v>2317</v>
      </c>
      <c r="C1301" s="6" t="str">
        <f t="shared" si="61"/>
        <v>January</v>
      </c>
      <c r="D1301" s="6" t="str">
        <f t="shared" si="62"/>
        <v>05</v>
      </c>
      <c r="E1301" t="s">
        <v>447</v>
      </c>
      <c r="F1301" t="s">
        <v>101</v>
      </c>
      <c r="G1301" t="s">
        <v>81</v>
      </c>
      <c r="H1301" s="4" t="s">
        <v>2259</v>
      </c>
      <c r="I1301">
        <v>653669</v>
      </c>
      <c r="J1301" s="8" t="s">
        <v>2345</v>
      </c>
      <c r="K1301" t="s">
        <v>448</v>
      </c>
      <c r="L1301" t="s">
        <v>449</v>
      </c>
      <c r="M1301" t="s">
        <v>45</v>
      </c>
      <c r="N1301">
        <f t="shared" si="63"/>
        <v>6</v>
      </c>
      <c r="O1301">
        <v>4</v>
      </c>
      <c r="P1301" s="6">
        <v>81.64</v>
      </c>
      <c r="Q1301">
        <v>8.16</v>
      </c>
      <c r="R1301">
        <v>318.39999999999998</v>
      </c>
      <c r="S1301">
        <v>15.92</v>
      </c>
      <c r="T1301">
        <v>20</v>
      </c>
      <c r="U1301">
        <v>20</v>
      </c>
      <c r="V1301">
        <v>374.32</v>
      </c>
      <c r="W1301" t="s">
        <v>117</v>
      </c>
      <c r="X1301">
        <v>25</v>
      </c>
    </row>
    <row r="1302" spans="1:24" ht="14.25" customHeight="1">
      <c r="A1302" t="s">
        <v>2050</v>
      </c>
      <c r="B1302" t="s">
        <v>2271</v>
      </c>
      <c r="C1302" s="6" t="str">
        <f t="shared" si="61"/>
        <v>January</v>
      </c>
      <c r="D1302" s="6" t="str">
        <f t="shared" si="62"/>
        <v>23</v>
      </c>
      <c r="E1302" t="s">
        <v>451</v>
      </c>
      <c r="F1302" t="s">
        <v>80</v>
      </c>
      <c r="G1302" t="s">
        <v>81</v>
      </c>
      <c r="H1302" s="4" t="s">
        <v>2259</v>
      </c>
      <c r="I1302">
        <v>959375</v>
      </c>
      <c r="J1302" s="8" t="s">
        <v>30</v>
      </c>
      <c r="K1302" t="s">
        <v>452</v>
      </c>
      <c r="L1302" t="s">
        <v>453</v>
      </c>
      <c r="M1302" t="s">
        <v>65</v>
      </c>
      <c r="N1302">
        <f t="shared" si="63"/>
        <v>6</v>
      </c>
      <c r="O1302">
        <v>1</v>
      </c>
      <c r="P1302" s="6">
        <v>211.39</v>
      </c>
      <c r="Q1302">
        <v>0</v>
      </c>
      <c r="R1302">
        <v>211.39</v>
      </c>
      <c r="S1302">
        <v>10.57</v>
      </c>
      <c r="T1302">
        <v>0</v>
      </c>
      <c r="U1302">
        <v>20</v>
      </c>
      <c r="V1302">
        <v>241.96</v>
      </c>
      <c r="W1302" t="s">
        <v>34</v>
      </c>
      <c r="X1302">
        <v>25</v>
      </c>
    </row>
    <row r="1303" spans="1:24" ht="14.25" customHeight="1">
      <c r="A1303" t="s">
        <v>2051</v>
      </c>
      <c r="B1303" t="s">
        <v>2311</v>
      </c>
      <c r="C1303" s="6" t="str">
        <f t="shared" si="61"/>
        <v>January</v>
      </c>
      <c r="D1303" s="6" t="str">
        <f t="shared" si="62"/>
        <v>10</v>
      </c>
      <c r="E1303" t="s">
        <v>455</v>
      </c>
      <c r="F1303" t="s">
        <v>21</v>
      </c>
      <c r="G1303" t="s">
        <v>22</v>
      </c>
      <c r="H1303" s="4" t="s">
        <v>2259</v>
      </c>
      <c r="I1303">
        <v>934212</v>
      </c>
      <c r="J1303" s="8" t="s">
        <v>30</v>
      </c>
      <c r="K1303" t="s">
        <v>456</v>
      </c>
      <c r="L1303" t="s">
        <v>457</v>
      </c>
      <c r="M1303" t="s">
        <v>50</v>
      </c>
      <c r="N1303">
        <f t="shared" si="63"/>
        <v>5</v>
      </c>
      <c r="O1303">
        <v>3</v>
      </c>
      <c r="P1303" s="6">
        <v>165.99</v>
      </c>
      <c r="Q1303">
        <v>0</v>
      </c>
      <c r="R1303">
        <v>497.97</v>
      </c>
      <c r="S1303">
        <v>24.9</v>
      </c>
      <c r="T1303">
        <v>10</v>
      </c>
      <c r="U1303">
        <v>20</v>
      </c>
      <c r="V1303">
        <v>552.87</v>
      </c>
      <c r="W1303" t="s">
        <v>27</v>
      </c>
      <c r="X1303">
        <v>27</v>
      </c>
    </row>
    <row r="1304" spans="1:24" ht="14.25" customHeight="1">
      <c r="A1304" t="s">
        <v>2052</v>
      </c>
      <c r="B1304" t="s">
        <v>2280</v>
      </c>
      <c r="C1304" s="6" t="str">
        <f t="shared" si="61"/>
        <v>February</v>
      </c>
      <c r="D1304" s="6" t="str">
        <f t="shared" si="62"/>
        <v>13</v>
      </c>
      <c r="E1304" t="s">
        <v>459</v>
      </c>
      <c r="F1304" t="s">
        <v>21</v>
      </c>
      <c r="G1304" t="s">
        <v>68</v>
      </c>
      <c r="H1304" s="4" t="s">
        <v>2259</v>
      </c>
      <c r="I1304">
        <v>742216</v>
      </c>
      <c r="J1304" s="8" t="s">
        <v>2349</v>
      </c>
      <c r="K1304" t="s">
        <v>460</v>
      </c>
      <c r="L1304" t="s">
        <v>461</v>
      </c>
      <c r="M1304" t="s">
        <v>45</v>
      </c>
      <c r="N1304">
        <f t="shared" si="63"/>
        <v>6</v>
      </c>
      <c r="O1304">
        <v>3</v>
      </c>
      <c r="P1304" s="6">
        <v>139.19999999999999</v>
      </c>
      <c r="Q1304">
        <v>6.96</v>
      </c>
      <c r="R1304">
        <v>410.64</v>
      </c>
      <c r="S1304">
        <v>20.53</v>
      </c>
      <c r="T1304">
        <v>20</v>
      </c>
      <c r="U1304">
        <v>10</v>
      </c>
      <c r="V1304">
        <v>461.17</v>
      </c>
      <c r="W1304" t="s">
        <v>84</v>
      </c>
      <c r="X1304">
        <v>25</v>
      </c>
    </row>
    <row r="1305" spans="1:24" ht="14.25" customHeight="1">
      <c r="A1305" t="s">
        <v>2053</v>
      </c>
      <c r="B1305" t="s">
        <v>2279</v>
      </c>
      <c r="C1305" s="6" t="str">
        <f t="shared" si="61"/>
        <v>January</v>
      </c>
      <c r="D1305" s="6" t="str">
        <f t="shared" si="62"/>
        <v>02</v>
      </c>
      <c r="E1305" t="s">
        <v>463</v>
      </c>
      <c r="F1305" t="s">
        <v>21</v>
      </c>
      <c r="G1305" t="s">
        <v>74</v>
      </c>
      <c r="H1305" s="4" t="s">
        <v>2259</v>
      </c>
      <c r="I1305">
        <v>711526</v>
      </c>
      <c r="J1305" s="8" t="s">
        <v>2349</v>
      </c>
      <c r="K1305" t="s">
        <v>464</v>
      </c>
      <c r="L1305" t="s">
        <v>465</v>
      </c>
      <c r="M1305" t="s">
        <v>71</v>
      </c>
      <c r="N1305">
        <f t="shared" si="63"/>
        <v>6</v>
      </c>
      <c r="O1305">
        <v>1</v>
      </c>
      <c r="P1305" s="6">
        <v>113.91</v>
      </c>
      <c r="Q1305">
        <v>5.7</v>
      </c>
      <c r="R1305">
        <v>108.21</v>
      </c>
      <c r="S1305">
        <v>5.41</v>
      </c>
      <c r="T1305">
        <v>0</v>
      </c>
      <c r="U1305">
        <v>0</v>
      </c>
      <c r="V1305">
        <v>113.62</v>
      </c>
      <c r="W1305" t="s">
        <v>27</v>
      </c>
      <c r="X1305">
        <v>20</v>
      </c>
    </row>
    <row r="1306" spans="1:24" ht="14.25" customHeight="1">
      <c r="A1306" t="s">
        <v>2054</v>
      </c>
      <c r="B1306" t="s">
        <v>2318</v>
      </c>
      <c r="C1306" s="6" t="str">
        <f t="shared" si="61"/>
        <v>January</v>
      </c>
      <c r="D1306" s="6" t="str">
        <f t="shared" si="62"/>
        <v>13</v>
      </c>
      <c r="E1306" t="s">
        <v>467</v>
      </c>
      <c r="F1306" t="s">
        <v>21</v>
      </c>
      <c r="G1306" t="s">
        <v>106</v>
      </c>
      <c r="H1306" s="4" t="s">
        <v>2259</v>
      </c>
      <c r="I1306">
        <v>615631</v>
      </c>
      <c r="J1306" s="8" t="s">
        <v>2347</v>
      </c>
      <c r="K1306" t="s">
        <v>468</v>
      </c>
      <c r="L1306" t="s">
        <v>469</v>
      </c>
      <c r="M1306" t="s">
        <v>140</v>
      </c>
      <c r="N1306">
        <f t="shared" si="63"/>
        <v>3</v>
      </c>
      <c r="O1306">
        <v>4</v>
      </c>
      <c r="P1306" s="6">
        <v>203.97</v>
      </c>
      <c r="Q1306">
        <v>10.199999999999999</v>
      </c>
      <c r="R1306">
        <v>805.68</v>
      </c>
      <c r="S1306">
        <v>40.28</v>
      </c>
      <c r="T1306">
        <v>0</v>
      </c>
      <c r="U1306">
        <v>10</v>
      </c>
      <c r="V1306">
        <v>855.95999999999992</v>
      </c>
      <c r="W1306" t="s">
        <v>27</v>
      </c>
      <c r="X1306">
        <v>26</v>
      </c>
    </row>
    <row r="1307" spans="1:24" ht="14.25" customHeight="1">
      <c r="A1307" t="s">
        <v>2055</v>
      </c>
      <c r="B1307" t="s">
        <v>2276</v>
      </c>
      <c r="C1307" s="6" t="str">
        <f t="shared" si="61"/>
        <v>February</v>
      </c>
      <c r="D1307" s="6" t="str">
        <f t="shared" si="62"/>
        <v>09</v>
      </c>
      <c r="E1307" t="s">
        <v>471</v>
      </c>
      <c r="F1307" t="s">
        <v>21</v>
      </c>
      <c r="G1307" t="s">
        <v>37</v>
      </c>
      <c r="H1307" s="4" t="s">
        <v>2259</v>
      </c>
      <c r="I1307">
        <v>541144</v>
      </c>
      <c r="J1307" s="8" t="s">
        <v>2347</v>
      </c>
      <c r="K1307" t="s">
        <v>472</v>
      </c>
      <c r="L1307" t="s">
        <v>473</v>
      </c>
      <c r="M1307" t="s">
        <v>89</v>
      </c>
      <c r="N1307">
        <f t="shared" si="63"/>
        <v>7</v>
      </c>
      <c r="O1307">
        <v>7</v>
      </c>
      <c r="P1307" s="6">
        <v>82.95</v>
      </c>
      <c r="Q1307">
        <v>0</v>
      </c>
      <c r="R1307">
        <v>580.65</v>
      </c>
      <c r="S1307">
        <v>29.03</v>
      </c>
      <c r="T1307">
        <v>20</v>
      </c>
      <c r="U1307">
        <v>5</v>
      </c>
      <c r="V1307">
        <v>634.67999999999995</v>
      </c>
      <c r="W1307" t="s">
        <v>27</v>
      </c>
      <c r="X1307">
        <v>24</v>
      </c>
    </row>
    <row r="1308" spans="1:24" ht="14.25" customHeight="1">
      <c r="A1308" t="s">
        <v>2056</v>
      </c>
      <c r="B1308" t="s">
        <v>2279</v>
      </c>
      <c r="C1308" s="6" t="str">
        <f t="shared" si="61"/>
        <v>January</v>
      </c>
      <c r="D1308" s="6" t="str">
        <f t="shared" si="62"/>
        <v>02</v>
      </c>
      <c r="E1308" t="s">
        <v>475</v>
      </c>
      <c r="F1308" t="s">
        <v>21</v>
      </c>
      <c r="G1308" t="s">
        <v>68</v>
      </c>
      <c r="H1308" s="4" t="s">
        <v>2259</v>
      </c>
      <c r="I1308">
        <v>381941</v>
      </c>
      <c r="J1308" s="8" t="s">
        <v>30</v>
      </c>
      <c r="K1308" t="s">
        <v>476</v>
      </c>
      <c r="L1308" t="s">
        <v>477</v>
      </c>
      <c r="M1308" t="s">
        <v>140</v>
      </c>
      <c r="N1308">
        <f t="shared" si="63"/>
        <v>3</v>
      </c>
      <c r="O1308">
        <v>5</v>
      </c>
      <c r="P1308" s="6">
        <v>82.4</v>
      </c>
      <c r="Q1308">
        <v>0</v>
      </c>
      <c r="R1308">
        <v>412</v>
      </c>
      <c r="S1308">
        <v>20.6</v>
      </c>
      <c r="T1308">
        <v>0</v>
      </c>
      <c r="U1308">
        <v>0</v>
      </c>
      <c r="V1308">
        <v>432.6</v>
      </c>
      <c r="W1308" t="s">
        <v>27</v>
      </c>
      <c r="X1308">
        <v>27</v>
      </c>
    </row>
    <row r="1309" spans="1:24" ht="14.25" customHeight="1">
      <c r="A1309" t="s">
        <v>2057</v>
      </c>
      <c r="B1309" t="s">
        <v>2305</v>
      </c>
      <c r="C1309" s="6" t="str">
        <f t="shared" si="61"/>
        <v>January</v>
      </c>
      <c r="D1309" s="6" t="str">
        <f t="shared" si="62"/>
        <v>20</v>
      </c>
      <c r="E1309" t="s">
        <v>479</v>
      </c>
      <c r="F1309" t="s">
        <v>21</v>
      </c>
      <c r="G1309" t="s">
        <v>106</v>
      </c>
      <c r="H1309" s="4" t="s">
        <v>2259</v>
      </c>
      <c r="I1309">
        <v>763299</v>
      </c>
      <c r="J1309" s="8" t="s">
        <v>30</v>
      </c>
      <c r="K1309" t="s">
        <v>480</v>
      </c>
      <c r="L1309" t="s">
        <v>481</v>
      </c>
      <c r="M1309" t="s">
        <v>98</v>
      </c>
      <c r="N1309">
        <f t="shared" si="63"/>
        <v>4</v>
      </c>
      <c r="O1309">
        <v>3</v>
      </c>
      <c r="P1309" s="6">
        <v>158.96</v>
      </c>
      <c r="Q1309">
        <v>15.9</v>
      </c>
      <c r="R1309">
        <v>460.98</v>
      </c>
      <c r="S1309">
        <v>23.05</v>
      </c>
      <c r="T1309">
        <v>10</v>
      </c>
      <c r="U1309">
        <v>15</v>
      </c>
      <c r="V1309">
        <v>509.03</v>
      </c>
      <c r="W1309" t="s">
        <v>27</v>
      </c>
      <c r="X1309">
        <v>21</v>
      </c>
    </row>
    <row r="1310" spans="1:24" ht="14.25" customHeight="1">
      <c r="A1310" t="s">
        <v>2058</v>
      </c>
      <c r="B1310" t="s">
        <v>2316</v>
      </c>
      <c r="C1310" s="6" t="str">
        <f t="shared" si="61"/>
        <v>January</v>
      </c>
      <c r="D1310" s="6" t="str">
        <f t="shared" si="62"/>
        <v>01</v>
      </c>
      <c r="E1310" t="s">
        <v>483</v>
      </c>
      <c r="F1310" t="s">
        <v>21</v>
      </c>
      <c r="G1310" t="s">
        <v>106</v>
      </c>
      <c r="H1310" s="4" t="s">
        <v>2259</v>
      </c>
      <c r="I1310">
        <v>241519</v>
      </c>
      <c r="J1310" s="8" t="s">
        <v>62</v>
      </c>
      <c r="K1310" t="s">
        <v>484</v>
      </c>
      <c r="L1310" t="s">
        <v>485</v>
      </c>
      <c r="M1310" t="s">
        <v>45</v>
      </c>
      <c r="N1310">
        <f t="shared" si="63"/>
        <v>6</v>
      </c>
      <c r="O1310">
        <v>1</v>
      </c>
      <c r="P1310" s="6">
        <v>165.27</v>
      </c>
      <c r="Q1310">
        <v>0</v>
      </c>
      <c r="R1310">
        <v>165.27</v>
      </c>
      <c r="S1310">
        <v>8.26</v>
      </c>
      <c r="T1310">
        <v>20</v>
      </c>
      <c r="U1310">
        <v>20</v>
      </c>
      <c r="V1310">
        <v>213.53</v>
      </c>
      <c r="W1310" t="s">
        <v>27</v>
      </c>
      <c r="X1310">
        <v>23</v>
      </c>
    </row>
    <row r="1311" spans="1:24" ht="14.25" customHeight="1">
      <c r="A1311" t="s">
        <v>2059</v>
      </c>
      <c r="B1311" t="s">
        <v>2297</v>
      </c>
      <c r="C1311" s="6" t="str">
        <f t="shared" si="61"/>
        <v>February</v>
      </c>
      <c r="D1311" s="6" t="str">
        <f t="shared" si="62"/>
        <v>06</v>
      </c>
      <c r="E1311" t="s">
        <v>487</v>
      </c>
      <c r="F1311" t="s">
        <v>80</v>
      </c>
      <c r="G1311" t="s">
        <v>81</v>
      </c>
      <c r="H1311" s="4" t="s">
        <v>2259</v>
      </c>
      <c r="I1311">
        <v>738902</v>
      </c>
      <c r="J1311" s="8" t="s">
        <v>62</v>
      </c>
      <c r="K1311" t="s">
        <v>488</v>
      </c>
      <c r="L1311" t="s">
        <v>489</v>
      </c>
      <c r="M1311" t="s">
        <v>77</v>
      </c>
      <c r="N1311">
        <f t="shared" si="63"/>
        <v>5</v>
      </c>
      <c r="O1311">
        <v>2</v>
      </c>
      <c r="P1311" s="6">
        <v>138.03</v>
      </c>
      <c r="Q1311">
        <v>0</v>
      </c>
      <c r="R1311">
        <v>276.06</v>
      </c>
      <c r="S1311">
        <v>13.8</v>
      </c>
      <c r="T1311">
        <v>20</v>
      </c>
      <c r="U1311">
        <v>5</v>
      </c>
      <c r="V1311">
        <v>314.86</v>
      </c>
      <c r="W1311" t="s">
        <v>84</v>
      </c>
      <c r="X1311">
        <v>25</v>
      </c>
    </row>
    <row r="1312" spans="1:24" ht="14.25" customHeight="1">
      <c r="A1312" t="s">
        <v>2060</v>
      </c>
      <c r="B1312" t="s">
        <v>2299</v>
      </c>
      <c r="C1312" s="6" t="str">
        <f t="shared" si="61"/>
        <v>January</v>
      </c>
      <c r="D1312" s="6" t="str">
        <f t="shared" si="62"/>
        <v>09</v>
      </c>
      <c r="E1312" t="s">
        <v>491</v>
      </c>
      <c r="F1312" t="s">
        <v>21</v>
      </c>
      <c r="G1312" t="s">
        <v>22</v>
      </c>
      <c r="H1312" s="4" t="s">
        <v>2259</v>
      </c>
      <c r="I1312">
        <v>494775</v>
      </c>
      <c r="J1312" s="8" t="s">
        <v>30</v>
      </c>
      <c r="K1312" t="s">
        <v>492</v>
      </c>
      <c r="L1312" t="s">
        <v>493</v>
      </c>
      <c r="M1312" t="s">
        <v>50</v>
      </c>
      <c r="N1312">
        <f t="shared" si="63"/>
        <v>5</v>
      </c>
      <c r="O1312">
        <v>4</v>
      </c>
      <c r="P1312" s="6">
        <v>67.209999999999994</v>
      </c>
      <c r="Q1312">
        <v>3.36</v>
      </c>
      <c r="R1312">
        <v>265.48</v>
      </c>
      <c r="S1312">
        <v>13.27</v>
      </c>
      <c r="T1312">
        <v>10</v>
      </c>
      <c r="U1312">
        <v>10</v>
      </c>
      <c r="V1312">
        <v>298.74999999999989</v>
      </c>
      <c r="W1312" t="s">
        <v>27</v>
      </c>
      <c r="X1312">
        <v>10</v>
      </c>
    </row>
    <row r="1313" spans="1:24" ht="14.25" customHeight="1">
      <c r="A1313" t="s">
        <v>2061</v>
      </c>
      <c r="B1313" t="s">
        <v>2307</v>
      </c>
      <c r="C1313" s="6" t="str">
        <f t="shared" si="61"/>
        <v>January</v>
      </c>
      <c r="D1313" s="6" t="str">
        <f t="shared" si="62"/>
        <v>17</v>
      </c>
      <c r="E1313" t="s">
        <v>495</v>
      </c>
      <c r="F1313" t="s">
        <v>21</v>
      </c>
      <c r="G1313" t="s">
        <v>106</v>
      </c>
      <c r="H1313" s="4" t="s">
        <v>2259</v>
      </c>
      <c r="I1313">
        <v>891043</v>
      </c>
      <c r="J1313" s="8" t="s">
        <v>30</v>
      </c>
      <c r="K1313" t="s">
        <v>496</v>
      </c>
      <c r="L1313" t="s">
        <v>497</v>
      </c>
      <c r="M1313" t="s">
        <v>98</v>
      </c>
      <c r="N1313">
        <f t="shared" si="63"/>
        <v>4</v>
      </c>
      <c r="O1313">
        <v>6</v>
      </c>
      <c r="P1313" s="6">
        <v>77.33</v>
      </c>
      <c r="Q1313">
        <v>11.6</v>
      </c>
      <c r="R1313">
        <v>452.38</v>
      </c>
      <c r="S1313">
        <v>22.62</v>
      </c>
      <c r="T1313">
        <v>0</v>
      </c>
      <c r="U1313">
        <v>0</v>
      </c>
      <c r="V1313">
        <v>475</v>
      </c>
      <c r="W1313" t="s">
        <v>27</v>
      </c>
      <c r="X1313">
        <v>39</v>
      </c>
    </row>
    <row r="1314" spans="1:24" ht="14.25" customHeight="1">
      <c r="A1314" t="s">
        <v>2062</v>
      </c>
      <c r="B1314" t="s">
        <v>2299</v>
      </c>
      <c r="C1314" s="6" t="str">
        <f t="shared" si="61"/>
        <v>January</v>
      </c>
      <c r="D1314" s="6" t="str">
        <f t="shared" si="62"/>
        <v>09</v>
      </c>
      <c r="E1314" t="s">
        <v>499</v>
      </c>
      <c r="F1314" t="s">
        <v>21</v>
      </c>
      <c r="G1314" t="s">
        <v>68</v>
      </c>
      <c r="H1314" s="4" t="s">
        <v>2259</v>
      </c>
      <c r="I1314">
        <v>965847</v>
      </c>
      <c r="J1314" s="8" t="s">
        <v>2345</v>
      </c>
      <c r="K1314" t="s">
        <v>500</v>
      </c>
      <c r="L1314" t="s">
        <v>501</v>
      </c>
      <c r="M1314" t="s">
        <v>33</v>
      </c>
      <c r="N1314">
        <f t="shared" si="63"/>
        <v>10</v>
      </c>
      <c r="O1314">
        <v>1</v>
      </c>
      <c r="P1314" s="6">
        <v>232.04</v>
      </c>
      <c r="Q1314">
        <v>0</v>
      </c>
      <c r="R1314">
        <v>232.04</v>
      </c>
      <c r="S1314">
        <v>11.6</v>
      </c>
      <c r="T1314">
        <v>0</v>
      </c>
      <c r="U1314">
        <v>0</v>
      </c>
      <c r="V1314">
        <v>243.64</v>
      </c>
      <c r="W1314" t="s">
        <v>27</v>
      </c>
      <c r="X1314">
        <v>35</v>
      </c>
    </row>
    <row r="1315" spans="1:24" ht="14.25" customHeight="1">
      <c r="A1315" t="s">
        <v>2063</v>
      </c>
      <c r="B1315" t="s">
        <v>2272</v>
      </c>
      <c r="C1315" s="6" t="str">
        <f t="shared" si="61"/>
        <v>January</v>
      </c>
      <c r="D1315" s="6" t="str">
        <f t="shared" si="62"/>
        <v>11</v>
      </c>
      <c r="E1315" t="s">
        <v>503</v>
      </c>
      <c r="F1315" t="s">
        <v>21</v>
      </c>
      <c r="G1315" t="s">
        <v>37</v>
      </c>
      <c r="H1315" s="4" t="s">
        <v>2259</v>
      </c>
      <c r="I1315">
        <v>452895</v>
      </c>
      <c r="J1315" s="8" t="s">
        <v>30</v>
      </c>
      <c r="K1315" t="s">
        <v>504</v>
      </c>
      <c r="L1315" t="s">
        <v>505</v>
      </c>
      <c r="M1315" t="s">
        <v>55</v>
      </c>
      <c r="N1315">
        <f t="shared" si="63"/>
        <v>5</v>
      </c>
      <c r="O1315">
        <v>6</v>
      </c>
      <c r="P1315" s="6">
        <v>95.6</v>
      </c>
      <c r="Q1315">
        <v>9.56</v>
      </c>
      <c r="R1315">
        <v>564.04</v>
      </c>
      <c r="S1315">
        <v>28.2</v>
      </c>
      <c r="T1315">
        <v>10</v>
      </c>
      <c r="U1315">
        <v>15</v>
      </c>
      <c r="V1315">
        <v>617.24</v>
      </c>
      <c r="W1315" t="s">
        <v>27</v>
      </c>
      <c r="X1315">
        <v>26</v>
      </c>
    </row>
    <row r="1316" spans="1:24" ht="14.25" customHeight="1">
      <c r="A1316" t="s">
        <v>2064</v>
      </c>
      <c r="B1316" t="s">
        <v>2265</v>
      </c>
      <c r="C1316" s="6" t="str">
        <f t="shared" si="61"/>
        <v>January</v>
      </c>
      <c r="D1316" s="6" t="str">
        <f t="shared" si="62"/>
        <v>15</v>
      </c>
      <c r="E1316" t="s">
        <v>507</v>
      </c>
      <c r="F1316" t="s">
        <v>21</v>
      </c>
      <c r="G1316" t="s">
        <v>22</v>
      </c>
      <c r="H1316" s="4" t="s">
        <v>2259</v>
      </c>
      <c r="I1316">
        <v>938569</v>
      </c>
      <c r="J1316" s="8" t="s">
        <v>2348</v>
      </c>
      <c r="K1316" t="s">
        <v>508</v>
      </c>
      <c r="L1316" t="s">
        <v>509</v>
      </c>
      <c r="M1316" t="s">
        <v>140</v>
      </c>
      <c r="N1316">
        <f t="shared" si="63"/>
        <v>3</v>
      </c>
      <c r="O1316">
        <v>1</v>
      </c>
      <c r="P1316" s="6">
        <v>38.83</v>
      </c>
      <c r="Q1316">
        <v>5.82</v>
      </c>
      <c r="R1316">
        <v>33.01</v>
      </c>
      <c r="S1316">
        <v>1.65</v>
      </c>
      <c r="T1316">
        <v>20</v>
      </c>
      <c r="U1316">
        <v>15</v>
      </c>
      <c r="V1316">
        <v>69.66</v>
      </c>
      <c r="W1316" t="s">
        <v>27</v>
      </c>
      <c r="X1316">
        <v>13</v>
      </c>
    </row>
    <row r="1317" spans="1:24" ht="14.25" customHeight="1">
      <c r="A1317" t="s">
        <v>2065</v>
      </c>
      <c r="B1317" t="s">
        <v>2273</v>
      </c>
      <c r="C1317" s="6" t="str">
        <f t="shared" si="61"/>
        <v>January</v>
      </c>
      <c r="D1317" s="6" t="str">
        <f t="shared" si="62"/>
        <v>24</v>
      </c>
      <c r="E1317" t="s">
        <v>511</v>
      </c>
      <c r="F1317" t="s">
        <v>21</v>
      </c>
      <c r="G1317" t="s">
        <v>106</v>
      </c>
      <c r="H1317" s="4" t="s">
        <v>2259</v>
      </c>
      <c r="I1317">
        <v>403564</v>
      </c>
      <c r="J1317" s="8" t="s">
        <v>30</v>
      </c>
      <c r="K1317" t="s">
        <v>512</v>
      </c>
      <c r="L1317" t="s">
        <v>513</v>
      </c>
      <c r="M1317" t="s">
        <v>40</v>
      </c>
      <c r="N1317">
        <f t="shared" si="63"/>
        <v>6</v>
      </c>
      <c r="O1317">
        <v>4</v>
      </c>
      <c r="P1317" s="6">
        <v>98.01</v>
      </c>
      <c r="Q1317">
        <v>0</v>
      </c>
      <c r="R1317">
        <v>392.04</v>
      </c>
      <c r="S1317">
        <v>19.600000000000001</v>
      </c>
      <c r="T1317">
        <v>30</v>
      </c>
      <c r="U1317">
        <v>5</v>
      </c>
      <c r="V1317">
        <v>446.64</v>
      </c>
      <c r="W1317" t="s">
        <v>27</v>
      </c>
      <c r="X1317">
        <v>17</v>
      </c>
    </row>
    <row r="1318" spans="1:24" ht="14.25" customHeight="1">
      <c r="A1318" t="s">
        <v>2066</v>
      </c>
      <c r="B1318" t="s">
        <v>2282</v>
      </c>
      <c r="C1318" s="6" t="str">
        <f t="shared" si="61"/>
        <v>February</v>
      </c>
      <c r="D1318" s="6" t="str">
        <f t="shared" si="62"/>
        <v>07</v>
      </c>
      <c r="E1318" t="s">
        <v>515</v>
      </c>
      <c r="F1318" t="s">
        <v>21</v>
      </c>
      <c r="G1318" t="s">
        <v>22</v>
      </c>
      <c r="H1318" s="4" t="s">
        <v>2259</v>
      </c>
      <c r="I1318">
        <v>658888</v>
      </c>
      <c r="J1318" s="8" t="s">
        <v>2348</v>
      </c>
      <c r="K1318" t="s">
        <v>516</v>
      </c>
      <c r="L1318" t="s">
        <v>517</v>
      </c>
      <c r="M1318" t="s">
        <v>45</v>
      </c>
      <c r="N1318">
        <f t="shared" si="63"/>
        <v>6</v>
      </c>
      <c r="O1318">
        <v>1</v>
      </c>
      <c r="P1318" s="6">
        <v>56.89</v>
      </c>
      <c r="Q1318">
        <v>8.5299999999999994</v>
      </c>
      <c r="R1318">
        <v>48.36</v>
      </c>
      <c r="S1318">
        <v>2.42</v>
      </c>
      <c r="T1318">
        <v>0</v>
      </c>
      <c r="U1318">
        <v>15</v>
      </c>
      <c r="V1318">
        <v>65.78</v>
      </c>
      <c r="W1318" t="s">
        <v>27</v>
      </c>
      <c r="X1318">
        <v>2</v>
      </c>
    </row>
    <row r="1319" spans="1:24" ht="14.25" customHeight="1">
      <c r="A1319" t="s">
        <v>2067</v>
      </c>
      <c r="B1319" t="s">
        <v>2295</v>
      </c>
      <c r="C1319" s="6" t="str">
        <f t="shared" si="61"/>
        <v>February</v>
      </c>
      <c r="D1319" s="6" t="str">
        <f t="shared" si="62"/>
        <v>24</v>
      </c>
      <c r="E1319" t="s">
        <v>519</v>
      </c>
      <c r="F1319" t="s">
        <v>21</v>
      </c>
      <c r="G1319" t="s">
        <v>106</v>
      </c>
      <c r="H1319" s="4" t="s">
        <v>2259</v>
      </c>
      <c r="I1319">
        <v>958379</v>
      </c>
      <c r="J1319" s="8" t="s">
        <v>2348</v>
      </c>
      <c r="K1319" t="s">
        <v>520</v>
      </c>
      <c r="L1319" t="s">
        <v>521</v>
      </c>
      <c r="M1319" t="s">
        <v>140</v>
      </c>
      <c r="N1319">
        <f t="shared" si="63"/>
        <v>3</v>
      </c>
      <c r="O1319">
        <v>1</v>
      </c>
      <c r="P1319" s="6">
        <v>159.94999999999999</v>
      </c>
      <c r="Q1319">
        <v>23.99</v>
      </c>
      <c r="R1319">
        <v>135.96</v>
      </c>
      <c r="S1319">
        <v>6.8</v>
      </c>
      <c r="T1319">
        <v>0</v>
      </c>
      <c r="U1319">
        <v>15</v>
      </c>
      <c r="V1319">
        <v>157.76</v>
      </c>
      <c r="W1319" t="s">
        <v>27</v>
      </c>
      <c r="X1319">
        <v>29</v>
      </c>
    </row>
    <row r="1320" spans="1:24" ht="14.25" customHeight="1">
      <c r="A1320" t="s">
        <v>2068</v>
      </c>
      <c r="B1320" t="s">
        <v>2306</v>
      </c>
      <c r="C1320" s="6" t="str">
        <f t="shared" si="61"/>
        <v>February</v>
      </c>
      <c r="D1320" s="6" t="str">
        <f t="shared" si="62"/>
        <v>04</v>
      </c>
      <c r="E1320" t="s">
        <v>523</v>
      </c>
      <c r="F1320" t="s">
        <v>21</v>
      </c>
      <c r="G1320" t="s">
        <v>22</v>
      </c>
      <c r="H1320" s="4" t="s">
        <v>2259</v>
      </c>
      <c r="I1320">
        <v>287840</v>
      </c>
      <c r="J1320" s="8" t="s">
        <v>2345</v>
      </c>
      <c r="K1320" t="s">
        <v>524</v>
      </c>
      <c r="L1320" t="s">
        <v>525</v>
      </c>
      <c r="M1320" t="s">
        <v>55</v>
      </c>
      <c r="N1320">
        <f t="shared" si="63"/>
        <v>5</v>
      </c>
      <c r="O1320">
        <v>2</v>
      </c>
      <c r="P1320" s="6">
        <v>78.88</v>
      </c>
      <c r="Q1320">
        <v>7.89</v>
      </c>
      <c r="R1320">
        <v>149.87</v>
      </c>
      <c r="S1320">
        <v>7.49</v>
      </c>
      <c r="T1320">
        <v>10</v>
      </c>
      <c r="U1320">
        <v>0</v>
      </c>
      <c r="V1320">
        <v>167.36</v>
      </c>
      <c r="W1320" t="s">
        <v>27</v>
      </c>
      <c r="X1320">
        <v>37</v>
      </c>
    </row>
    <row r="1321" spans="1:24" ht="14.25" customHeight="1">
      <c r="A1321" t="s">
        <v>2069</v>
      </c>
      <c r="B1321" t="s">
        <v>2281</v>
      </c>
      <c r="C1321" s="6" t="str">
        <f t="shared" si="61"/>
        <v>January</v>
      </c>
      <c r="D1321" s="6" t="str">
        <f t="shared" si="62"/>
        <v>30</v>
      </c>
      <c r="E1321" t="s">
        <v>527</v>
      </c>
      <c r="F1321" t="s">
        <v>21</v>
      </c>
      <c r="G1321" t="s">
        <v>22</v>
      </c>
      <c r="H1321" s="4" t="s">
        <v>2259</v>
      </c>
      <c r="I1321">
        <v>853642</v>
      </c>
      <c r="J1321" s="8" t="s">
        <v>30</v>
      </c>
      <c r="K1321" t="s">
        <v>528</v>
      </c>
      <c r="L1321" t="s">
        <v>529</v>
      </c>
      <c r="M1321" t="s">
        <v>130</v>
      </c>
      <c r="N1321">
        <f t="shared" si="63"/>
        <v>7</v>
      </c>
      <c r="O1321">
        <v>1</v>
      </c>
      <c r="P1321" s="6">
        <v>80.31</v>
      </c>
      <c r="Q1321">
        <v>12.05</v>
      </c>
      <c r="R1321">
        <v>68.260000000000005</v>
      </c>
      <c r="S1321">
        <v>3.41</v>
      </c>
      <c r="T1321">
        <v>30</v>
      </c>
      <c r="U1321">
        <v>15</v>
      </c>
      <c r="V1321">
        <v>116.67</v>
      </c>
      <c r="W1321" t="s">
        <v>27</v>
      </c>
      <c r="X1321">
        <v>40</v>
      </c>
    </row>
    <row r="1322" spans="1:24" ht="14.25" customHeight="1">
      <c r="A1322" t="s">
        <v>2070</v>
      </c>
      <c r="B1322" t="s">
        <v>2312</v>
      </c>
      <c r="C1322" s="6" t="str">
        <f t="shared" si="61"/>
        <v>January</v>
      </c>
      <c r="D1322" s="6" t="str">
        <f t="shared" si="62"/>
        <v>31</v>
      </c>
      <c r="E1322" t="s">
        <v>531</v>
      </c>
      <c r="F1322" t="s">
        <v>21</v>
      </c>
      <c r="G1322" t="s">
        <v>22</v>
      </c>
      <c r="H1322" s="4" t="s">
        <v>2259</v>
      </c>
      <c r="I1322">
        <v>704091</v>
      </c>
      <c r="J1322" s="8" t="s">
        <v>62</v>
      </c>
      <c r="K1322" t="s">
        <v>532</v>
      </c>
      <c r="L1322" t="s">
        <v>533</v>
      </c>
      <c r="M1322" t="s">
        <v>130</v>
      </c>
      <c r="N1322">
        <f t="shared" si="63"/>
        <v>7</v>
      </c>
      <c r="O1322">
        <v>4</v>
      </c>
      <c r="P1322" s="6">
        <v>97.01</v>
      </c>
      <c r="Q1322">
        <v>4.8499999999999996</v>
      </c>
      <c r="R1322">
        <v>383.19</v>
      </c>
      <c r="S1322">
        <v>19.16</v>
      </c>
      <c r="T1322">
        <v>20</v>
      </c>
      <c r="U1322">
        <v>0</v>
      </c>
      <c r="V1322">
        <v>422.35</v>
      </c>
      <c r="W1322" t="s">
        <v>84</v>
      </c>
      <c r="X1322">
        <v>25</v>
      </c>
    </row>
    <row r="1323" spans="1:24" ht="14.25" customHeight="1">
      <c r="A1323" t="s">
        <v>2071</v>
      </c>
      <c r="B1323" t="s">
        <v>2287</v>
      </c>
      <c r="C1323" s="6" t="str">
        <f t="shared" si="61"/>
        <v>February</v>
      </c>
      <c r="D1323" s="6" t="str">
        <f t="shared" si="62"/>
        <v>18</v>
      </c>
      <c r="E1323" t="s">
        <v>535</v>
      </c>
      <c r="F1323" t="s">
        <v>21</v>
      </c>
      <c r="G1323" t="s">
        <v>106</v>
      </c>
      <c r="H1323" s="4" t="s">
        <v>2259</v>
      </c>
      <c r="I1323">
        <v>313968</v>
      </c>
      <c r="J1323" s="8" t="s">
        <v>30</v>
      </c>
      <c r="K1323" t="s">
        <v>536</v>
      </c>
      <c r="L1323" t="s">
        <v>537</v>
      </c>
      <c r="M1323" t="s">
        <v>130</v>
      </c>
      <c r="N1323">
        <f t="shared" si="63"/>
        <v>7</v>
      </c>
      <c r="O1323">
        <v>4</v>
      </c>
      <c r="P1323" s="6">
        <v>139.87</v>
      </c>
      <c r="Q1323">
        <v>13.99</v>
      </c>
      <c r="R1323">
        <v>545.49</v>
      </c>
      <c r="S1323">
        <v>27.27</v>
      </c>
      <c r="T1323">
        <v>20</v>
      </c>
      <c r="U1323">
        <v>10</v>
      </c>
      <c r="V1323">
        <v>602.76</v>
      </c>
      <c r="W1323" t="s">
        <v>27</v>
      </c>
      <c r="X1323">
        <v>41</v>
      </c>
    </row>
    <row r="1324" spans="1:24" ht="14.25" customHeight="1">
      <c r="A1324" t="s">
        <v>2072</v>
      </c>
      <c r="B1324" t="s">
        <v>2317</v>
      </c>
      <c r="C1324" s="6" t="str">
        <f t="shared" si="61"/>
        <v>January</v>
      </c>
      <c r="D1324" s="6" t="str">
        <f t="shared" si="62"/>
        <v>05</v>
      </c>
      <c r="E1324" t="s">
        <v>539</v>
      </c>
      <c r="F1324" t="s">
        <v>21</v>
      </c>
      <c r="G1324" t="s">
        <v>37</v>
      </c>
      <c r="H1324" s="4" t="s">
        <v>2259</v>
      </c>
      <c r="I1324">
        <v>217907</v>
      </c>
      <c r="J1324" s="8" t="s">
        <v>62</v>
      </c>
      <c r="K1324" t="s">
        <v>540</v>
      </c>
      <c r="L1324" t="s">
        <v>541</v>
      </c>
      <c r="M1324" t="s">
        <v>177</v>
      </c>
      <c r="N1324">
        <f t="shared" si="63"/>
        <v>5</v>
      </c>
      <c r="O1324">
        <v>2</v>
      </c>
      <c r="P1324" s="6">
        <v>270.05</v>
      </c>
      <c r="Q1324">
        <v>0</v>
      </c>
      <c r="R1324">
        <v>540.1</v>
      </c>
      <c r="S1324">
        <v>27.01</v>
      </c>
      <c r="T1324">
        <v>30</v>
      </c>
      <c r="U1324">
        <v>20</v>
      </c>
      <c r="V1324">
        <v>617.11</v>
      </c>
      <c r="W1324" t="s">
        <v>27</v>
      </c>
      <c r="X1324">
        <v>24</v>
      </c>
    </row>
    <row r="1325" spans="1:24" ht="14.25" customHeight="1">
      <c r="A1325" t="s">
        <v>2073</v>
      </c>
      <c r="B1325" t="s">
        <v>2283</v>
      </c>
      <c r="C1325" s="6" t="str">
        <f t="shared" si="61"/>
        <v>March</v>
      </c>
      <c r="D1325" s="6" t="str">
        <f t="shared" si="62"/>
        <v>01</v>
      </c>
      <c r="E1325" t="s">
        <v>543</v>
      </c>
      <c r="F1325" t="s">
        <v>21</v>
      </c>
      <c r="G1325" t="s">
        <v>106</v>
      </c>
      <c r="H1325" s="4" t="s">
        <v>2259</v>
      </c>
      <c r="I1325">
        <v>727915</v>
      </c>
      <c r="J1325" s="8" t="s">
        <v>2347</v>
      </c>
      <c r="K1325" t="s">
        <v>544</v>
      </c>
      <c r="L1325" t="s">
        <v>545</v>
      </c>
      <c r="M1325" t="s">
        <v>71</v>
      </c>
      <c r="N1325">
        <f t="shared" si="63"/>
        <v>6</v>
      </c>
      <c r="O1325">
        <v>3</v>
      </c>
      <c r="P1325" s="6">
        <v>165.49</v>
      </c>
      <c r="Q1325">
        <v>24.82</v>
      </c>
      <c r="R1325">
        <v>471.65</v>
      </c>
      <c r="S1325">
        <v>23.58</v>
      </c>
      <c r="T1325">
        <v>0</v>
      </c>
      <c r="U1325">
        <v>5</v>
      </c>
      <c r="V1325">
        <v>500.23</v>
      </c>
      <c r="W1325" t="s">
        <v>84</v>
      </c>
      <c r="X1325">
        <v>25</v>
      </c>
    </row>
    <row r="1326" spans="1:24" ht="14.25" customHeight="1">
      <c r="A1326" t="s">
        <v>2074</v>
      </c>
      <c r="B1326" t="s">
        <v>2280</v>
      </c>
      <c r="C1326" s="6" t="str">
        <f t="shared" si="61"/>
        <v>February</v>
      </c>
      <c r="D1326" s="6" t="str">
        <f t="shared" si="62"/>
        <v>13</v>
      </c>
      <c r="E1326" t="s">
        <v>547</v>
      </c>
      <c r="F1326" t="s">
        <v>21</v>
      </c>
      <c r="G1326" t="s">
        <v>74</v>
      </c>
      <c r="H1326" s="4" t="s">
        <v>2259</v>
      </c>
      <c r="I1326">
        <v>846714</v>
      </c>
      <c r="J1326" s="8" t="s">
        <v>30</v>
      </c>
      <c r="K1326" t="s">
        <v>548</v>
      </c>
      <c r="L1326" t="s">
        <v>549</v>
      </c>
      <c r="M1326" t="s">
        <v>135</v>
      </c>
      <c r="N1326">
        <f t="shared" si="63"/>
        <v>9</v>
      </c>
      <c r="O1326">
        <v>1</v>
      </c>
      <c r="P1326" s="6">
        <v>95.11</v>
      </c>
      <c r="Q1326">
        <v>4.76</v>
      </c>
      <c r="R1326">
        <v>90.35</v>
      </c>
      <c r="S1326">
        <v>4.5199999999999996</v>
      </c>
      <c r="T1326">
        <v>10</v>
      </c>
      <c r="U1326">
        <v>20</v>
      </c>
      <c r="V1326">
        <v>124.87</v>
      </c>
      <c r="W1326" t="s">
        <v>27</v>
      </c>
      <c r="X1326">
        <v>31</v>
      </c>
    </row>
    <row r="1327" spans="1:24" ht="14.25" customHeight="1">
      <c r="A1327" t="s">
        <v>2075</v>
      </c>
      <c r="B1327" t="s">
        <v>2303</v>
      </c>
      <c r="C1327" s="6" t="str">
        <f t="shared" si="61"/>
        <v>February</v>
      </c>
      <c r="D1327" s="6" t="str">
        <f t="shared" si="62"/>
        <v>19</v>
      </c>
      <c r="E1327" t="s">
        <v>551</v>
      </c>
      <c r="F1327" t="s">
        <v>80</v>
      </c>
      <c r="G1327" t="s">
        <v>81</v>
      </c>
      <c r="H1327" s="4" t="s">
        <v>2259</v>
      </c>
      <c r="I1327">
        <v>326280</v>
      </c>
      <c r="J1327" s="8" t="s">
        <v>2346</v>
      </c>
      <c r="K1327" t="s">
        <v>552</v>
      </c>
      <c r="L1327" t="s">
        <v>553</v>
      </c>
      <c r="M1327" t="s">
        <v>40</v>
      </c>
      <c r="N1327">
        <f t="shared" si="63"/>
        <v>6</v>
      </c>
      <c r="O1327">
        <v>2</v>
      </c>
      <c r="P1327" s="6">
        <v>120.27</v>
      </c>
      <c r="Q1327">
        <v>0</v>
      </c>
      <c r="R1327">
        <v>240.54</v>
      </c>
      <c r="S1327">
        <v>12.03</v>
      </c>
      <c r="T1327">
        <v>10</v>
      </c>
      <c r="U1327">
        <v>15</v>
      </c>
      <c r="V1327">
        <v>277.57</v>
      </c>
      <c r="W1327" t="s">
        <v>27</v>
      </c>
      <c r="X1327">
        <v>23</v>
      </c>
    </row>
    <row r="1328" spans="1:24" ht="14.25" customHeight="1">
      <c r="A1328" t="s">
        <v>2076</v>
      </c>
      <c r="B1328" t="s">
        <v>2302</v>
      </c>
      <c r="C1328" s="6" t="str">
        <f t="shared" si="61"/>
        <v>January</v>
      </c>
      <c r="D1328" s="6" t="str">
        <f t="shared" si="62"/>
        <v>14</v>
      </c>
      <c r="E1328" t="s">
        <v>555</v>
      </c>
      <c r="F1328" t="s">
        <v>21</v>
      </c>
      <c r="G1328" t="s">
        <v>74</v>
      </c>
      <c r="H1328" s="4" t="s">
        <v>2259</v>
      </c>
      <c r="I1328">
        <v>148458</v>
      </c>
      <c r="J1328" s="8" t="s">
        <v>62</v>
      </c>
      <c r="K1328" t="s">
        <v>556</v>
      </c>
      <c r="L1328" t="s">
        <v>557</v>
      </c>
      <c r="M1328" t="s">
        <v>77</v>
      </c>
      <c r="N1328">
        <f t="shared" si="63"/>
        <v>5</v>
      </c>
      <c r="O1328">
        <v>4</v>
      </c>
      <c r="P1328" s="6">
        <v>158.37</v>
      </c>
      <c r="Q1328">
        <v>0</v>
      </c>
      <c r="R1328">
        <v>633.48</v>
      </c>
      <c r="S1328">
        <v>31.67</v>
      </c>
      <c r="T1328">
        <v>30</v>
      </c>
      <c r="U1328">
        <v>10</v>
      </c>
      <c r="V1328">
        <v>705.15</v>
      </c>
      <c r="W1328" t="s">
        <v>27</v>
      </c>
      <c r="X1328">
        <v>31</v>
      </c>
    </row>
    <row r="1329" spans="1:24" ht="14.25" customHeight="1">
      <c r="A1329" t="s">
        <v>2077</v>
      </c>
      <c r="B1329" t="s">
        <v>2274</v>
      </c>
      <c r="C1329" s="6" t="str">
        <f t="shared" si="61"/>
        <v>February</v>
      </c>
      <c r="D1329" s="6" t="str">
        <f t="shared" si="62"/>
        <v>22</v>
      </c>
      <c r="E1329" t="s">
        <v>559</v>
      </c>
      <c r="F1329" t="s">
        <v>21</v>
      </c>
      <c r="G1329" t="s">
        <v>22</v>
      </c>
      <c r="H1329" s="4" t="s">
        <v>2259</v>
      </c>
      <c r="I1329">
        <v>527562</v>
      </c>
      <c r="J1329" s="8" t="s">
        <v>2348</v>
      </c>
      <c r="K1329" t="s">
        <v>560</v>
      </c>
      <c r="L1329" t="s">
        <v>561</v>
      </c>
      <c r="M1329" t="s">
        <v>177</v>
      </c>
      <c r="N1329">
        <f t="shared" si="63"/>
        <v>5</v>
      </c>
      <c r="O1329">
        <v>5</v>
      </c>
      <c r="P1329" s="6">
        <v>117.84</v>
      </c>
      <c r="Q1329">
        <v>11.78</v>
      </c>
      <c r="R1329">
        <v>577.42000000000007</v>
      </c>
      <c r="S1329">
        <v>28.87</v>
      </c>
      <c r="T1329">
        <v>0</v>
      </c>
      <c r="U1329">
        <v>10</v>
      </c>
      <c r="V1329">
        <v>616.29000000000008</v>
      </c>
      <c r="W1329" t="s">
        <v>34</v>
      </c>
      <c r="X1329">
        <v>25</v>
      </c>
    </row>
    <row r="1330" spans="1:24" ht="14.25" customHeight="1">
      <c r="A1330" t="s">
        <v>2078</v>
      </c>
      <c r="B1330" t="s">
        <v>2320</v>
      </c>
      <c r="C1330" s="6" t="str">
        <f t="shared" si="61"/>
        <v>February</v>
      </c>
      <c r="D1330" s="6" t="str">
        <f t="shared" si="62"/>
        <v>25</v>
      </c>
      <c r="E1330" t="s">
        <v>563</v>
      </c>
      <c r="F1330" t="s">
        <v>21</v>
      </c>
      <c r="G1330" t="s">
        <v>74</v>
      </c>
      <c r="H1330" s="4" t="s">
        <v>2259</v>
      </c>
      <c r="I1330">
        <v>219119</v>
      </c>
      <c r="J1330" s="8" t="s">
        <v>2349</v>
      </c>
      <c r="K1330" t="s">
        <v>564</v>
      </c>
      <c r="L1330" t="s">
        <v>565</v>
      </c>
      <c r="M1330" t="s">
        <v>98</v>
      </c>
      <c r="N1330">
        <f t="shared" si="63"/>
        <v>4</v>
      </c>
      <c r="O1330">
        <v>2</v>
      </c>
      <c r="P1330" s="6">
        <v>166.51</v>
      </c>
      <c r="Q1330">
        <v>8.33</v>
      </c>
      <c r="R1330">
        <v>324.69</v>
      </c>
      <c r="S1330">
        <v>16.23</v>
      </c>
      <c r="T1330">
        <v>20</v>
      </c>
      <c r="U1330">
        <v>10</v>
      </c>
      <c r="V1330">
        <v>370.92</v>
      </c>
      <c r="W1330" t="s">
        <v>27</v>
      </c>
      <c r="X1330">
        <v>34</v>
      </c>
    </row>
    <row r="1331" spans="1:24" ht="14.25" customHeight="1">
      <c r="A1331" t="s">
        <v>2079</v>
      </c>
      <c r="B1331" t="s">
        <v>2272</v>
      </c>
      <c r="C1331" s="6" t="str">
        <f t="shared" si="61"/>
        <v>January</v>
      </c>
      <c r="D1331" s="6" t="str">
        <f t="shared" si="62"/>
        <v>11</v>
      </c>
      <c r="E1331" t="s">
        <v>567</v>
      </c>
      <c r="F1331" t="s">
        <v>21</v>
      </c>
      <c r="G1331" t="s">
        <v>68</v>
      </c>
      <c r="H1331" s="4" t="s">
        <v>2259</v>
      </c>
      <c r="I1331">
        <v>463157</v>
      </c>
      <c r="J1331" s="8" t="s">
        <v>30</v>
      </c>
      <c r="K1331" t="s">
        <v>568</v>
      </c>
      <c r="L1331" t="s">
        <v>569</v>
      </c>
      <c r="M1331" t="s">
        <v>177</v>
      </c>
      <c r="N1331">
        <f t="shared" si="63"/>
        <v>5</v>
      </c>
      <c r="O1331">
        <v>2</v>
      </c>
      <c r="P1331" s="6">
        <v>143.88999999999999</v>
      </c>
      <c r="Q1331">
        <v>21.58</v>
      </c>
      <c r="R1331">
        <v>266.2</v>
      </c>
      <c r="S1331">
        <v>13.31</v>
      </c>
      <c r="T1331">
        <v>30</v>
      </c>
      <c r="U1331">
        <v>10</v>
      </c>
      <c r="V1331">
        <v>319.51</v>
      </c>
      <c r="W1331" t="s">
        <v>84</v>
      </c>
      <c r="X1331">
        <v>25</v>
      </c>
    </row>
    <row r="1332" spans="1:24" ht="14.25" customHeight="1">
      <c r="A1332" t="s">
        <v>2080</v>
      </c>
      <c r="B1332" t="s">
        <v>2299</v>
      </c>
      <c r="C1332" s="6" t="str">
        <f t="shared" si="61"/>
        <v>January</v>
      </c>
      <c r="D1332" s="6" t="str">
        <f t="shared" si="62"/>
        <v>09</v>
      </c>
      <c r="E1332" t="s">
        <v>571</v>
      </c>
      <c r="F1332" t="s">
        <v>21</v>
      </c>
      <c r="G1332" t="s">
        <v>22</v>
      </c>
      <c r="H1332" s="4" t="s">
        <v>2259</v>
      </c>
      <c r="I1332">
        <v>459267</v>
      </c>
      <c r="J1332" s="8" t="s">
        <v>2349</v>
      </c>
      <c r="K1332" t="s">
        <v>572</v>
      </c>
      <c r="L1332" t="s">
        <v>573</v>
      </c>
      <c r="M1332" t="s">
        <v>65</v>
      </c>
      <c r="N1332">
        <f t="shared" si="63"/>
        <v>6</v>
      </c>
      <c r="O1332">
        <v>2</v>
      </c>
      <c r="P1332" s="6">
        <v>121.89</v>
      </c>
      <c r="Q1332">
        <v>6.09</v>
      </c>
      <c r="R1332">
        <v>237.69</v>
      </c>
      <c r="S1332">
        <v>11.88</v>
      </c>
      <c r="T1332">
        <v>30</v>
      </c>
      <c r="U1332">
        <v>10</v>
      </c>
      <c r="V1332">
        <v>289.57</v>
      </c>
      <c r="W1332" t="s">
        <v>27</v>
      </c>
      <c r="X1332">
        <v>31</v>
      </c>
    </row>
    <row r="1333" spans="1:24" ht="14.25" customHeight="1">
      <c r="A1333" t="s">
        <v>2081</v>
      </c>
      <c r="B1333" t="s">
        <v>2310</v>
      </c>
      <c r="C1333" s="6" t="str">
        <f t="shared" si="61"/>
        <v>February</v>
      </c>
      <c r="D1333" s="6" t="str">
        <f t="shared" si="62"/>
        <v>03</v>
      </c>
      <c r="E1333" t="s">
        <v>575</v>
      </c>
      <c r="F1333" t="s">
        <v>21</v>
      </c>
      <c r="G1333" t="s">
        <v>68</v>
      </c>
      <c r="H1333" s="4" t="s">
        <v>2259</v>
      </c>
      <c r="I1333">
        <v>221292</v>
      </c>
      <c r="J1333" s="8" t="s">
        <v>30</v>
      </c>
      <c r="K1333" t="s">
        <v>576</v>
      </c>
      <c r="L1333" t="s">
        <v>577</v>
      </c>
      <c r="M1333" t="s">
        <v>177</v>
      </c>
      <c r="N1333">
        <f t="shared" si="63"/>
        <v>5</v>
      </c>
      <c r="O1333">
        <v>2</v>
      </c>
      <c r="P1333" s="6">
        <v>140.24</v>
      </c>
      <c r="Q1333">
        <v>7.01</v>
      </c>
      <c r="R1333">
        <v>273.47000000000003</v>
      </c>
      <c r="S1333">
        <v>13.67</v>
      </c>
      <c r="T1333">
        <v>20</v>
      </c>
      <c r="U1333">
        <v>20</v>
      </c>
      <c r="V1333">
        <v>327.14</v>
      </c>
      <c r="W1333" t="s">
        <v>27</v>
      </c>
      <c r="X1333">
        <v>14</v>
      </c>
    </row>
    <row r="1334" spans="1:24" ht="14.25" customHeight="1">
      <c r="A1334" t="s">
        <v>2082</v>
      </c>
      <c r="B1334" t="s">
        <v>2285</v>
      </c>
      <c r="C1334" s="6" t="str">
        <f t="shared" si="61"/>
        <v>January</v>
      </c>
      <c r="D1334" s="6" t="str">
        <f t="shared" si="62"/>
        <v>12</v>
      </c>
      <c r="E1334" t="s">
        <v>579</v>
      </c>
      <c r="F1334" t="s">
        <v>80</v>
      </c>
      <c r="G1334" t="s">
        <v>81</v>
      </c>
      <c r="H1334" s="4" t="s">
        <v>2259</v>
      </c>
      <c r="I1334">
        <v>592545</v>
      </c>
      <c r="J1334" s="8" t="s">
        <v>2349</v>
      </c>
      <c r="K1334" t="s">
        <v>580</v>
      </c>
      <c r="L1334" t="s">
        <v>581</v>
      </c>
      <c r="M1334" t="s">
        <v>98</v>
      </c>
      <c r="N1334">
        <f t="shared" si="63"/>
        <v>4</v>
      </c>
      <c r="O1334">
        <v>1</v>
      </c>
      <c r="P1334" s="6">
        <v>99.36</v>
      </c>
      <c r="Q1334">
        <v>14.9</v>
      </c>
      <c r="R1334">
        <v>84.46</v>
      </c>
      <c r="S1334">
        <v>4.22</v>
      </c>
      <c r="T1334">
        <v>10</v>
      </c>
      <c r="U1334">
        <v>15</v>
      </c>
      <c r="V1334">
        <v>113.68</v>
      </c>
      <c r="W1334" t="s">
        <v>27</v>
      </c>
      <c r="X1334">
        <v>21</v>
      </c>
    </row>
    <row r="1335" spans="1:24" ht="14.25" customHeight="1">
      <c r="A1335" t="s">
        <v>2083</v>
      </c>
      <c r="B1335" t="s">
        <v>2306</v>
      </c>
      <c r="C1335" s="6" t="str">
        <f t="shared" si="61"/>
        <v>February</v>
      </c>
      <c r="D1335" s="6" t="str">
        <f t="shared" si="62"/>
        <v>04</v>
      </c>
      <c r="E1335" t="s">
        <v>583</v>
      </c>
      <c r="F1335" t="s">
        <v>21</v>
      </c>
      <c r="G1335" t="s">
        <v>74</v>
      </c>
      <c r="H1335" s="4" t="s">
        <v>2259</v>
      </c>
      <c r="I1335">
        <v>462470</v>
      </c>
      <c r="J1335" s="8" t="s">
        <v>62</v>
      </c>
      <c r="K1335" t="s">
        <v>584</v>
      </c>
      <c r="L1335" t="s">
        <v>585</v>
      </c>
      <c r="M1335" t="s">
        <v>89</v>
      </c>
      <c r="N1335">
        <f t="shared" si="63"/>
        <v>7</v>
      </c>
      <c r="O1335">
        <v>4</v>
      </c>
      <c r="P1335" s="6">
        <v>84.77</v>
      </c>
      <c r="Q1335">
        <v>12.72</v>
      </c>
      <c r="R1335">
        <v>326.36</v>
      </c>
      <c r="S1335">
        <v>16.32</v>
      </c>
      <c r="T1335">
        <v>0</v>
      </c>
      <c r="U1335">
        <v>10</v>
      </c>
      <c r="V1335">
        <v>352.67999999999989</v>
      </c>
      <c r="W1335" t="s">
        <v>27</v>
      </c>
      <c r="X1335">
        <v>44</v>
      </c>
    </row>
    <row r="1336" spans="1:24" ht="14.25" customHeight="1">
      <c r="A1336" t="s">
        <v>2084</v>
      </c>
      <c r="B1336" t="s">
        <v>2306</v>
      </c>
      <c r="C1336" s="6" t="str">
        <f t="shared" si="61"/>
        <v>February</v>
      </c>
      <c r="D1336" s="6" t="str">
        <f t="shared" si="62"/>
        <v>04</v>
      </c>
      <c r="E1336" t="s">
        <v>587</v>
      </c>
      <c r="F1336" t="s">
        <v>21</v>
      </c>
      <c r="G1336" t="s">
        <v>22</v>
      </c>
      <c r="H1336" s="4" t="s">
        <v>2259</v>
      </c>
      <c r="I1336">
        <v>904114</v>
      </c>
      <c r="J1336" s="8" t="s">
        <v>2349</v>
      </c>
      <c r="K1336" t="s">
        <v>588</v>
      </c>
      <c r="L1336" t="s">
        <v>589</v>
      </c>
      <c r="M1336" t="s">
        <v>65</v>
      </c>
      <c r="N1336">
        <f t="shared" si="63"/>
        <v>6</v>
      </c>
      <c r="O1336">
        <v>5</v>
      </c>
      <c r="P1336" s="6">
        <v>109.52</v>
      </c>
      <c r="Q1336">
        <v>5.48</v>
      </c>
      <c r="R1336">
        <v>542.12</v>
      </c>
      <c r="S1336">
        <v>27.11</v>
      </c>
      <c r="T1336">
        <v>0</v>
      </c>
      <c r="U1336">
        <v>5</v>
      </c>
      <c r="V1336">
        <v>574.23</v>
      </c>
      <c r="W1336" t="s">
        <v>27</v>
      </c>
      <c r="X1336">
        <v>25</v>
      </c>
    </row>
    <row r="1337" spans="1:24" ht="14.25" customHeight="1">
      <c r="A1337" t="s">
        <v>2085</v>
      </c>
      <c r="B1337" t="s">
        <v>2316</v>
      </c>
      <c r="C1337" s="6" t="str">
        <f t="shared" si="61"/>
        <v>January</v>
      </c>
      <c r="D1337" s="6" t="str">
        <f t="shared" si="62"/>
        <v>01</v>
      </c>
      <c r="E1337" t="s">
        <v>591</v>
      </c>
      <c r="F1337" t="s">
        <v>21</v>
      </c>
      <c r="G1337" t="s">
        <v>37</v>
      </c>
      <c r="H1337" s="4" t="s">
        <v>2259</v>
      </c>
      <c r="I1337">
        <v>834750</v>
      </c>
      <c r="J1337" s="8" t="s">
        <v>30</v>
      </c>
      <c r="K1337" t="s">
        <v>592</v>
      </c>
      <c r="L1337" t="s">
        <v>593</v>
      </c>
      <c r="M1337" t="s">
        <v>177</v>
      </c>
      <c r="N1337">
        <f t="shared" si="63"/>
        <v>5</v>
      </c>
      <c r="O1337">
        <v>1</v>
      </c>
      <c r="P1337" s="6">
        <v>44.35</v>
      </c>
      <c r="Q1337">
        <v>0</v>
      </c>
      <c r="R1337">
        <v>44.35</v>
      </c>
      <c r="S1337">
        <v>2.2200000000000002</v>
      </c>
      <c r="T1337">
        <v>20</v>
      </c>
      <c r="U1337">
        <v>20</v>
      </c>
      <c r="V1337">
        <v>86.57</v>
      </c>
      <c r="W1337" t="s">
        <v>84</v>
      </c>
      <c r="X1337">
        <v>25</v>
      </c>
    </row>
    <row r="1338" spans="1:24" ht="14.25" customHeight="1">
      <c r="A1338" t="s">
        <v>2086</v>
      </c>
      <c r="B1338" t="s">
        <v>2276</v>
      </c>
      <c r="C1338" s="6" t="str">
        <f t="shared" si="61"/>
        <v>February</v>
      </c>
      <c r="D1338" s="6" t="str">
        <f t="shared" si="62"/>
        <v>09</v>
      </c>
      <c r="E1338" t="s">
        <v>595</v>
      </c>
      <c r="F1338" t="s">
        <v>21</v>
      </c>
      <c r="G1338" t="s">
        <v>74</v>
      </c>
      <c r="H1338" s="4" t="s">
        <v>2259</v>
      </c>
      <c r="I1338">
        <v>148926</v>
      </c>
      <c r="J1338" s="8" t="s">
        <v>2347</v>
      </c>
      <c r="K1338" t="s">
        <v>596</v>
      </c>
      <c r="L1338" t="s">
        <v>597</v>
      </c>
      <c r="M1338" t="s">
        <v>98</v>
      </c>
      <c r="N1338">
        <f t="shared" si="63"/>
        <v>4</v>
      </c>
      <c r="O1338">
        <v>4</v>
      </c>
      <c r="P1338" s="6">
        <v>270.18</v>
      </c>
      <c r="Q1338">
        <v>0</v>
      </c>
      <c r="R1338">
        <v>1080.72</v>
      </c>
      <c r="S1338">
        <v>54.04</v>
      </c>
      <c r="T1338">
        <v>0</v>
      </c>
      <c r="U1338">
        <v>10</v>
      </c>
      <c r="V1338">
        <v>1144.76</v>
      </c>
      <c r="W1338" t="s">
        <v>84</v>
      </c>
      <c r="X1338">
        <v>25</v>
      </c>
    </row>
    <row r="1339" spans="1:24" ht="14.25" customHeight="1">
      <c r="A1339" t="s">
        <v>2087</v>
      </c>
      <c r="B1339" t="s">
        <v>2278</v>
      </c>
      <c r="C1339" s="6" t="str">
        <f t="shared" si="61"/>
        <v>January</v>
      </c>
      <c r="D1339" s="6" t="str">
        <f t="shared" si="62"/>
        <v>22</v>
      </c>
      <c r="E1339" t="s">
        <v>599</v>
      </c>
      <c r="F1339" t="s">
        <v>21</v>
      </c>
      <c r="G1339" t="s">
        <v>37</v>
      </c>
      <c r="H1339" s="4" t="s">
        <v>2259</v>
      </c>
      <c r="I1339">
        <v>402553</v>
      </c>
      <c r="J1339" s="8" t="s">
        <v>30</v>
      </c>
      <c r="K1339" t="s">
        <v>600</v>
      </c>
      <c r="L1339" t="s">
        <v>601</v>
      </c>
      <c r="M1339" t="s">
        <v>140</v>
      </c>
      <c r="N1339">
        <f t="shared" si="63"/>
        <v>3</v>
      </c>
      <c r="O1339">
        <v>6</v>
      </c>
      <c r="P1339" s="6">
        <v>113.12</v>
      </c>
      <c r="Q1339">
        <v>0</v>
      </c>
      <c r="R1339">
        <v>678.72</v>
      </c>
      <c r="S1339">
        <v>33.94</v>
      </c>
      <c r="T1339">
        <v>30</v>
      </c>
      <c r="U1339">
        <v>5</v>
      </c>
      <c r="V1339">
        <v>747.66000000000008</v>
      </c>
      <c r="W1339" t="s">
        <v>84</v>
      </c>
      <c r="X1339">
        <v>25</v>
      </c>
    </row>
    <row r="1340" spans="1:24" ht="14.25" customHeight="1">
      <c r="A1340" t="s">
        <v>2088</v>
      </c>
      <c r="B1340" t="s">
        <v>2283</v>
      </c>
      <c r="C1340" s="6" t="str">
        <f t="shared" si="61"/>
        <v>March</v>
      </c>
      <c r="D1340" s="6" t="str">
        <f t="shared" si="62"/>
        <v>01</v>
      </c>
      <c r="E1340" t="s">
        <v>603</v>
      </c>
      <c r="F1340" t="s">
        <v>21</v>
      </c>
      <c r="G1340" t="s">
        <v>68</v>
      </c>
      <c r="H1340" s="4" t="s">
        <v>2259</v>
      </c>
      <c r="I1340">
        <v>174723</v>
      </c>
      <c r="J1340" s="8" t="s">
        <v>2345</v>
      </c>
      <c r="K1340" t="s">
        <v>604</v>
      </c>
      <c r="L1340" t="s">
        <v>605</v>
      </c>
      <c r="M1340" t="s">
        <v>65</v>
      </c>
      <c r="N1340">
        <f t="shared" si="63"/>
        <v>6</v>
      </c>
      <c r="O1340">
        <v>2</v>
      </c>
      <c r="P1340" s="6">
        <v>108.81</v>
      </c>
      <c r="Q1340">
        <v>5.44</v>
      </c>
      <c r="R1340">
        <v>212.18</v>
      </c>
      <c r="S1340">
        <v>10.61</v>
      </c>
      <c r="T1340">
        <v>10</v>
      </c>
      <c r="U1340">
        <v>15</v>
      </c>
      <c r="V1340">
        <v>247.79</v>
      </c>
      <c r="W1340" t="s">
        <v>34</v>
      </c>
      <c r="X1340">
        <v>25</v>
      </c>
    </row>
    <row r="1341" spans="1:24" ht="14.25" customHeight="1">
      <c r="A1341" t="s">
        <v>2089</v>
      </c>
      <c r="B1341" t="s">
        <v>2264</v>
      </c>
      <c r="C1341" s="6" t="str">
        <f t="shared" si="61"/>
        <v>January</v>
      </c>
      <c r="D1341" s="6" t="str">
        <f t="shared" si="62"/>
        <v>29</v>
      </c>
      <c r="E1341" t="s">
        <v>607</v>
      </c>
      <c r="F1341" t="s">
        <v>21</v>
      </c>
      <c r="G1341" t="s">
        <v>68</v>
      </c>
      <c r="H1341" s="4" t="s">
        <v>2259</v>
      </c>
      <c r="I1341">
        <v>865110</v>
      </c>
      <c r="J1341" s="8" t="s">
        <v>2345</v>
      </c>
      <c r="K1341" t="s">
        <v>608</v>
      </c>
      <c r="L1341" t="s">
        <v>609</v>
      </c>
      <c r="M1341" t="s">
        <v>140</v>
      </c>
      <c r="N1341">
        <f t="shared" si="63"/>
        <v>3</v>
      </c>
      <c r="O1341">
        <v>3</v>
      </c>
      <c r="P1341" s="6">
        <v>179.42</v>
      </c>
      <c r="Q1341">
        <v>8.9700000000000006</v>
      </c>
      <c r="R1341">
        <v>529.29</v>
      </c>
      <c r="S1341">
        <v>26.46</v>
      </c>
      <c r="T1341">
        <v>10</v>
      </c>
      <c r="U1341">
        <v>10</v>
      </c>
      <c r="V1341">
        <v>575.75</v>
      </c>
      <c r="W1341" t="s">
        <v>27</v>
      </c>
      <c r="X1341">
        <v>10</v>
      </c>
    </row>
    <row r="1342" spans="1:24" ht="14.25" customHeight="1">
      <c r="A1342" t="s">
        <v>2090</v>
      </c>
      <c r="B1342" t="s">
        <v>2267</v>
      </c>
      <c r="C1342" s="6" t="str">
        <f t="shared" si="61"/>
        <v>January</v>
      </c>
      <c r="D1342" s="6" t="str">
        <f t="shared" si="62"/>
        <v>08</v>
      </c>
      <c r="E1342" t="s">
        <v>611</v>
      </c>
      <c r="F1342" t="s">
        <v>21</v>
      </c>
      <c r="G1342" t="s">
        <v>68</v>
      </c>
      <c r="H1342" s="4" t="s">
        <v>2259</v>
      </c>
      <c r="I1342">
        <v>928753</v>
      </c>
      <c r="J1342" s="8" t="s">
        <v>2347</v>
      </c>
      <c r="K1342" t="s">
        <v>612</v>
      </c>
      <c r="L1342" t="s">
        <v>613</v>
      </c>
      <c r="M1342" t="s">
        <v>22</v>
      </c>
      <c r="N1342">
        <f t="shared" si="63"/>
        <v>6</v>
      </c>
      <c r="O1342">
        <v>4</v>
      </c>
      <c r="P1342" s="6">
        <v>246</v>
      </c>
      <c r="Q1342">
        <v>36.9</v>
      </c>
      <c r="R1342">
        <v>947.1</v>
      </c>
      <c r="S1342">
        <v>47.36</v>
      </c>
      <c r="T1342">
        <v>0</v>
      </c>
      <c r="U1342">
        <v>20</v>
      </c>
      <c r="V1342">
        <v>1014.46</v>
      </c>
      <c r="W1342" t="s">
        <v>27</v>
      </c>
      <c r="X1342">
        <v>23</v>
      </c>
    </row>
    <row r="1343" spans="1:24" ht="14.25" customHeight="1">
      <c r="A1343" t="s">
        <v>2091</v>
      </c>
      <c r="B1343" t="s">
        <v>2272</v>
      </c>
      <c r="C1343" s="6" t="str">
        <f t="shared" si="61"/>
        <v>January</v>
      </c>
      <c r="D1343" s="6" t="str">
        <f t="shared" si="62"/>
        <v>11</v>
      </c>
      <c r="E1343" t="s">
        <v>615</v>
      </c>
      <c r="F1343" t="s">
        <v>21</v>
      </c>
      <c r="G1343" t="s">
        <v>106</v>
      </c>
      <c r="H1343" s="4" t="s">
        <v>2259</v>
      </c>
      <c r="I1343">
        <v>133545</v>
      </c>
      <c r="J1343" s="8" t="s">
        <v>2349</v>
      </c>
      <c r="K1343" t="s">
        <v>616</v>
      </c>
      <c r="L1343" t="s">
        <v>617</v>
      </c>
      <c r="M1343" t="s">
        <v>22</v>
      </c>
      <c r="N1343">
        <f t="shared" si="63"/>
        <v>6</v>
      </c>
      <c r="O1343">
        <v>2</v>
      </c>
      <c r="P1343" s="6">
        <v>109.33</v>
      </c>
      <c r="Q1343">
        <v>5.47</v>
      </c>
      <c r="R1343">
        <v>213.19</v>
      </c>
      <c r="S1343">
        <v>10.66</v>
      </c>
      <c r="T1343">
        <v>20</v>
      </c>
      <c r="U1343">
        <v>5</v>
      </c>
      <c r="V1343">
        <v>248.85</v>
      </c>
      <c r="W1343" t="s">
        <v>34</v>
      </c>
      <c r="X1343">
        <v>25</v>
      </c>
    </row>
    <row r="1344" spans="1:24" ht="14.25" customHeight="1">
      <c r="A1344" t="s">
        <v>2092</v>
      </c>
      <c r="B1344" t="s">
        <v>2315</v>
      </c>
      <c r="C1344" s="6" t="str">
        <f t="shared" si="61"/>
        <v>February</v>
      </c>
      <c r="D1344" s="6" t="str">
        <f t="shared" si="62"/>
        <v>10</v>
      </c>
      <c r="E1344" t="s">
        <v>619</v>
      </c>
      <c r="F1344" t="s">
        <v>21</v>
      </c>
      <c r="G1344" t="s">
        <v>106</v>
      </c>
      <c r="H1344" s="4" t="s">
        <v>2259</v>
      </c>
      <c r="I1344">
        <v>887506</v>
      </c>
      <c r="J1344" s="8" t="s">
        <v>2349</v>
      </c>
      <c r="K1344" t="s">
        <v>620</v>
      </c>
      <c r="L1344" t="s">
        <v>621</v>
      </c>
      <c r="M1344" t="s">
        <v>45</v>
      </c>
      <c r="N1344">
        <f t="shared" si="63"/>
        <v>6</v>
      </c>
      <c r="O1344">
        <v>3</v>
      </c>
      <c r="P1344" s="6">
        <v>89.14</v>
      </c>
      <c r="Q1344">
        <v>0</v>
      </c>
      <c r="R1344">
        <v>267.42</v>
      </c>
      <c r="S1344">
        <v>13.37</v>
      </c>
      <c r="T1344">
        <v>30</v>
      </c>
      <c r="U1344">
        <v>5</v>
      </c>
      <c r="V1344">
        <v>315.79000000000002</v>
      </c>
      <c r="W1344" t="s">
        <v>27</v>
      </c>
      <c r="X1344">
        <v>31</v>
      </c>
    </row>
    <row r="1345" spans="1:24" ht="14.25" customHeight="1">
      <c r="A1345" t="s">
        <v>2093</v>
      </c>
      <c r="B1345" t="s">
        <v>2297</v>
      </c>
      <c r="C1345" s="6" t="str">
        <f t="shared" si="61"/>
        <v>February</v>
      </c>
      <c r="D1345" s="6" t="str">
        <f t="shared" si="62"/>
        <v>06</v>
      </c>
      <c r="E1345" t="s">
        <v>623</v>
      </c>
      <c r="F1345" t="s">
        <v>21</v>
      </c>
      <c r="G1345" t="s">
        <v>106</v>
      </c>
      <c r="H1345" s="4" t="s">
        <v>2259</v>
      </c>
      <c r="I1345">
        <v>364130</v>
      </c>
      <c r="J1345" s="8" t="s">
        <v>2346</v>
      </c>
      <c r="K1345" t="s">
        <v>624</v>
      </c>
      <c r="L1345" t="s">
        <v>625</v>
      </c>
      <c r="M1345" t="s">
        <v>55</v>
      </c>
      <c r="N1345">
        <f t="shared" si="63"/>
        <v>5</v>
      </c>
      <c r="O1345">
        <v>6</v>
      </c>
      <c r="P1345" s="6">
        <v>125.67</v>
      </c>
      <c r="Q1345">
        <v>12.57</v>
      </c>
      <c r="R1345">
        <v>741.44999999999993</v>
      </c>
      <c r="S1345">
        <v>37.07</v>
      </c>
      <c r="T1345">
        <v>30</v>
      </c>
      <c r="U1345">
        <v>5</v>
      </c>
      <c r="V1345">
        <v>813.52</v>
      </c>
      <c r="W1345" t="s">
        <v>27</v>
      </c>
      <c r="X1345">
        <v>14</v>
      </c>
    </row>
    <row r="1346" spans="1:24" ht="14.25" customHeight="1">
      <c r="A1346" t="s">
        <v>2094</v>
      </c>
      <c r="B1346" t="s">
        <v>2302</v>
      </c>
      <c r="C1346" s="6" t="str">
        <f t="shared" si="61"/>
        <v>January</v>
      </c>
      <c r="D1346" s="6" t="str">
        <f t="shared" si="62"/>
        <v>14</v>
      </c>
      <c r="E1346" t="s">
        <v>627</v>
      </c>
      <c r="F1346" t="s">
        <v>21</v>
      </c>
      <c r="G1346" t="s">
        <v>37</v>
      </c>
      <c r="H1346" s="4" t="s">
        <v>2259</v>
      </c>
      <c r="I1346">
        <v>477332</v>
      </c>
      <c r="J1346" s="8" t="s">
        <v>2345</v>
      </c>
      <c r="K1346" t="s">
        <v>628</v>
      </c>
      <c r="L1346" t="s">
        <v>629</v>
      </c>
      <c r="M1346" t="s">
        <v>45</v>
      </c>
      <c r="N1346">
        <f t="shared" si="63"/>
        <v>6</v>
      </c>
      <c r="O1346">
        <v>3</v>
      </c>
      <c r="P1346" s="6">
        <v>109.76</v>
      </c>
      <c r="Q1346">
        <v>0</v>
      </c>
      <c r="R1346">
        <v>329.28</v>
      </c>
      <c r="S1346">
        <v>16.46</v>
      </c>
      <c r="T1346">
        <v>20</v>
      </c>
      <c r="U1346">
        <v>0</v>
      </c>
      <c r="V1346">
        <v>365.74</v>
      </c>
      <c r="W1346" t="s">
        <v>27</v>
      </c>
      <c r="X1346">
        <v>15</v>
      </c>
    </row>
    <row r="1347" spans="1:24" ht="14.25" customHeight="1">
      <c r="A1347" t="s">
        <v>2095</v>
      </c>
      <c r="B1347" t="s">
        <v>2283</v>
      </c>
      <c r="C1347" s="6" t="str">
        <f t="shared" ref="C1347:C1410" si="64">TEXT(B1347,"mmmm")</f>
        <v>March</v>
      </c>
      <c r="D1347" s="6" t="str">
        <f t="shared" ref="D1347:D1410" si="65">TEXT(B1347,"dd")</f>
        <v>01</v>
      </c>
      <c r="E1347" t="s">
        <v>631</v>
      </c>
      <c r="F1347" t="s">
        <v>21</v>
      </c>
      <c r="G1347" t="s">
        <v>68</v>
      </c>
      <c r="H1347" s="4" t="s">
        <v>2259</v>
      </c>
      <c r="I1347">
        <v>411896</v>
      </c>
      <c r="J1347" s="8" t="s">
        <v>2345</v>
      </c>
      <c r="K1347" t="s">
        <v>632</v>
      </c>
      <c r="L1347" t="s">
        <v>633</v>
      </c>
      <c r="M1347" t="s">
        <v>45</v>
      </c>
      <c r="N1347">
        <f t="shared" si="63"/>
        <v>6</v>
      </c>
      <c r="O1347">
        <v>1</v>
      </c>
      <c r="P1347" s="6">
        <v>139.15</v>
      </c>
      <c r="Q1347">
        <v>0</v>
      </c>
      <c r="R1347">
        <v>139.15</v>
      </c>
      <c r="S1347">
        <v>6.96</v>
      </c>
      <c r="T1347">
        <v>0</v>
      </c>
      <c r="U1347">
        <v>15</v>
      </c>
      <c r="V1347">
        <v>161.11000000000001</v>
      </c>
      <c r="W1347" t="s">
        <v>27</v>
      </c>
      <c r="X1347">
        <v>26</v>
      </c>
    </row>
    <row r="1348" spans="1:24" ht="14.25" customHeight="1">
      <c r="A1348" t="s">
        <v>2096</v>
      </c>
      <c r="B1348" t="s">
        <v>2281</v>
      </c>
      <c r="C1348" s="6" t="str">
        <f t="shared" si="64"/>
        <v>January</v>
      </c>
      <c r="D1348" s="6" t="str">
        <f t="shared" si="65"/>
        <v>30</v>
      </c>
      <c r="E1348" t="s">
        <v>635</v>
      </c>
      <c r="F1348" t="s">
        <v>21</v>
      </c>
      <c r="G1348" t="s">
        <v>74</v>
      </c>
      <c r="H1348" s="4" t="s">
        <v>2259</v>
      </c>
      <c r="I1348">
        <v>896505</v>
      </c>
      <c r="J1348" s="8" t="s">
        <v>2345</v>
      </c>
      <c r="K1348" t="s">
        <v>636</v>
      </c>
      <c r="L1348" t="s">
        <v>637</v>
      </c>
      <c r="M1348" t="s">
        <v>45</v>
      </c>
      <c r="N1348">
        <f t="shared" si="63"/>
        <v>6</v>
      </c>
      <c r="O1348">
        <v>6</v>
      </c>
      <c r="P1348" s="6">
        <v>129.77000000000001</v>
      </c>
      <c r="Q1348">
        <v>0</v>
      </c>
      <c r="R1348">
        <v>778.62000000000012</v>
      </c>
      <c r="S1348">
        <v>38.93</v>
      </c>
      <c r="T1348">
        <v>10</v>
      </c>
      <c r="U1348">
        <v>0</v>
      </c>
      <c r="V1348">
        <v>827.55000000000007</v>
      </c>
      <c r="W1348" t="s">
        <v>27</v>
      </c>
      <c r="X1348">
        <v>31</v>
      </c>
    </row>
    <row r="1349" spans="1:24" ht="14.25" customHeight="1">
      <c r="A1349" t="s">
        <v>2097</v>
      </c>
      <c r="B1349" t="s">
        <v>2306</v>
      </c>
      <c r="C1349" s="6" t="str">
        <f t="shared" si="64"/>
        <v>February</v>
      </c>
      <c r="D1349" s="6" t="str">
        <f t="shared" si="65"/>
        <v>04</v>
      </c>
      <c r="E1349" t="s">
        <v>639</v>
      </c>
      <c r="F1349" t="s">
        <v>80</v>
      </c>
      <c r="G1349" t="s">
        <v>81</v>
      </c>
      <c r="H1349" s="4" t="s">
        <v>2259</v>
      </c>
      <c r="I1349">
        <v>929716</v>
      </c>
      <c r="J1349" s="8" t="s">
        <v>2346</v>
      </c>
      <c r="K1349" t="s">
        <v>640</v>
      </c>
      <c r="L1349" t="s">
        <v>641</v>
      </c>
      <c r="M1349" t="s">
        <v>140</v>
      </c>
      <c r="N1349">
        <f t="shared" si="63"/>
        <v>3</v>
      </c>
      <c r="O1349">
        <v>3</v>
      </c>
      <c r="P1349" s="6">
        <v>160.28</v>
      </c>
      <c r="Q1349">
        <v>24.04</v>
      </c>
      <c r="R1349">
        <v>456.8</v>
      </c>
      <c r="S1349">
        <v>22.84</v>
      </c>
      <c r="T1349">
        <v>20</v>
      </c>
      <c r="U1349">
        <v>10</v>
      </c>
      <c r="V1349">
        <v>509.64</v>
      </c>
      <c r="W1349" t="s">
        <v>27</v>
      </c>
      <c r="X1349">
        <v>36</v>
      </c>
    </row>
    <row r="1350" spans="1:24" ht="14.25" customHeight="1">
      <c r="A1350" t="s">
        <v>2098</v>
      </c>
      <c r="B1350" t="s">
        <v>2268</v>
      </c>
      <c r="C1350" s="6" t="str">
        <f t="shared" si="64"/>
        <v>January</v>
      </c>
      <c r="D1350" s="6" t="str">
        <f t="shared" si="65"/>
        <v>21</v>
      </c>
      <c r="E1350" t="s">
        <v>643</v>
      </c>
      <c r="F1350" t="s">
        <v>21</v>
      </c>
      <c r="G1350" t="s">
        <v>74</v>
      </c>
      <c r="H1350" s="4" t="s">
        <v>2259</v>
      </c>
      <c r="I1350">
        <v>685768</v>
      </c>
      <c r="J1350" s="8" t="s">
        <v>2345</v>
      </c>
      <c r="K1350" t="s">
        <v>644</v>
      </c>
      <c r="L1350" t="s">
        <v>645</v>
      </c>
      <c r="M1350" t="s">
        <v>135</v>
      </c>
      <c r="N1350">
        <f t="shared" si="63"/>
        <v>9</v>
      </c>
      <c r="O1350">
        <v>1</v>
      </c>
      <c r="P1350" s="6">
        <v>171.89</v>
      </c>
      <c r="Q1350">
        <v>8.59</v>
      </c>
      <c r="R1350">
        <v>163.30000000000001</v>
      </c>
      <c r="S1350">
        <v>8.16</v>
      </c>
      <c r="T1350">
        <v>10</v>
      </c>
      <c r="U1350">
        <v>20</v>
      </c>
      <c r="V1350">
        <v>201.46</v>
      </c>
      <c r="W1350" t="s">
        <v>27</v>
      </c>
      <c r="X1350">
        <v>39</v>
      </c>
    </row>
    <row r="1351" spans="1:24" ht="14.25" customHeight="1">
      <c r="A1351" t="s">
        <v>2099</v>
      </c>
      <c r="B1351" t="s">
        <v>2297</v>
      </c>
      <c r="C1351" s="6" t="str">
        <f t="shared" si="64"/>
        <v>February</v>
      </c>
      <c r="D1351" s="6" t="str">
        <f t="shared" si="65"/>
        <v>06</v>
      </c>
      <c r="E1351" t="s">
        <v>647</v>
      </c>
      <c r="F1351" t="s">
        <v>21</v>
      </c>
      <c r="G1351" t="s">
        <v>106</v>
      </c>
      <c r="H1351" s="4" t="s">
        <v>2259</v>
      </c>
      <c r="I1351">
        <v>570076</v>
      </c>
      <c r="J1351" s="8" t="s">
        <v>2347</v>
      </c>
      <c r="K1351" t="s">
        <v>648</v>
      </c>
      <c r="L1351" t="s">
        <v>649</v>
      </c>
      <c r="M1351" t="s">
        <v>33</v>
      </c>
      <c r="N1351">
        <f t="shared" si="63"/>
        <v>10</v>
      </c>
      <c r="O1351">
        <v>5</v>
      </c>
      <c r="P1351" s="6">
        <v>102.22</v>
      </c>
      <c r="Q1351">
        <v>5.1100000000000003</v>
      </c>
      <c r="R1351">
        <v>505.99</v>
      </c>
      <c r="S1351">
        <v>25.3</v>
      </c>
      <c r="T1351">
        <v>20</v>
      </c>
      <c r="U1351">
        <v>15</v>
      </c>
      <c r="V1351">
        <v>566.29</v>
      </c>
      <c r="W1351" t="s">
        <v>84</v>
      </c>
      <c r="X1351">
        <v>25</v>
      </c>
    </row>
    <row r="1352" spans="1:24" ht="14.25" customHeight="1">
      <c r="A1352" t="s">
        <v>2100</v>
      </c>
      <c r="B1352" t="s">
        <v>2317</v>
      </c>
      <c r="C1352" s="6" t="str">
        <f t="shared" si="64"/>
        <v>January</v>
      </c>
      <c r="D1352" s="6" t="str">
        <f t="shared" si="65"/>
        <v>05</v>
      </c>
      <c r="E1352" t="s">
        <v>651</v>
      </c>
      <c r="F1352" t="s">
        <v>21</v>
      </c>
      <c r="G1352" t="s">
        <v>68</v>
      </c>
      <c r="H1352" s="4" t="s">
        <v>2259</v>
      </c>
      <c r="I1352">
        <v>664365</v>
      </c>
      <c r="J1352" s="8" t="s">
        <v>30</v>
      </c>
      <c r="K1352" t="s">
        <v>652</v>
      </c>
      <c r="L1352" t="s">
        <v>653</v>
      </c>
      <c r="M1352" t="s">
        <v>55</v>
      </c>
      <c r="N1352">
        <f t="shared" si="63"/>
        <v>5</v>
      </c>
      <c r="O1352">
        <v>1</v>
      </c>
      <c r="P1352" s="6">
        <v>99.61</v>
      </c>
      <c r="Q1352">
        <v>14.94</v>
      </c>
      <c r="R1352">
        <v>84.67</v>
      </c>
      <c r="S1352">
        <v>4.2300000000000004</v>
      </c>
      <c r="T1352">
        <v>20</v>
      </c>
      <c r="U1352">
        <v>0</v>
      </c>
      <c r="V1352">
        <v>108.9</v>
      </c>
      <c r="W1352" t="s">
        <v>27</v>
      </c>
      <c r="X1352">
        <v>27</v>
      </c>
    </row>
    <row r="1353" spans="1:24" ht="14.25" customHeight="1">
      <c r="A1353" t="s">
        <v>2101</v>
      </c>
      <c r="B1353" t="s">
        <v>2270</v>
      </c>
      <c r="C1353" s="6" t="str">
        <f t="shared" si="64"/>
        <v>January</v>
      </c>
      <c r="D1353" s="6" t="str">
        <f t="shared" si="65"/>
        <v>19</v>
      </c>
      <c r="E1353" t="s">
        <v>655</v>
      </c>
      <c r="F1353" t="s">
        <v>21</v>
      </c>
      <c r="G1353" t="s">
        <v>68</v>
      </c>
      <c r="H1353" s="4" t="s">
        <v>2259</v>
      </c>
      <c r="I1353">
        <v>961579</v>
      </c>
      <c r="J1353" s="8" t="s">
        <v>62</v>
      </c>
      <c r="K1353" t="s">
        <v>656</v>
      </c>
      <c r="L1353" t="s">
        <v>657</v>
      </c>
      <c r="M1353" t="s">
        <v>26</v>
      </c>
      <c r="N1353">
        <f t="shared" si="63"/>
        <v>3</v>
      </c>
      <c r="O1353">
        <v>2</v>
      </c>
      <c r="P1353" s="6">
        <v>152.57</v>
      </c>
      <c r="Q1353">
        <v>22.89</v>
      </c>
      <c r="R1353">
        <v>282.25</v>
      </c>
      <c r="S1353">
        <v>14.11</v>
      </c>
      <c r="T1353">
        <v>30</v>
      </c>
      <c r="U1353">
        <v>5</v>
      </c>
      <c r="V1353">
        <v>331.36</v>
      </c>
      <c r="W1353" t="s">
        <v>27</v>
      </c>
      <c r="X1353">
        <v>4</v>
      </c>
    </row>
    <row r="1354" spans="1:24" ht="14.25" customHeight="1">
      <c r="A1354" t="s">
        <v>2102</v>
      </c>
      <c r="B1354" t="s">
        <v>2289</v>
      </c>
      <c r="C1354" s="6" t="str">
        <f t="shared" si="64"/>
        <v>February</v>
      </c>
      <c r="D1354" s="6" t="str">
        <f t="shared" si="65"/>
        <v>28</v>
      </c>
      <c r="E1354" t="s">
        <v>659</v>
      </c>
      <c r="F1354" t="s">
        <v>21</v>
      </c>
      <c r="G1354" t="s">
        <v>22</v>
      </c>
      <c r="H1354" s="4" t="s">
        <v>2259</v>
      </c>
      <c r="I1354">
        <v>613694</v>
      </c>
      <c r="J1354" s="8" t="s">
        <v>2347</v>
      </c>
      <c r="K1354" t="s">
        <v>660</v>
      </c>
      <c r="L1354" t="s">
        <v>661</v>
      </c>
      <c r="M1354" t="s">
        <v>135</v>
      </c>
      <c r="N1354">
        <f t="shared" si="63"/>
        <v>9</v>
      </c>
      <c r="O1354">
        <v>3</v>
      </c>
      <c r="P1354" s="6">
        <v>215.94</v>
      </c>
      <c r="Q1354">
        <v>32.39</v>
      </c>
      <c r="R1354">
        <v>615.42999999999995</v>
      </c>
      <c r="S1354">
        <v>30.77</v>
      </c>
      <c r="T1354">
        <v>30</v>
      </c>
      <c r="U1354">
        <v>20</v>
      </c>
      <c r="V1354">
        <v>696.19999999999993</v>
      </c>
      <c r="W1354" t="s">
        <v>27</v>
      </c>
      <c r="X1354">
        <v>30</v>
      </c>
    </row>
    <row r="1355" spans="1:24" ht="14.25" customHeight="1">
      <c r="A1355" t="s">
        <v>2103</v>
      </c>
      <c r="B1355" t="s">
        <v>2302</v>
      </c>
      <c r="C1355" s="6" t="str">
        <f t="shared" si="64"/>
        <v>January</v>
      </c>
      <c r="D1355" s="6" t="str">
        <f t="shared" si="65"/>
        <v>14</v>
      </c>
      <c r="E1355" t="s">
        <v>663</v>
      </c>
      <c r="F1355" t="s">
        <v>21</v>
      </c>
      <c r="G1355" t="s">
        <v>106</v>
      </c>
      <c r="H1355" s="4" t="s">
        <v>2259</v>
      </c>
      <c r="I1355">
        <v>543232</v>
      </c>
      <c r="J1355" s="8" t="s">
        <v>30</v>
      </c>
      <c r="K1355" t="s">
        <v>664</v>
      </c>
      <c r="L1355" t="s">
        <v>665</v>
      </c>
      <c r="M1355" t="s">
        <v>71</v>
      </c>
      <c r="N1355">
        <f t="shared" si="63"/>
        <v>6</v>
      </c>
      <c r="O1355">
        <v>5</v>
      </c>
      <c r="P1355" s="6">
        <v>176.32</v>
      </c>
      <c r="Q1355">
        <v>17.63</v>
      </c>
      <c r="R1355">
        <v>863.96999999999991</v>
      </c>
      <c r="S1355">
        <v>43.2</v>
      </c>
      <c r="T1355">
        <v>10</v>
      </c>
      <c r="U1355">
        <v>10</v>
      </c>
      <c r="V1355">
        <v>927.17</v>
      </c>
      <c r="W1355" t="s">
        <v>27</v>
      </c>
      <c r="X1355">
        <v>40</v>
      </c>
    </row>
    <row r="1356" spans="1:24" ht="14.25" customHeight="1">
      <c r="A1356" t="s">
        <v>2104</v>
      </c>
      <c r="B1356" t="s">
        <v>2304</v>
      </c>
      <c r="C1356" s="6" t="str">
        <f t="shared" si="64"/>
        <v>January</v>
      </c>
      <c r="D1356" s="6" t="str">
        <f t="shared" si="65"/>
        <v>26</v>
      </c>
      <c r="E1356" t="s">
        <v>667</v>
      </c>
      <c r="F1356" t="s">
        <v>21</v>
      </c>
      <c r="G1356" t="s">
        <v>106</v>
      </c>
      <c r="H1356" s="4" t="s">
        <v>2259</v>
      </c>
      <c r="I1356">
        <v>628058</v>
      </c>
      <c r="J1356" s="8" t="s">
        <v>2345</v>
      </c>
      <c r="K1356" t="s">
        <v>668</v>
      </c>
      <c r="L1356" t="s">
        <v>669</v>
      </c>
      <c r="M1356" t="s">
        <v>33</v>
      </c>
      <c r="N1356">
        <f t="shared" si="63"/>
        <v>10</v>
      </c>
      <c r="O1356">
        <v>5</v>
      </c>
      <c r="P1356" s="6">
        <v>19.100000000000001</v>
      </c>
      <c r="Q1356">
        <v>2.87</v>
      </c>
      <c r="R1356">
        <v>92.63</v>
      </c>
      <c r="S1356">
        <v>4.63</v>
      </c>
      <c r="T1356">
        <v>0</v>
      </c>
      <c r="U1356">
        <v>5</v>
      </c>
      <c r="V1356">
        <v>102.26</v>
      </c>
      <c r="W1356" t="s">
        <v>27</v>
      </c>
      <c r="X1356">
        <v>22</v>
      </c>
    </row>
    <row r="1357" spans="1:24" ht="14.25" customHeight="1">
      <c r="A1357" t="s">
        <v>2105</v>
      </c>
      <c r="B1357" t="s">
        <v>2301</v>
      </c>
      <c r="C1357" s="6" t="str">
        <f t="shared" si="64"/>
        <v>January</v>
      </c>
      <c r="D1357" s="6" t="str">
        <f t="shared" si="65"/>
        <v>04</v>
      </c>
      <c r="E1357" t="s">
        <v>671</v>
      </c>
      <c r="F1357" t="s">
        <v>21</v>
      </c>
      <c r="G1357" t="s">
        <v>37</v>
      </c>
      <c r="H1357" s="4" t="s">
        <v>2259</v>
      </c>
      <c r="I1357">
        <v>120946</v>
      </c>
      <c r="J1357" s="8" t="s">
        <v>30</v>
      </c>
      <c r="K1357" t="s">
        <v>672</v>
      </c>
      <c r="L1357" t="s">
        <v>673</v>
      </c>
      <c r="M1357" t="s">
        <v>77</v>
      </c>
      <c r="N1357">
        <f t="shared" ref="N1357:N1420" si="66">LEN(M1357)</f>
        <v>5</v>
      </c>
      <c r="O1357">
        <v>5</v>
      </c>
      <c r="P1357" s="6">
        <v>117.34</v>
      </c>
      <c r="Q1357">
        <v>11.73</v>
      </c>
      <c r="R1357">
        <v>574.97</v>
      </c>
      <c r="S1357">
        <v>28.75</v>
      </c>
      <c r="T1357">
        <v>20</v>
      </c>
      <c r="U1357">
        <v>15</v>
      </c>
      <c r="V1357">
        <v>638.72</v>
      </c>
      <c r="W1357" t="s">
        <v>117</v>
      </c>
      <c r="X1357">
        <v>25</v>
      </c>
    </row>
    <row r="1358" spans="1:24" ht="14.25" customHeight="1">
      <c r="A1358" t="s">
        <v>2106</v>
      </c>
      <c r="B1358" t="s">
        <v>2286</v>
      </c>
      <c r="C1358" s="6" t="str">
        <f t="shared" si="64"/>
        <v>January</v>
      </c>
      <c r="D1358" s="6" t="str">
        <f t="shared" si="65"/>
        <v>25</v>
      </c>
      <c r="E1358" t="s">
        <v>675</v>
      </c>
      <c r="F1358" t="s">
        <v>21</v>
      </c>
      <c r="G1358" t="s">
        <v>37</v>
      </c>
      <c r="H1358" s="4" t="s">
        <v>2259</v>
      </c>
      <c r="I1358">
        <v>385815</v>
      </c>
      <c r="J1358" s="8" t="s">
        <v>2346</v>
      </c>
      <c r="K1358" t="s">
        <v>676</v>
      </c>
      <c r="L1358" t="s">
        <v>677</v>
      </c>
      <c r="M1358" t="s">
        <v>22</v>
      </c>
      <c r="N1358">
        <f t="shared" si="66"/>
        <v>6</v>
      </c>
      <c r="O1358">
        <v>2</v>
      </c>
      <c r="P1358" s="6">
        <v>134.53</v>
      </c>
      <c r="Q1358">
        <v>6.73</v>
      </c>
      <c r="R1358">
        <v>262.33</v>
      </c>
      <c r="S1358">
        <v>13.12</v>
      </c>
      <c r="T1358">
        <v>10</v>
      </c>
      <c r="U1358">
        <v>5</v>
      </c>
      <c r="V1358">
        <v>290.45</v>
      </c>
      <c r="W1358" t="s">
        <v>27</v>
      </c>
      <c r="X1358">
        <v>26</v>
      </c>
    </row>
    <row r="1359" spans="1:24" ht="14.25" customHeight="1">
      <c r="A1359" t="s">
        <v>2107</v>
      </c>
      <c r="B1359" t="s">
        <v>2314</v>
      </c>
      <c r="C1359" s="6" t="str">
        <f t="shared" si="64"/>
        <v>February</v>
      </c>
      <c r="D1359" s="6" t="str">
        <f t="shared" si="65"/>
        <v>14</v>
      </c>
      <c r="E1359" t="s">
        <v>679</v>
      </c>
      <c r="F1359" t="s">
        <v>21</v>
      </c>
      <c r="G1359" t="s">
        <v>37</v>
      </c>
      <c r="H1359" s="4" t="s">
        <v>2259</v>
      </c>
      <c r="I1359">
        <v>419957</v>
      </c>
      <c r="J1359" s="8" t="s">
        <v>2345</v>
      </c>
      <c r="K1359" t="s">
        <v>680</v>
      </c>
      <c r="L1359" t="s">
        <v>681</v>
      </c>
      <c r="M1359" t="s">
        <v>22</v>
      </c>
      <c r="N1359">
        <f t="shared" si="66"/>
        <v>6</v>
      </c>
      <c r="O1359">
        <v>3</v>
      </c>
      <c r="P1359" s="6">
        <v>120.44</v>
      </c>
      <c r="Q1359">
        <v>18.07</v>
      </c>
      <c r="R1359">
        <v>343.25</v>
      </c>
      <c r="S1359">
        <v>17.16</v>
      </c>
      <c r="T1359">
        <v>0</v>
      </c>
      <c r="U1359">
        <v>20</v>
      </c>
      <c r="V1359">
        <v>380.41</v>
      </c>
      <c r="W1359" t="s">
        <v>27</v>
      </c>
      <c r="X1359">
        <v>10</v>
      </c>
    </row>
    <row r="1360" spans="1:24" ht="14.25" customHeight="1">
      <c r="A1360" t="s">
        <v>2108</v>
      </c>
      <c r="B1360" t="s">
        <v>2290</v>
      </c>
      <c r="C1360" s="6" t="str">
        <f t="shared" si="64"/>
        <v>February</v>
      </c>
      <c r="D1360" s="6" t="str">
        <f t="shared" si="65"/>
        <v>11</v>
      </c>
      <c r="E1360" t="s">
        <v>683</v>
      </c>
      <c r="F1360" t="s">
        <v>21</v>
      </c>
      <c r="G1360" t="s">
        <v>22</v>
      </c>
      <c r="H1360" s="4" t="s">
        <v>2259</v>
      </c>
      <c r="I1360">
        <v>323687</v>
      </c>
      <c r="J1360" s="8" t="s">
        <v>2346</v>
      </c>
      <c r="K1360" t="s">
        <v>684</v>
      </c>
      <c r="L1360" t="s">
        <v>685</v>
      </c>
      <c r="M1360" t="s">
        <v>50</v>
      </c>
      <c r="N1360">
        <f t="shared" si="66"/>
        <v>5</v>
      </c>
      <c r="O1360">
        <v>5</v>
      </c>
      <c r="P1360" s="6">
        <v>93.16</v>
      </c>
      <c r="Q1360">
        <v>13.97</v>
      </c>
      <c r="R1360">
        <v>451.82999999999993</v>
      </c>
      <c r="S1360">
        <v>22.59</v>
      </c>
      <c r="T1360">
        <v>20</v>
      </c>
      <c r="U1360">
        <v>15</v>
      </c>
      <c r="V1360">
        <v>509.4199999999999</v>
      </c>
      <c r="W1360" t="s">
        <v>27</v>
      </c>
      <c r="X1360">
        <v>3</v>
      </c>
    </row>
    <row r="1361" spans="1:24" ht="14.25" customHeight="1">
      <c r="A1361" t="s">
        <v>2109</v>
      </c>
      <c r="B1361" t="s">
        <v>2286</v>
      </c>
      <c r="C1361" s="6" t="str">
        <f t="shared" si="64"/>
        <v>January</v>
      </c>
      <c r="D1361" s="6" t="str">
        <f t="shared" si="65"/>
        <v>25</v>
      </c>
      <c r="E1361" t="s">
        <v>687</v>
      </c>
      <c r="F1361" t="s">
        <v>101</v>
      </c>
      <c r="G1361" t="s">
        <v>81</v>
      </c>
      <c r="H1361" s="4" t="s">
        <v>2259</v>
      </c>
      <c r="I1361">
        <v>719716</v>
      </c>
      <c r="J1361" s="8" t="s">
        <v>30</v>
      </c>
      <c r="K1361" t="s">
        <v>688</v>
      </c>
      <c r="L1361" t="s">
        <v>689</v>
      </c>
      <c r="M1361" t="s">
        <v>22</v>
      </c>
      <c r="N1361">
        <f t="shared" si="66"/>
        <v>6</v>
      </c>
      <c r="O1361">
        <v>1</v>
      </c>
      <c r="P1361" s="6">
        <v>41.68</v>
      </c>
      <c r="Q1361">
        <v>2.08</v>
      </c>
      <c r="R1361">
        <v>39.6</v>
      </c>
      <c r="S1361">
        <v>1.98</v>
      </c>
      <c r="T1361">
        <v>20</v>
      </c>
      <c r="U1361">
        <v>10</v>
      </c>
      <c r="V1361">
        <v>71.58</v>
      </c>
      <c r="W1361" t="s">
        <v>27</v>
      </c>
      <c r="X1361">
        <v>23</v>
      </c>
    </row>
    <row r="1362" spans="1:24" ht="14.25" customHeight="1">
      <c r="A1362" t="s">
        <v>2110</v>
      </c>
      <c r="B1362" t="s">
        <v>2300</v>
      </c>
      <c r="C1362" s="6" t="str">
        <f t="shared" si="64"/>
        <v>January</v>
      </c>
      <c r="D1362" s="6" t="str">
        <f t="shared" si="65"/>
        <v>18</v>
      </c>
      <c r="E1362" t="s">
        <v>691</v>
      </c>
      <c r="F1362" t="s">
        <v>21</v>
      </c>
      <c r="G1362" t="s">
        <v>68</v>
      </c>
      <c r="H1362" s="4" t="s">
        <v>2259</v>
      </c>
      <c r="I1362">
        <v>971171</v>
      </c>
      <c r="J1362" s="8" t="s">
        <v>2349</v>
      </c>
      <c r="K1362" t="s">
        <v>692</v>
      </c>
      <c r="L1362" t="s">
        <v>693</v>
      </c>
      <c r="M1362" t="s">
        <v>135</v>
      </c>
      <c r="N1362">
        <f t="shared" si="66"/>
        <v>9</v>
      </c>
      <c r="O1362">
        <v>5</v>
      </c>
      <c r="P1362" s="6">
        <v>244.2</v>
      </c>
      <c r="Q1362">
        <v>12.21</v>
      </c>
      <c r="R1362">
        <v>1208.79</v>
      </c>
      <c r="S1362">
        <v>60.44</v>
      </c>
      <c r="T1362">
        <v>30</v>
      </c>
      <c r="U1362">
        <v>15</v>
      </c>
      <c r="V1362">
        <v>1314.23</v>
      </c>
      <c r="W1362" t="s">
        <v>27</v>
      </c>
      <c r="X1362">
        <v>32</v>
      </c>
    </row>
    <row r="1363" spans="1:24" ht="14.25" customHeight="1">
      <c r="A1363" t="s">
        <v>2111</v>
      </c>
      <c r="B1363" t="s">
        <v>2276</v>
      </c>
      <c r="C1363" s="6" t="str">
        <f t="shared" si="64"/>
        <v>February</v>
      </c>
      <c r="D1363" s="6" t="str">
        <f t="shared" si="65"/>
        <v>09</v>
      </c>
      <c r="E1363" t="s">
        <v>695</v>
      </c>
      <c r="F1363" t="s">
        <v>101</v>
      </c>
      <c r="G1363" t="s">
        <v>81</v>
      </c>
      <c r="H1363" s="4" t="s">
        <v>2259</v>
      </c>
      <c r="I1363">
        <v>223168</v>
      </c>
      <c r="J1363" s="8" t="s">
        <v>30</v>
      </c>
      <c r="K1363" t="s">
        <v>696</v>
      </c>
      <c r="L1363" t="s">
        <v>697</v>
      </c>
      <c r="M1363" t="s">
        <v>33</v>
      </c>
      <c r="N1363">
        <f t="shared" si="66"/>
        <v>10</v>
      </c>
      <c r="O1363">
        <v>4</v>
      </c>
      <c r="P1363" s="6">
        <v>130.78</v>
      </c>
      <c r="Q1363">
        <v>19.62</v>
      </c>
      <c r="R1363">
        <v>503.5</v>
      </c>
      <c r="S1363">
        <v>25.18</v>
      </c>
      <c r="T1363">
        <v>10</v>
      </c>
      <c r="U1363">
        <v>10</v>
      </c>
      <c r="V1363">
        <v>548.67999999999995</v>
      </c>
      <c r="W1363" t="s">
        <v>27</v>
      </c>
      <c r="X1363">
        <v>38</v>
      </c>
    </row>
    <row r="1364" spans="1:24" ht="14.25" customHeight="1">
      <c r="A1364" t="s">
        <v>2112</v>
      </c>
      <c r="B1364" t="s">
        <v>2267</v>
      </c>
      <c r="C1364" s="6" t="str">
        <f t="shared" si="64"/>
        <v>January</v>
      </c>
      <c r="D1364" s="6" t="str">
        <f t="shared" si="65"/>
        <v>08</v>
      </c>
      <c r="E1364" t="s">
        <v>699</v>
      </c>
      <c r="F1364" t="s">
        <v>21</v>
      </c>
      <c r="G1364" t="s">
        <v>106</v>
      </c>
      <c r="H1364" s="4" t="s">
        <v>2259</v>
      </c>
      <c r="I1364">
        <v>478355</v>
      </c>
      <c r="J1364" s="8" t="s">
        <v>30</v>
      </c>
      <c r="K1364" t="s">
        <v>700</v>
      </c>
      <c r="L1364" t="s">
        <v>701</v>
      </c>
      <c r="M1364" t="s">
        <v>33</v>
      </c>
      <c r="N1364">
        <f t="shared" si="66"/>
        <v>10</v>
      </c>
      <c r="O1364">
        <v>2</v>
      </c>
      <c r="P1364" s="6">
        <v>150.52000000000001</v>
      </c>
      <c r="Q1364">
        <v>22.58</v>
      </c>
      <c r="R1364">
        <v>278.45999999999998</v>
      </c>
      <c r="S1364">
        <v>13.92</v>
      </c>
      <c r="T1364">
        <v>30</v>
      </c>
      <c r="U1364">
        <v>5</v>
      </c>
      <c r="V1364">
        <v>327.38000000000011</v>
      </c>
      <c r="W1364" t="s">
        <v>27</v>
      </c>
      <c r="X1364">
        <v>14</v>
      </c>
    </row>
    <row r="1365" spans="1:24" ht="14.25" customHeight="1">
      <c r="A1365" t="s">
        <v>2113</v>
      </c>
      <c r="B1365" t="s">
        <v>2262</v>
      </c>
      <c r="C1365" s="6" t="str">
        <f t="shared" si="64"/>
        <v>February</v>
      </c>
      <c r="D1365" s="6" t="str">
        <f t="shared" si="65"/>
        <v>08</v>
      </c>
      <c r="E1365" t="s">
        <v>703</v>
      </c>
      <c r="F1365" t="s">
        <v>21</v>
      </c>
      <c r="G1365" t="s">
        <v>37</v>
      </c>
      <c r="H1365" s="4" t="s">
        <v>2259</v>
      </c>
      <c r="I1365">
        <v>726683</v>
      </c>
      <c r="J1365" s="8" t="s">
        <v>62</v>
      </c>
      <c r="K1365" t="s">
        <v>704</v>
      </c>
      <c r="L1365" t="s">
        <v>705</v>
      </c>
      <c r="M1365" t="s">
        <v>89</v>
      </c>
      <c r="N1365">
        <f t="shared" si="66"/>
        <v>7</v>
      </c>
      <c r="O1365">
        <v>3</v>
      </c>
      <c r="P1365" s="6">
        <v>114.93</v>
      </c>
      <c r="Q1365">
        <v>11.49</v>
      </c>
      <c r="R1365">
        <v>333.3</v>
      </c>
      <c r="S1365">
        <v>16.670000000000002</v>
      </c>
      <c r="T1365">
        <v>30</v>
      </c>
      <c r="U1365">
        <v>15</v>
      </c>
      <c r="V1365">
        <v>394.97</v>
      </c>
      <c r="W1365" t="s">
        <v>27</v>
      </c>
      <c r="X1365">
        <v>6</v>
      </c>
    </row>
    <row r="1366" spans="1:24" ht="14.25" customHeight="1">
      <c r="A1366" t="s">
        <v>2114</v>
      </c>
      <c r="B1366" t="s">
        <v>2276</v>
      </c>
      <c r="C1366" s="6" t="str">
        <f t="shared" si="64"/>
        <v>February</v>
      </c>
      <c r="D1366" s="6" t="str">
        <f t="shared" si="65"/>
        <v>09</v>
      </c>
      <c r="E1366" t="s">
        <v>707</v>
      </c>
      <c r="F1366" t="s">
        <v>21</v>
      </c>
      <c r="G1366" t="s">
        <v>106</v>
      </c>
      <c r="H1366" s="4" t="s">
        <v>2259</v>
      </c>
      <c r="I1366">
        <v>649391</v>
      </c>
      <c r="J1366" s="8" t="s">
        <v>2349</v>
      </c>
      <c r="K1366" t="s">
        <v>708</v>
      </c>
      <c r="L1366" t="s">
        <v>709</v>
      </c>
      <c r="M1366" t="s">
        <v>50</v>
      </c>
      <c r="N1366">
        <f t="shared" si="66"/>
        <v>5</v>
      </c>
      <c r="O1366">
        <v>2</v>
      </c>
      <c r="P1366" s="6">
        <v>209.47</v>
      </c>
      <c r="Q1366">
        <v>0</v>
      </c>
      <c r="R1366">
        <v>418.94</v>
      </c>
      <c r="S1366">
        <v>20.95</v>
      </c>
      <c r="T1366">
        <v>20</v>
      </c>
      <c r="U1366">
        <v>20</v>
      </c>
      <c r="V1366">
        <v>479.89</v>
      </c>
      <c r="W1366" t="s">
        <v>27</v>
      </c>
      <c r="X1366">
        <v>12</v>
      </c>
    </row>
    <row r="1367" spans="1:24" ht="14.25" customHeight="1">
      <c r="A1367" t="s">
        <v>2115</v>
      </c>
      <c r="B1367" t="s">
        <v>2302</v>
      </c>
      <c r="C1367" s="6" t="str">
        <f t="shared" si="64"/>
        <v>January</v>
      </c>
      <c r="D1367" s="6" t="str">
        <f t="shared" si="65"/>
        <v>14</v>
      </c>
      <c r="E1367" t="s">
        <v>711</v>
      </c>
      <c r="F1367" t="s">
        <v>21</v>
      </c>
      <c r="G1367" t="s">
        <v>37</v>
      </c>
      <c r="H1367" s="4" t="s">
        <v>2259</v>
      </c>
      <c r="I1367">
        <v>125825</v>
      </c>
      <c r="J1367" s="8" t="s">
        <v>30</v>
      </c>
      <c r="K1367" t="s">
        <v>712</v>
      </c>
      <c r="L1367" t="s">
        <v>713</v>
      </c>
      <c r="M1367" t="s">
        <v>98</v>
      </c>
      <c r="N1367">
        <f t="shared" si="66"/>
        <v>4</v>
      </c>
      <c r="O1367">
        <v>2</v>
      </c>
      <c r="P1367" s="6">
        <v>103.71</v>
      </c>
      <c r="Q1367">
        <v>0</v>
      </c>
      <c r="R1367">
        <v>207.42</v>
      </c>
      <c r="S1367">
        <v>10.37</v>
      </c>
      <c r="T1367">
        <v>20</v>
      </c>
      <c r="U1367">
        <v>10</v>
      </c>
      <c r="V1367">
        <v>247.79</v>
      </c>
      <c r="W1367" t="s">
        <v>27</v>
      </c>
      <c r="X1367">
        <v>26</v>
      </c>
    </row>
    <row r="1368" spans="1:24" ht="14.25" customHeight="1">
      <c r="A1368" t="s">
        <v>2116</v>
      </c>
      <c r="B1368" t="s">
        <v>2319</v>
      </c>
      <c r="C1368" s="6" t="str">
        <f t="shared" si="64"/>
        <v>February</v>
      </c>
      <c r="D1368" s="6" t="str">
        <f t="shared" si="65"/>
        <v>01</v>
      </c>
      <c r="E1368" t="s">
        <v>715</v>
      </c>
      <c r="F1368" t="s">
        <v>101</v>
      </c>
      <c r="G1368" t="s">
        <v>81</v>
      </c>
      <c r="H1368" s="4" t="s">
        <v>2259</v>
      </c>
      <c r="I1368">
        <v>166433</v>
      </c>
      <c r="J1368" s="8" t="s">
        <v>2348</v>
      </c>
      <c r="K1368" t="s">
        <v>716</v>
      </c>
      <c r="L1368" t="s">
        <v>717</v>
      </c>
      <c r="M1368" t="s">
        <v>71</v>
      </c>
      <c r="N1368">
        <f t="shared" si="66"/>
        <v>6</v>
      </c>
      <c r="O1368">
        <v>3</v>
      </c>
      <c r="P1368" s="6">
        <v>122.73</v>
      </c>
      <c r="Q1368">
        <v>6.14</v>
      </c>
      <c r="R1368">
        <v>362.05</v>
      </c>
      <c r="S1368">
        <v>18.100000000000001</v>
      </c>
      <c r="T1368">
        <v>30</v>
      </c>
      <c r="U1368">
        <v>5</v>
      </c>
      <c r="V1368">
        <v>415.15</v>
      </c>
      <c r="W1368" t="s">
        <v>27</v>
      </c>
      <c r="X1368">
        <v>21</v>
      </c>
    </row>
    <row r="1369" spans="1:24" ht="14.25" customHeight="1">
      <c r="A1369" t="s">
        <v>2117</v>
      </c>
      <c r="B1369" t="s">
        <v>2294</v>
      </c>
      <c r="C1369" s="6" t="str">
        <f t="shared" si="64"/>
        <v>February</v>
      </c>
      <c r="D1369" s="6" t="str">
        <f t="shared" si="65"/>
        <v>20</v>
      </c>
      <c r="E1369" t="s">
        <v>719</v>
      </c>
      <c r="F1369" t="s">
        <v>21</v>
      </c>
      <c r="G1369" t="s">
        <v>22</v>
      </c>
      <c r="H1369" s="4" t="s">
        <v>2259</v>
      </c>
      <c r="I1369">
        <v>546880</v>
      </c>
      <c r="J1369" s="8" t="s">
        <v>2346</v>
      </c>
      <c r="K1369" t="s">
        <v>720</v>
      </c>
      <c r="L1369" t="s">
        <v>721</v>
      </c>
      <c r="M1369" t="s">
        <v>77</v>
      </c>
      <c r="N1369">
        <f t="shared" si="66"/>
        <v>5</v>
      </c>
      <c r="O1369">
        <v>1</v>
      </c>
      <c r="P1369" s="6">
        <v>157.26</v>
      </c>
      <c r="Q1369">
        <v>0</v>
      </c>
      <c r="R1369">
        <v>157.26</v>
      </c>
      <c r="S1369">
        <v>7.86</v>
      </c>
      <c r="T1369">
        <v>10</v>
      </c>
      <c r="U1369">
        <v>15</v>
      </c>
      <c r="V1369">
        <v>190.12</v>
      </c>
      <c r="W1369" t="s">
        <v>34</v>
      </c>
      <c r="X1369">
        <v>25</v>
      </c>
    </row>
    <row r="1370" spans="1:24" ht="14.25" customHeight="1">
      <c r="A1370" t="s">
        <v>2118</v>
      </c>
      <c r="B1370" t="s">
        <v>2282</v>
      </c>
      <c r="C1370" s="6" t="str">
        <f t="shared" si="64"/>
        <v>February</v>
      </c>
      <c r="D1370" s="6" t="str">
        <f t="shared" si="65"/>
        <v>07</v>
      </c>
      <c r="E1370" t="s">
        <v>723</v>
      </c>
      <c r="F1370" t="s">
        <v>21</v>
      </c>
      <c r="G1370" t="s">
        <v>68</v>
      </c>
      <c r="H1370" s="4" t="s">
        <v>2259</v>
      </c>
      <c r="I1370">
        <v>913439</v>
      </c>
      <c r="J1370" s="8" t="s">
        <v>30</v>
      </c>
      <c r="K1370" t="s">
        <v>724</v>
      </c>
      <c r="L1370" t="s">
        <v>725</v>
      </c>
      <c r="M1370" t="s">
        <v>50</v>
      </c>
      <c r="N1370">
        <f t="shared" si="66"/>
        <v>5</v>
      </c>
      <c r="O1370">
        <v>2</v>
      </c>
      <c r="P1370" s="6">
        <v>6.52</v>
      </c>
      <c r="Q1370">
        <v>0</v>
      </c>
      <c r="R1370">
        <v>13.04</v>
      </c>
      <c r="S1370">
        <v>0.65</v>
      </c>
      <c r="T1370">
        <v>30</v>
      </c>
      <c r="U1370">
        <v>5</v>
      </c>
      <c r="V1370">
        <v>48.69</v>
      </c>
      <c r="W1370" t="s">
        <v>27</v>
      </c>
      <c r="X1370">
        <v>33</v>
      </c>
    </row>
    <row r="1371" spans="1:24" ht="14.25" customHeight="1">
      <c r="A1371" t="s">
        <v>2119</v>
      </c>
      <c r="B1371" t="s">
        <v>2284</v>
      </c>
      <c r="C1371" s="6" t="str">
        <f t="shared" si="64"/>
        <v>February</v>
      </c>
      <c r="D1371" s="6" t="str">
        <f t="shared" si="65"/>
        <v>02</v>
      </c>
      <c r="E1371" t="s">
        <v>727</v>
      </c>
      <c r="F1371" t="s">
        <v>21</v>
      </c>
      <c r="G1371" t="s">
        <v>22</v>
      </c>
      <c r="H1371" s="4" t="s">
        <v>2259</v>
      </c>
      <c r="I1371">
        <v>333746</v>
      </c>
      <c r="J1371" s="8" t="s">
        <v>30</v>
      </c>
      <c r="K1371" t="s">
        <v>728</v>
      </c>
      <c r="L1371" t="s">
        <v>729</v>
      </c>
      <c r="M1371" t="s">
        <v>130</v>
      </c>
      <c r="N1371">
        <f t="shared" si="66"/>
        <v>7</v>
      </c>
      <c r="O1371">
        <v>4</v>
      </c>
      <c r="P1371" s="6">
        <v>99.8</v>
      </c>
      <c r="Q1371">
        <v>0</v>
      </c>
      <c r="R1371">
        <v>399.2</v>
      </c>
      <c r="S1371">
        <v>19.96</v>
      </c>
      <c r="T1371">
        <v>0</v>
      </c>
      <c r="U1371">
        <v>15</v>
      </c>
      <c r="V1371">
        <v>434.16</v>
      </c>
      <c r="W1371" t="s">
        <v>27</v>
      </c>
      <c r="X1371">
        <v>48</v>
      </c>
    </row>
    <row r="1372" spans="1:24" ht="14.25" customHeight="1">
      <c r="A1372" t="s">
        <v>2120</v>
      </c>
      <c r="B1372" t="s">
        <v>2271</v>
      </c>
      <c r="C1372" s="6" t="str">
        <f t="shared" si="64"/>
        <v>January</v>
      </c>
      <c r="D1372" s="6" t="str">
        <f t="shared" si="65"/>
        <v>23</v>
      </c>
      <c r="E1372" t="s">
        <v>731</v>
      </c>
      <c r="F1372" t="s">
        <v>21</v>
      </c>
      <c r="G1372" t="s">
        <v>22</v>
      </c>
      <c r="H1372" s="4" t="s">
        <v>2259</v>
      </c>
      <c r="I1372">
        <v>757116</v>
      </c>
      <c r="J1372" s="8" t="s">
        <v>2347</v>
      </c>
      <c r="K1372" t="s">
        <v>732</v>
      </c>
      <c r="L1372" t="s">
        <v>733</v>
      </c>
      <c r="M1372" t="s">
        <v>50</v>
      </c>
      <c r="N1372">
        <f t="shared" si="66"/>
        <v>5</v>
      </c>
      <c r="O1372">
        <v>1</v>
      </c>
      <c r="P1372" s="6">
        <v>150.11000000000001</v>
      </c>
      <c r="Q1372">
        <v>7.51</v>
      </c>
      <c r="R1372">
        <v>142.6</v>
      </c>
      <c r="S1372">
        <v>7.13</v>
      </c>
      <c r="T1372">
        <v>30</v>
      </c>
      <c r="U1372">
        <v>15</v>
      </c>
      <c r="V1372">
        <v>194.73</v>
      </c>
      <c r="W1372" t="s">
        <v>27</v>
      </c>
      <c r="X1372">
        <v>18</v>
      </c>
    </row>
    <row r="1373" spans="1:24" ht="14.25" customHeight="1">
      <c r="A1373" t="s">
        <v>2121</v>
      </c>
      <c r="B1373" t="s">
        <v>2265</v>
      </c>
      <c r="C1373" s="6" t="str">
        <f t="shared" si="64"/>
        <v>January</v>
      </c>
      <c r="D1373" s="6" t="str">
        <f t="shared" si="65"/>
        <v>15</v>
      </c>
      <c r="E1373" t="s">
        <v>735</v>
      </c>
      <c r="F1373" t="s">
        <v>21</v>
      </c>
      <c r="G1373" t="s">
        <v>37</v>
      </c>
      <c r="H1373" s="4" t="s">
        <v>2259</v>
      </c>
      <c r="I1373">
        <v>497751</v>
      </c>
      <c r="J1373" s="8" t="s">
        <v>2349</v>
      </c>
      <c r="K1373" t="s">
        <v>736</v>
      </c>
      <c r="L1373" t="s">
        <v>737</v>
      </c>
      <c r="M1373" t="s">
        <v>130</v>
      </c>
      <c r="N1373">
        <f t="shared" si="66"/>
        <v>7</v>
      </c>
      <c r="O1373">
        <v>6</v>
      </c>
      <c r="P1373" s="6">
        <v>169.56</v>
      </c>
      <c r="Q1373">
        <v>16.96</v>
      </c>
      <c r="R1373">
        <v>1000.4</v>
      </c>
      <c r="S1373">
        <v>50.02</v>
      </c>
      <c r="T1373">
        <v>0</v>
      </c>
      <c r="U1373">
        <v>20</v>
      </c>
      <c r="V1373">
        <v>1070.42</v>
      </c>
      <c r="W1373" t="s">
        <v>27</v>
      </c>
      <c r="X1373">
        <v>26</v>
      </c>
    </row>
    <row r="1374" spans="1:24" ht="14.25" customHeight="1">
      <c r="A1374" t="s">
        <v>2122</v>
      </c>
      <c r="B1374" t="s">
        <v>2284</v>
      </c>
      <c r="C1374" s="6" t="str">
        <f t="shared" si="64"/>
        <v>February</v>
      </c>
      <c r="D1374" s="6" t="str">
        <f t="shared" si="65"/>
        <v>02</v>
      </c>
      <c r="E1374" t="s">
        <v>739</v>
      </c>
      <c r="F1374" t="s">
        <v>21</v>
      </c>
      <c r="G1374" t="s">
        <v>68</v>
      </c>
      <c r="H1374" s="4" t="s">
        <v>2259</v>
      </c>
      <c r="I1374">
        <v>553028</v>
      </c>
      <c r="J1374" s="8" t="s">
        <v>30</v>
      </c>
      <c r="K1374" t="s">
        <v>740</v>
      </c>
      <c r="L1374" t="s">
        <v>741</v>
      </c>
      <c r="M1374" t="s">
        <v>65</v>
      </c>
      <c r="N1374">
        <f t="shared" si="66"/>
        <v>6</v>
      </c>
      <c r="O1374">
        <v>2</v>
      </c>
      <c r="P1374" s="6">
        <v>111.99</v>
      </c>
      <c r="Q1374">
        <v>16.8</v>
      </c>
      <c r="R1374">
        <v>207.18</v>
      </c>
      <c r="S1374">
        <v>10.36</v>
      </c>
      <c r="T1374">
        <v>0</v>
      </c>
      <c r="U1374">
        <v>20</v>
      </c>
      <c r="V1374">
        <v>237.54</v>
      </c>
      <c r="W1374" t="s">
        <v>27</v>
      </c>
      <c r="X1374">
        <v>26</v>
      </c>
    </row>
    <row r="1375" spans="1:24" ht="14.25" customHeight="1">
      <c r="A1375" t="s">
        <v>2123</v>
      </c>
      <c r="B1375" t="s">
        <v>2286</v>
      </c>
      <c r="C1375" s="6" t="str">
        <f t="shared" si="64"/>
        <v>January</v>
      </c>
      <c r="D1375" s="6" t="str">
        <f t="shared" si="65"/>
        <v>25</v>
      </c>
      <c r="E1375" t="s">
        <v>743</v>
      </c>
      <c r="F1375" t="s">
        <v>21</v>
      </c>
      <c r="G1375" t="s">
        <v>106</v>
      </c>
      <c r="H1375" s="4" t="s">
        <v>2259</v>
      </c>
      <c r="I1375">
        <v>110207</v>
      </c>
      <c r="J1375" s="8" t="s">
        <v>30</v>
      </c>
      <c r="K1375" t="s">
        <v>744</v>
      </c>
      <c r="L1375" t="s">
        <v>745</v>
      </c>
      <c r="M1375" t="s">
        <v>55</v>
      </c>
      <c r="N1375">
        <f t="shared" si="66"/>
        <v>5</v>
      </c>
      <c r="O1375">
        <v>3</v>
      </c>
      <c r="P1375" s="6">
        <v>104.29</v>
      </c>
      <c r="Q1375">
        <v>5.21</v>
      </c>
      <c r="R1375">
        <v>307.66000000000003</v>
      </c>
      <c r="S1375">
        <v>15.38</v>
      </c>
      <c r="T1375">
        <v>0</v>
      </c>
      <c r="U1375">
        <v>10</v>
      </c>
      <c r="V1375">
        <v>333.04</v>
      </c>
      <c r="W1375" t="s">
        <v>27</v>
      </c>
      <c r="X1375">
        <v>10</v>
      </c>
    </row>
    <row r="1376" spans="1:24" ht="14.25" customHeight="1">
      <c r="A1376" t="s">
        <v>2124</v>
      </c>
      <c r="B1376" t="s">
        <v>2307</v>
      </c>
      <c r="C1376" s="6" t="str">
        <f t="shared" si="64"/>
        <v>January</v>
      </c>
      <c r="D1376" s="6" t="str">
        <f t="shared" si="65"/>
        <v>17</v>
      </c>
      <c r="E1376" t="s">
        <v>747</v>
      </c>
      <c r="F1376" t="s">
        <v>21</v>
      </c>
      <c r="G1376" t="s">
        <v>74</v>
      </c>
      <c r="H1376" s="4" t="s">
        <v>2259</v>
      </c>
      <c r="I1376">
        <v>775616</v>
      </c>
      <c r="J1376" s="8" t="s">
        <v>30</v>
      </c>
      <c r="K1376" t="s">
        <v>748</v>
      </c>
      <c r="L1376" t="s">
        <v>749</v>
      </c>
      <c r="M1376" t="s">
        <v>40</v>
      </c>
      <c r="N1376">
        <f t="shared" si="66"/>
        <v>6</v>
      </c>
      <c r="O1376">
        <v>1</v>
      </c>
      <c r="P1376" s="6">
        <v>22.58</v>
      </c>
      <c r="Q1376">
        <v>3.39</v>
      </c>
      <c r="R1376">
        <v>19.190000000000001</v>
      </c>
      <c r="S1376">
        <v>0.96</v>
      </c>
      <c r="T1376">
        <v>30</v>
      </c>
      <c r="U1376">
        <v>0</v>
      </c>
      <c r="V1376">
        <v>50.15</v>
      </c>
      <c r="W1376" t="s">
        <v>27</v>
      </c>
      <c r="X1376">
        <v>21</v>
      </c>
    </row>
    <row r="1377" spans="1:24" ht="14.25" customHeight="1">
      <c r="A1377" t="s">
        <v>2125</v>
      </c>
      <c r="B1377" t="s">
        <v>2284</v>
      </c>
      <c r="C1377" s="6" t="str">
        <f t="shared" si="64"/>
        <v>February</v>
      </c>
      <c r="D1377" s="6" t="str">
        <f t="shared" si="65"/>
        <v>02</v>
      </c>
      <c r="E1377" t="s">
        <v>751</v>
      </c>
      <c r="F1377" t="s">
        <v>21</v>
      </c>
      <c r="G1377" t="s">
        <v>74</v>
      </c>
      <c r="H1377" s="4" t="s">
        <v>2259</v>
      </c>
      <c r="I1377">
        <v>929783</v>
      </c>
      <c r="J1377" s="8" t="s">
        <v>2348</v>
      </c>
      <c r="K1377" t="s">
        <v>752</v>
      </c>
      <c r="L1377" t="s">
        <v>753</v>
      </c>
      <c r="M1377" t="s">
        <v>55</v>
      </c>
      <c r="N1377">
        <f t="shared" si="66"/>
        <v>5</v>
      </c>
      <c r="O1377">
        <v>2</v>
      </c>
      <c r="P1377" s="6">
        <v>194.37</v>
      </c>
      <c r="Q1377">
        <v>9.7200000000000006</v>
      </c>
      <c r="R1377">
        <v>379.02</v>
      </c>
      <c r="S1377">
        <v>18.95</v>
      </c>
      <c r="T1377">
        <v>20</v>
      </c>
      <c r="U1377">
        <v>20</v>
      </c>
      <c r="V1377">
        <v>437.97</v>
      </c>
      <c r="W1377" t="s">
        <v>27</v>
      </c>
      <c r="X1377">
        <v>20</v>
      </c>
    </row>
    <row r="1378" spans="1:24" ht="14.25" customHeight="1">
      <c r="A1378" t="s">
        <v>2126</v>
      </c>
      <c r="B1378" t="s">
        <v>2293</v>
      </c>
      <c r="C1378" s="6" t="str">
        <f t="shared" si="64"/>
        <v>February</v>
      </c>
      <c r="D1378" s="6" t="str">
        <f t="shared" si="65"/>
        <v>16</v>
      </c>
      <c r="E1378" t="s">
        <v>755</v>
      </c>
      <c r="F1378" t="s">
        <v>80</v>
      </c>
      <c r="G1378" t="s">
        <v>81</v>
      </c>
      <c r="H1378" s="4" t="s">
        <v>2259</v>
      </c>
      <c r="I1378">
        <v>373363</v>
      </c>
      <c r="J1378" s="8" t="s">
        <v>30</v>
      </c>
      <c r="K1378" t="s">
        <v>756</v>
      </c>
      <c r="L1378" t="s">
        <v>757</v>
      </c>
      <c r="M1378" t="s">
        <v>177</v>
      </c>
      <c r="N1378">
        <f t="shared" si="66"/>
        <v>5</v>
      </c>
      <c r="O1378">
        <v>1</v>
      </c>
      <c r="P1378" s="6">
        <v>37.92</v>
      </c>
      <c r="Q1378">
        <v>5.69</v>
      </c>
      <c r="R1378">
        <v>32.229999999999997</v>
      </c>
      <c r="S1378">
        <v>1.61</v>
      </c>
      <c r="T1378">
        <v>0</v>
      </c>
      <c r="U1378">
        <v>15</v>
      </c>
      <c r="V1378">
        <v>48.84</v>
      </c>
      <c r="W1378" t="s">
        <v>27</v>
      </c>
      <c r="X1378">
        <v>13</v>
      </c>
    </row>
    <row r="1379" spans="1:24" ht="14.25" customHeight="1">
      <c r="A1379" t="s">
        <v>2127</v>
      </c>
      <c r="B1379" t="s">
        <v>2295</v>
      </c>
      <c r="C1379" s="6" t="str">
        <f t="shared" si="64"/>
        <v>February</v>
      </c>
      <c r="D1379" s="6" t="str">
        <f t="shared" si="65"/>
        <v>24</v>
      </c>
      <c r="E1379" t="s">
        <v>759</v>
      </c>
      <c r="F1379" t="s">
        <v>21</v>
      </c>
      <c r="G1379" t="s">
        <v>22</v>
      </c>
      <c r="H1379" s="4" t="s">
        <v>2259</v>
      </c>
      <c r="I1379">
        <v>331615</v>
      </c>
      <c r="J1379" s="8" t="s">
        <v>30</v>
      </c>
      <c r="K1379" t="s">
        <v>760</v>
      </c>
      <c r="L1379" t="s">
        <v>761</v>
      </c>
      <c r="M1379" t="s">
        <v>177</v>
      </c>
      <c r="N1379">
        <f t="shared" si="66"/>
        <v>5</v>
      </c>
      <c r="O1379">
        <v>5</v>
      </c>
      <c r="P1379" s="6">
        <v>108.57</v>
      </c>
      <c r="Q1379">
        <v>5.43</v>
      </c>
      <c r="R1379">
        <v>537.41999999999996</v>
      </c>
      <c r="S1379">
        <v>26.87</v>
      </c>
      <c r="T1379">
        <v>10</v>
      </c>
      <c r="U1379">
        <v>5</v>
      </c>
      <c r="V1379">
        <v>579.29</v>
      </c>
      <c r="W1379" t="s">
        <v>27</v>
      </c>
      <c r="X1379">
        <v>20</v>
      </c>
    </row>
    <row r="1380" spans="1:24" ht="14.25" customHeight="1">
      <c r="A1380" t="s">
        <v>2128</v>
      </c>
      <c r="B1380" t="s">
        <v>2279</v>
      </c>
      <c r="C1380" s="6" t="str">
        <f t="shared" si="64"/>
        <v>January</v>
      </c>
      <c r="D1380" s="6" t="str">
        <f t="shared" si="65"/>
        <v>02</v>
      </c>
      <c r="E1380" t="s">
        <v>763</v>
      </c>
      <c r="F1380" t="s">
        <v>21</v>
      </c>
      <c r="G1380" t="s">
        <v>37</v>
      </c>
      <c r="H1380" s="4" t="s">
        <v>2259</v>
      </c>
      <c r="I1380">
        <v>848979</v>
      </c>
      <c r="J1380" s="8" t="s">
        <v>2348</v>
      </c>
      <c r="K1380" t="s">
        <v>764</v>
      </c>
      <c r="L1380" t="s">
        <v>765</v>
      </c>
      <c r="M1380" t="s">
        <v>140</v>
      </c>
      <c r="N1380">
        <f t="shared" si="66"/>
        <v>3</v>
      </c>
      <c r="O1380">
        <v>3</v>
      </c>
      <c r="P1380" s="6">
        <v>140.30000000000001</v>
      </c>
      <c r="Q1380">
        <v>0</v>
      </c>
      <c r="R1380">
        <v>420.9</v>
      </c>
      <c r="S1380">
        <v>21.05</v>
      </c>
      <c r="T1380">
        <v>20</v>
      </c>
      <c r="U1380">
        <v>20</v>
      </c>
      <c r="V1380">
        <v>481.95</v>
      </c>
      <c r="W1380" t="s">
        <v>27</v>
      </c>
      <c r="X1380">
        <v>15</v>
      </c>
    </row>
    <row r="1381" spans="1:24" ht="14.25" customHeight="1">
      <c r="A1381" t="s">
        <v>2129</v>
      </c>
      <c r="B1381" t="s">
        <v>2302</v>
      </c>
      <c r="C1381" s="6" t="str">
        <f t="shared" si="64"/>
        <v>January</v>
      </c>
      <c r="D1381" s="6" t="str">
        <f t="shared" si="65"/>
        <v>14</v>
      </c>
      <c r="E1381" t="s">
        <v>767</v>
      </c>
      <c r="F1381" t="s">
        <v>21</v>
      </c>
      <c r="G1381" t="s">
        <v>22</v>
      </c>
      <c r="H1381" s="4" t="s">
        <v>2259</v>
      </c>
      <c r="I1381">
        <v>373672</v>
      </c>
      <c r="J1381" s="8" t="s">
        <v>30</v>
      </c>
      <c r="K1381" t="s">
        <v>768</v>
      </c>
      <c r="L1381" t="s">
        <v>769</v>
      </c>
      <c r="M1381" t="s">
        <v>65</v>
      </c>
      <c r="N1381">
        <f t="shared" si="66"/>
        <v>6</v>
      </c>
      <c r="O1381">
        <v>9</v>
      </c>
      <c r="P1381" s="6">
        <v>136.81</v>
      </c>
      <c r="Q1381">
        <v>0</v>
      </c>
      <c r="R1381">
        <v>1231.29</v>
      </c>
      <c r="S1381">
        <v>61.56</v>
      </c>
      <c r="T1381">
        <v>30</v>
      </c>
      <c r="U1381">
        <v>15</v>
      </c>
      <c r="V1381">
        <v>1337.85</v>
      </c>
      <c r="W1381" t="s">
        <v>27</v>
      </c>
      <c r="X1381">
        <v>25</v>
      </c>
    </row>
    <row r="1382" spans="1:24" ht="14.25" customHeight="1">
      <c r="A1382" t="s">
        <v>2130</v>
      </c>
      <c r="B1382" t="s">
        <v>2274</v>
      </c>
      <c r="C1382" s="6" t="str">
        <f t="shared" si="64"/>
        <v>February</v>
      </c>
      <c r="D1382" s="6" t="str">
        <f t="shared" si="65"/>
        <v>22</v>
      </c>
      <c r="E1382" t="s">
        <v>771</v>
      </c>
      <c r="F1382" t="s">
        <v>21</v>
      </c>
      <c r="G1382" t="s">
        <v>74</v>
      </c>
      <c r="H1382" s="4" t="s">
        <v>2259</v>
      </c>
      <c r="I1382">
        <v>674586</v>
      </c>
      <c r="J1382" s="8" t="s">
        <v>2347</v>
      </c>
      <c r="K1382" t="s">
        <v>772</v>
      </c>
      <c r="L1382" t="s">
        <v>773</v>
      </c>
      <c r="M1382" t="s">
        <v>89</v>
      </c>
      <c r="N1382">
        <f t="shared" si="66"/>
        <v>7</v>
      </c>
      <c r="O1382">
        <v>4</v>
      </c>
      <c r="P1382" s="6">
        <v>96.97</v>
      </c>
      <c r="Q1382">
        <v>4.8499999999999996</v>
      </c>
      <c r="R1382">
        <v>383.03</v>
      </c>
      <c r="S1382">
        <v>19.149999999999999</v>
      </c>
      <c r="T1382">
        <v>0</v>
      </c>
      <c r="U1382">
        <v>15</v>
      </c>
      <c r="V1382">
        <v>417.17999999999989</v>
      </c>
      <c r="W1382" t="s">
        <v>27</v>
      </c>
      <c r="X1382">
        <v>27</v>
      </c>
    </row>
    <row r="1383" spans="1:24" ht="14.25" customHeight="1">
      <c r="A1383" t="s">
        <v>2131</v>
      </c>
      <c r="B1383" t="s">
        <v>2276</v>
      </c>
      <c r="C1383" s="6" t="str">
        <f t="shared" si="64"/>
        <v>February</v>
      </c>
      <c r="D1383" s="6" t="str">
        <f t="shared" si="65"/>
        <v>09</v>
      </c>
      <c r="E1383" t="s">
        <v>775</v>
      </c>
      <c r="F1383" t="s">
        <v>21</v>
      </c>
      <c r="G1383" t="s">
        <v>106</v>
      </c>
      <c r="H1383" s="4" t="s">
        <v>2259</v>
      </c>
      <c r="I1383">
        <v>763478</v>
      </c>
      <c r="J1383" s="8" t="s">
        <v>2346</v>
      </c>
      <c r="K1383" t="s">
        <v>776</v>
      </c>
      <c r="L1383" t="s">
        <v>777</v>
      </c>
      <c r="M1383" t="s">
        <v>98</v>
      </c>
      <c r="N1383">
        <f t="shared" si="66"/>
        <v>4</v>
      </c>
      <c r="O1383">
        <v>1</v>
      </c>
      <c r="P1383" s="6">
        <v>118.41</v>
      </c>
      <c r="Q1383">
        <v>5.92</v>
      </c>
      <c r="R1383">
        <v>112.49</v>
      </c>
      <c r="S1383">
        <v>5.62</v>
      </c>
      <c r="T1383">
        <v>0</v>
      </c>
      <c r="U1383">
        <v>5</v>
      </c>
      <c r="V1383">
        <v>123.11</v>
      </c>
      <c r="W1383" t="s">
        <v>27</v>
      </c>
      <c r="X1383">
        <v>27</v>
      </c>
    </row>
    <row r="1384" spans="1:24" ht="14.25" customHeight="1">
      <c r="A1384" t="s">
        <v>2132</v>
      </c>
      <c r="B1384" t="s">
        <v>2276</v>
      </c>
      <c r="C1384" s="6" t="str">
        <f t="shared" si="64"/>
        <v>February</v>
      </c>
      <c r="D1384" s="6" t="str">
        <f t="shared" si="65"/>
        <v>09</v>
      </c>
      <c r="E1384" t="s">
        <v>779</v>
      </c>
      <c r="F1384" t="s">
        <v>21</v>
      </c>
      <c r="G1384" t="s">
        <v>68</v>
      </c>
      <c r="H1384" s="4" t="s">
        <v>2259</v>
      </c>
      <c r="I1384">
        <v>161394</v>
      </c>
      <c r="J1384" s="8" t="s">
        <v>2348</v>
      </c>
      <c r="K1384" t="s">
        <v>780</v>
      </c>
      <c r="L1384" t="s">
        <v>781</v>
      </c>
      <c r="M1384" t="s">
        <v>130</v>
      </c>
      <c r="N1384">
        <f t="shared" si="66"/>
        <v>7</v>
      </c>
      <c r="O1384">
        <v>4</v>
      </c>
      <c r="P1384" s="6">
        <v>203.46</v>
      </c>
      <c r="Q1384">
        <v>20.350000000000001</v>
      </c>
      <c r="R1384">
        <v>793.49</v>
      </c>
      <c r="S1384">
        <v>39.67</v>
      </c>
      <c r="T1384">
        <v>30</v>
      </c>
      <c r="U1384">
        <v>10</v>
      </c>
      <c r="V1384">
        <v>873.16</v>
      </c>
      <c r="W1384" t="s">
        <v>27</v>
      </c>
      <c r="X1384">
        <v>11</v>
      </c>
    </row>
    <row r="1385" spans="1:24" ht="14.25" customHeight="1">
      <c r="A1385" t="s">
        <v>2133</v>
      </c>
      <c r="B1385" t="s">
        <v>2294</v>
      </c>
      <c r="C1385" s="6" t="str">
        <f t="shared" si="64"/>
        <v>February</v>
      </c>
      <c r="D1385" s="6" t="str">
        <f t="shared" si="65"/>
        <v>20</v>
      </c>
      <c r="E1385" t="s">
        <v>783</v>
      </c>
      <c r="F1385" t="s">
        <v>21</v>
      </c>
      <c r="G1385" t="s">
        <v>74</v>
      </c>
      <c r="H1385" s="4" t="s">
        <v>2259</v>
      </c>
      <c r="I1385">
        <v>680206</v>
      </c>
      <c r="J1385" s="8" t="s">
        <v>2346</v>
      </c>
      <c r="K1385" t="s">
        <v>784</v>
      </c>
      <c r="L1385" t="s">
        <v>785</v>
      </c>
      <c r="M1385" t="s">
        <v>77</v>
      </c>
      <c r="N1385">
        <f t="shared" si="66"/>
        <v>5</v>
      </c>
      <c r="O1385">
        <v>1</v>
      </c>
      <c r="P1385" s="6">
        <v>32.92</v>
      </c>
      <c r="Q1385">
        <v>0</v>
      </c>
      <c r="R1385">
        <v>32.92</v>
      </c>
      <c r="S1385">
        <v>1.65</v>
      </c>
      <c r="T1385">
        <v>20</v>
      </c>
      <c r="U1385">
        <v>10</v>
      </c>
      <c r="V1385">
        <v>64.569999999999993</v>
      </c>
      <c r="W1385" t="s">
        <v>27</v>
      </c>
      <c r="X1385">
        <v>19</v>
      </c>
    </row>
    <row r="1386" spans="1:24" ht="14.25" customHeight="1">
      <c r="A1386" t="s">
        <v>2134</v>
      </c>
      <c r="B1386" t="s">
        <v>2262</v>
      </c>
      <c r="C1386" s="6" t="str">
        <f t="shared" si="64"/>
        <v>February</v>
      </c>
      <c r="D1386" s="6" t="str">
        <f t="shared" si="65"/>
        <v>08</v>
      </c>
      <c r="E1386" t="s">
        <v>787</v>
      </c>
      <c r="F1386" t="s">
        <v>21</v>
      </c>
      <c r="G1386" t="s">
        <v>37</v>
      </c>
      <c r="H1386" s="4" t="s">
        <v>2259</v>
      </c>
      <c r="I1386">
        <v>214310</v>
      </c>
      <c r="J1386" s="8" t="s">
        <v>30</v>
      </c>
      <c r="K1386" t="s">
        <v>788</v>
      </c>
      <c r="L1386" t="s">
        <v>789</v>
      </c>
      <c r="M1386" t="s">
        <v>33</v>
      </c>
      <c r="N1386">
        <f t="shared" si="66"/>
        <v>10</v>
      </c>
      <c r="O1386">
        <v>4</v>
      </c>
      <c r="P1386" s="6">
        <v>5.7</v>
      </c>
      <c r="Q1386">
        <v>0.56999999999999995</v>
      </c>
      <c r="R1386">
        <v>22.23</v>
      </c>
      <c r="S1386">
        <v>1.1100000000000001</v>
      </c>
      <c r="T1386">
        <v>30</v>
      </c>
      <c r="U1386">
        <v>5</v>
      </c>
      <c r="V1386">
        <v>58.34</v>
      </c>
      <c r="W1386" t="s">
        <v>27</v>
      </c>
      <c r="X1386">
        <v>27</v>
      </c>
    </row>
    <row r="1387" spans="1:24" ht="14.25" customHeight="1">
      <c r="A1387" t="s">
        <v>2135</v>
      </c>
      <c r="B1387" t="s">
        <v>2294</v>
      </c>
      <c r="C1387" s="6" t="str">
        <f t="shared" si="64"/>
        <v>February</v>
      </c>
      <c r="D1387" s="6" t="str">
        <f t="shared" si="65"/>
        <v>20</v>
      </c>
      <c r="E1387" t="s">
        <v>791</v>
      </c>
      <c r="F1387" t="s">
        <v>21</v>
      </c>
      <c r="G1387" t="s">
        <v>68</v>
      </c>
      <c r="H1387" s="4" t="s">
        <v>2259</v>
      </c>
      <c r="I1387">
        <v>796314</v>
      </c>
      <c r="J1387" s="8" t="s">
        <v>62</v>
      </c>
      <c r="K1387" t="s">
        <v>792</v>
      </c>
      <c r="L1387" t="s">
        <v>793</v>
      </c>
      <c r="M1387" t="s">
        <v>55</v>
      </c>
      <c r="N1387">
        <f t="shared" si="66"/>
        <v>5</v>
      </c>
      <c r="O1387">
        <v>3</v>
      </c>
      <c r="P1387" s="6">
        <v>100.87</v>
      </c>
      <c r="Q1387">
        <v>0</v>
      </c>
      <c r="R1387">
        <v>302.61</v>
      </c>
      <c r="S1387">
        <v>15.13</v>
      </c>
      <c r="T1387">
        <v>20</v>
      </c>
      <c r="U1387">
        <v>0</v>
      </c>
      <c r="V1387">
        <v>337.74</v>
      </c>
      <c r="W1387" t="s">
        <v>27</v>
      </c>
      <c r="X1387">
        <v>33</v>
      </c>
    </row>
    <row r="1388" spans="1:24" ht="14.25" customHeight="1">
      <c r="A1388" t="s">
        <v>2136</v>
      </c>
      <c r="B1388" t="s">
        <v>2308</v>
      </c>
      <c r="C1388" s="6" t="str">
        <f t="shared" si="64"/>
        <v>January</v>
      </c>
      <c r="D1388" s="6" t="str">
        <f t="shared" si="65"/>
        <v>06</v>
      </c>
      <c r="E1388" t="s">
        <v>795</v>
      </c>
      <c r="F1388" t="s">
        <v>21</v>
      </c>
      <c r="G1388" t="s">
        <v>37</v>
      </c>
      <c r="H1388" s="4" t="s">
        <v>2259</v>
      </c>
      <c r="I1388">
        <v>248112</v>
      </c>
      <c r="J1388" s="8" t="s">
        <v>2349</v>
      </c>
      <c r="K1388" t="s">
        <v>796</v>
      </c>
      <c r="L1388" t="s">
        <v>797</v>
      </c>
      <c r="M1388" t="s">
        <v>135</v>
      </c>
      <c r="N1388">
        <f t="shared" si="66"/>
        <v>9</v>
      </c>
      <c r="O1388">
        <v>2</v>
      </c>
      <c r="P1388" s="6">
        <v>26.52</v>
      </c>
      <c r="Q1388">
        <v>1.33</v>
      </c>
      <c r="R1388">
        <v>51.71</v>
      </c>
      <c r="S1388">
        <v>2.59</v>
      </c>
      <c r="T1388">
        <v>20</v>
      </c>
      <c r="U1388">
        <v>15</v>
      </c>
      <c r="V1388">
        <v>89.3</v>
      </c>
      <c r="W1388" t="s">
        <v>27</v>
      </c>
      <c r="X1388">
        <v>53</v>
      </c>
    </row>
    <row r="1389" spans="1:24" ht="14.25" customHeight="1">
      <c r="A1389" t="s">
        <v>2137</v>
      </c>
      <c r="B1389" t="s">
        <v>2308</v>
      </c>
      <c r="C1389" s="6" t="str">
        <f t="shared" si="64"/>
        <v>January</v>
      </c>
      <c r="D1389" s="6" t="str">
        <f t="shared" si="65"/>
        <v>06</v>
      </c>
      <c r="E1389" t="s">
        <v>799</v>
      </c>
      <c r="F1389" t="s">
        <v>21</v>
      </c>
      <c r="G1389" t="s">
        <v>22</v>
      </c>
      <c r="H1389" s="4" t="s">
        <v>2259</v>
      </c>
      <c r="I1389">
        <v>129048</v>
      </c>
      <c r="J1389" s="8" t="s">
        <v>30</v>
      </c>
      <c r="K1389" t="s">
        <v>800</v>
      </c>
      <c r="L1389" t="s">
        <v>801</v>
      </c>
      <c r="M1389" t="s">
        <v>71</v>
      </c>
      <c r="N1389">
        <f t="shared" si="66"/>
        <v>6</v>
      </c>
      <c r="O1389">
        <v>4</v>
      </c>
      <c r="P1389" s="6">
        <v>87.85</v>
      </c>
      <c r="Q1389">
        <v>13.18</v>
      </c>
      <c r="R1389">
        <v>338.22</v>
      </c>
      <c r="S1389">
        <v>16.91</v>
      </c>
      <c r="T1389">
        <v>30</v>
      </c>
      <c r="U1389">
        <v>0</v>
      </c>
      <c r="V1389">
        <v>385.13</v>
      </c>
      <c r="W1389" t="s">
        <v>27</v>
      </c>
      <c r="X1389">
        <v>31</v>
      </c>
    </row>
    <row r="1390" spans="1:24" ht="14.25" customHeight="1">
      <c r="A1390" t="s">
        <v>2138</v>
      </c>
      <c r="B1390" t="s">
        <v>2277</v>
      </c>
      <c r="C1390" s="6" t="str">
        <f t="shared" si="64"/>
        <v>January</v>
      </c>
      <c r="D1390" s="6" t="str">
        <f t="shared" si="65"/>
        <v>03</v>
      </c>
      <c r="E1390" t="s">
        <v>803</v>
      </c>
      <c r="F1390" t="s">
        <v>21</v>
      </c>
      <c r="G1390" t="s">
        <v>74</v>
      </c>
      <c r="H1390" s="4" t="s">
        <v>2259</v>
      </c>
      <c r="I1390">
        <v>120968</v>
      </c>
      <c r="J1390" s="8" t="s">
        <v>2346</v>
      </c>
      <c r="K1390" t="s">
        <v>804</v>
      </c>
      <c r="L1390" t="s">
        <v>805</v>
      </c>
      <c r="M1390" t="s">
        <v>135</v>
      </c>
      <c r="N1390">
        <f t="shared" si="66"/>
        <v>9</v>
      </c>
      <c r="O1390">
        <v>1</v>
      </c>
      <c r="P1390" s="6">
        <v>129.99</v>
      </c>
      <c r="Q1390">
        <v>19.5</v>
      </c>
      <c r="R1390">
        <v>110.49</v>
      </c>
      <c r="S1390">
        <v>5.52</v>
      </c>
      <c r="T1390">
        <v>30</v>
      </c>
      <c r="U1390">
        <v>20</v>
      </c>
      <c r="V1390">
        <v>166.01</v>
      </c>
      <c r="W1390" t="s">
        <v>27</v>
      </c>
      <c r="X1390">
        <v>16</v>
      </c>
    </row>
    <row r="1391" spans="1:24" ht="14.25" customHeight="1">
      <c r="A1391" t="s">
        <v>2139</v>
      </c>
      <c r="B1391" t="s">
        <v>2298</v>
      </c>
      <c r="C1391" s="6" t="str">
        <f t="shared" si="64"/>
        <v>January</v>
      </c>
      <c r="D1391" s="6" t="str">
        <f t="shared" si="65"/>
        <v>07</v>
      </c>
      <c r="E1391" t="s">
        <v>807</v>
      </c>
      <c r="F1391" t="s">
        <v>21</v>
      </c>
      <c r="G1391" t="s">
        <v>22</v>
      </c>
      <c r="H1391" s="4" t="s">
        <v>2259</v>
      </c>
      <c r="I1391">
        <v>441603</v>
      </c>
      <c r="J1391" s="8" t="s">
        <v>2349</v>
      </c>
      <c r="K1391" t="s">
        <v>808</v>
      </c>
      <c r="L1391" t="s">
        <v>809</v>
      </c>
      <c r="M1391" t="s">
        <v>77</v>
      </c>
      <c r="N1391">
        <f t="shared" si="66"/>
        <v>5</v>
      </c>
      <c r="O1391">
        <v>3</v>
      </c>
      <c r="P1391" s="6">
        <v>50.51</v>
      </c>
      <c r="Q1391">
        <v>7.58</v>
      </c>
      <c r="R1391">
        <v>143.94999999999999</v>
      </c>
      <c r="S1391">
        <v>7.2</v>
      </c>
      <c r="T1391">
        <v>10</v>
      </c>
      <c r="U1391">
        <v>20</v>
      </c>
      <c r="V1391">
        <v>181.15</v>
      </c>
      <c r="W1391" t="s">
        <v>27</v>
      </c>
      <c r="X1391">
        <v>15</v>
      </c>
    </row>
    <row r="1392" spans="1:24" ht="14.25" customHeight="1">
      <c r="A1392" t="s">
        <v>2140</v>
      </c>
      <c r="B1392" t="s">
        <v>2294</v>
      </c>
      <c r="C1392" s="6" t="str">
        <f t="shared" si="64"/>
        <v>February</v>
      </c>
      <c r="D1392" s="6" t="str">
        <f t="shared" si="65"/>
        <v>20</v>
      </c>
      <c r="E1392" t="s">
        <v>811</v>
      </c>
      <c r="F1392" t="s">
        <v>21</v>
      </c>
      <c r="G1392" t="s">
        <v>68</v>
      </c>
      <c r="H1392" s="4" t="s">
        <v>2259</v>
      </c>
      <c r="I1392">
        <v>200588</v>
      </c>
      <c r="J1392" s="8" t="s">
        <v>62</v>
      </c>
      <c r="K1392" t="s">
        <v>812</v>
      </c>
      <c r="L1392" t="s">
        <v>813</v>
      </c>
      <c r="M1392" t="s">
        <v>45</v>
      </c>
      <c r="N1392">
        <f t="shared" si="66"/>
        <v>6</v>
      </c>
      <c r="O1392">
        <v>1</v>
      </c>
      <c r="P1392" s="6">
        <v>100.23</v>
      </c>
      <c r="Q1392">
        <v>10.02</v>
      </c>
      <c r="R1392">
        <v>90.210000000000008</v>
      </c>
      <c r="S1392">
        <v>4.51</v>
      </c>
      <c r="T1392">
        <v>20</v>
      </c>
      <c r="U1392">
        <v>0</v>
      </c>
      <c r="V1392">
        <v>114.72</v>
      </c>
      <c r="W1392" t="s">
        <v>27</v>
      </c>
      <c r="X1392">
        <v>8</v>
      </c>
    </row>
    <row r="1393" spans="1:24" ht="14.25" customHeight="1">
      <c r="A1393" t="s">
        <v>2141</v>
      </c>
      <c r="B1393" t="s">
        <v>2267</v>
      </c>
      <c r="C1393" s="6" t="str">
        <f t="shared" si="64"/>
        <v>January</v>
      </c>
      <c r="D1393" s="6" t="str">
        <f t="shared" si="65"/>
        <v>08</v>
      </c>
      <c r="E1393" t="s">
        <v>815</v>
      </c>
      <c r="F1393" t="s">
        <v>21</v>
      </c>
      <c r="G1393" t="s">
        <v>74</v>
      </c>
      <c r="H1393" s="4" t="s">
        <v>2259</v>
      </c>
      <c r="I1393">
        <v>557301</v>
      </c>
      <c r="J1393" s="8" t="s">
        <v>2348</v>
      </c>
      <c r="K1393" t="s">
        <v>816</v>
      </c>
      <c r="L1393" t="s">
        <v>817</v>
      </c>
      <c r="M1393" t="s">
        <v>140</v>
      </c>
      <c r="N1393">
        <f t="shared" si="66"/>
        <v>3</v>
      </c>
      <c r="O1393">
        <v>3</v>
      </c>
      <c r="P1393" s="6">
        <v>208.68</v>
      </c>
      <c r="Q1393">
        <v>10.43</v>
      </c>
      <c r="R1393">
        <v>615.61</v>
      </c>
      <c r="S1393">
        <v>30.78</v>
      </c>
      <c r="T1393">
        <v>0</v>
      </c>
      <c r="U1393">
        <v>5</v>
      </c>
      <c r="V1393">
        <v>651.39</v>
      </c>
      <c r="W1393" t="s">
        <v>27</v>
      </c>
      <c r="X1393">
        <v>24</v>
      </c>
    </row>
    <row r="1394" spans="1:24" ht="14.25" customHeight="1">
      <c r="A1394" t="s">
        <v>2142</v>
      </c>
      <c r="B1394" t="s">
        <v>2290</v>
      </c>
      <c r="C1394" s="6" t="str">
        <f t="shared" si="64"/>
        <v>February</v>
      </c>
      <c r="D1394" s="6" t="str">
        <f t="shared" si="65"/>
        <v>11</v>
      </c>
      <c r="E1394" t="s">
        <v>819</v>
      </c>
      <c r="F1394" t="s">
        <v>21</v>
      </c>
      <c r="G1394" t="s">
        <v>37</v>
      </c>
      <c r="H1394" s="4" t="s">
        <v>2259</v>
      </c>
      <c r="I1394">
        <v>630992</v>
      </c>
      <c r="J1394" s="8" t="s">
        <v>30</v>
      </c>
      <c r="K1394" t="s">
        <v>820</v>
      </c>
      <c r="L1394" t="s">
        <v>821</v>
      </c>
      <c r="M1394" t="s">
        <v>130</v>
      </c>
      <c r="N1394">
        <f t="shared" si="66"/>
        <v>7</v>
      </c>
      <c r="O1394">
        <v>1</v>
      </c>
      <c r="P1394" s="6">
        <v>62.35</v>
      </c>
      <c r="Q1394">
        <v>0</v>
      </c>
      <c r="R1394">
        <v>62.35</v>
      </c>
      <c r="S1394">
        <v>3.12</v>
      </c>
      <c r="T1394">
        <v>30</v>
      </c>
      <c r="U1394">
        <v>15</v>
      </c>
      <c r="V1394">
        <v>110.47</v>
      </c>
      <c r="W1394" t="s">
        <v>34</v>
      </c>
      <c r="X1394">
        <v>25</v>
      </c>
    </row>
    <row r="1395" spans="1:24" ht="14.25" customHeight="1">
      <c r="A1395" t="s">
        <v>2143</v>
      </c>
      <c r="B1395" t="s">
        <v>2263</v>
      </c>
      <c r="C1395" s="6" t="str">
        <f t="shared" si="64"/>
        <v>February</v>
      </c>
      <c r="D1395" s="6" t="str">
        <f t="shared" si="65"/>
        <v>21</v>
      </c>
      <c r="E1395" t="s">
        <v>823</v>
      </c>
      <c r="F1395" t="s">
        <v>21</v>
      </c>
      <c r="G1395" t="s">
        <v>74</v>
      </c>
      <c r="H1395" s="4" t="s">
        <v>2259</v>
      </c>
      <c r="I1395">
        <v>429408</v>
      </c>
      <c r="J1395" s="8" t="s">
        <v>62</v>
      </c>
      <c r="K1395" t="s">
        <v>824</v>
      </c>
      <c r="L1395" t="s">
        <v>825</v>
      </c>
      <c r="M1395" t="s">
        <v>71</v>
      </c>
      <c r="N1395">
        <f t="shared" si="66"/>
        <v>6</v>
      </c>
      <c r="O1395">
        <v>4</v>
      </c>
      <c r="P1395" s="6">
        <v>60.26</v>
      </c>
      <c r="Q1395">
        <v>6.03</v>
      </c>
      <c r="R1395">
        <v>235.01</v>
      </c>
      <c r="S1395">
        <v>11.75</v>
      </c>
      <c r="T1395">
        <v>20</v>
      </c>
      <c r="U1395">
        <v>10</v>
      </c>
      <c r="V1395">
        <v>276.76</v>
      </c>
      <c r="W1395" t="s">
        <v>27</v>
      </c>
      <c r="X1395">
        <v>32</v>
      </c>
    </row>
    <row r="1396" spans="1:24" ht="14.25" customHeight="1">
      <c r="A1396" t="s">
        <v>2144</v>
      </c>
      <c r="B1396" t="s">
        <v>2265</v>
      </c>
      <c r="C1396" s="6" t="str">
        <f t="shared" si="64"/>
        <v>January</v>
      </c>
      <c r="D1396" s="6" t="str">
        <f t="shared" si="65"/>
        <v>15</v>
      </c>
      <c r="E1396" t="s">
        <v>827</v>
      </c>
      <c r="F1396" t="s">
        <v>21</v>
      </c>
      <c r="G1396" t="s">
        <v>74</v>
      </c>
      <c r="H1396" s="4" t="s">
        <v>2259</v>
      </c>
      <c r="I1396">
        <v>895772</v>
      </c>
      <c r="J1396" s="8" t="s">
        <v>2348</v>
      </c>
      <c r="K1396" t="s">
        <v>828</v>
      </c>
      <c r="L1396" t="s">
        <v>829</v>
      </c>
      <c r="M1396" t="s">
        <v>77</v>
      </c>
      <c r="N1396">
        <f t="shared" si="66"/>
        <v>5</v>
      </c>
      <c r="O1396">
        <v>1</v>
      </c>
      <c r="P1396" s="6">
        <v>93.3</v>
      </c>
      <c r="Q1396">
        <v>4.67</v>
      </c>
      <c r="R1396">
        <v>88.63</v>
      </c>
      <c r="S1396">
        <v>4.43</v>
      </c>
      <c r="T1396">
        <v>20</v>
      </c>
      <c r="U1396">
        <v>20</v>
      </c>
      <c r="V1396">
        <v>133.06</v>
      </c>
      <c r="W1396" t="s">
        <v>27</v>
      </c>
      <c r="X1396">
        <v>23</v>
      </c>
    </row>
    <row r="1397" spans="1:24" ht="14.25" customHeight="1">
      <c r="A1397" t="s">
        <v>2145</v>
      </c>
      <c r="B1397" t="s">
        <v>2293</v>
      </c>
      <c r="C1397" s="6" t="str">
        <f t="shared" si="64"/>
        <v>February</v>
      </c>
      <c r="D1397" s="6" t="str">
        <f t="shared" si="65"/>
        <v>16</v>
      </c>
      <c r="E1397" t="s">
        <v>831</v>
      </c>
      <c r="F1397" t="s">
        <v>21</v>
      </c>
      <c r="G1397" t="s">
        <v>37</v>
      </c>
      <c r="H1397" s="4" t="s">
        <v>2259</v>
      </c>
      <c r="I1397">
        <v>643447</v>
      </c>
      <c r="J1397" s="8" t="s">
        <v>2346</v>
      </c>
      <c r="K1397" t="s">
        <v>832</v>
      </c>
      <c r="L1397" t="s">
        <v>833</v>
      </c>
      <c r="M1397" t="s">
        <v>50</v>
      </c>
      <c r="N1397">
        <f t="shared" si="66"/>
        <v>5</v>
      </c>
      <c r="O1397">
        <v>1</v>
      </c>
      <c r="P1397" s="6">
        <v>61.65</v>
      </c>
      <c r="Q1397">
        <v>0</v>
      </c>
      <c r="R1397">
        <v>61.65</v>
      </c>
      <c r="S1397">
        <v>3.08</v>
      </c>
      <c r="T1397">
        <v>0</v>
      </c>
      <c r="U1397">
        <v>20</v>
      </c>
      <c r="V1397">
        <v>84.73</v>
      </c>
      <c r="W1397" t="s">
        <v>27</v>
      </c>
      <c r="X1397">
        <v>25</v>
      </c>
    </row>
    <row r="1398" spans="1:24" ht="14.25" customHeight="1">
      <c r="A1398" t="s">
        <v>2146</v>
      </c>
      <c r="B1398" t="s">
        <v>2264</v>
      </c>
      <c r="C1398" s="6" t="str">
        <f t="shared" si="64"/>
        <v>January</v>
      </c>
      <c r="D1398" s="6" t="str">
        <f t="shared" si="65"/>
        <v>29</v>
      </c>
      <c r="E1398" t="s">
        <v>835</v>
      </c>
      <c r="F1398" t="s">
        <v>21</v>
      </c>
      <c r="G1398" t="s">
        <v>74</v>
      </c>
      <c r="H1398" s="4" t="s">
        <v>2259</v>
      </c>
      <c r="I1398">
        <v>866164</v>
      </c>
      <c r="J1398" s="8" t="s">
        <v>2348</v>
      </c>
      <c r="K1398" t="s">
        <v>836</v>
      </c>
      <c r="L1398" t="s">
        <v>837</v>
      </c>
      <c r="M1398" t="s">
        <v>50</v>
      </c>
      <c r="N1398">
        <f t="shared" si="66"/>
        <v>5</v>
      </c>
      <c r="O1398">
        <v>1</v>
      </c>
      <c r="P1398" s="6">
        <v>130.77000000000001</v>
      </c>
      <c r="Q1398">
        <v>0</v>
      </c>
      <c r="R1398">
        <v>130.77000000000001</v>
      </c>
      <c r="S1398">
        <v>6.54</v>
      </c>
      <c r="T1398">
        <v>0</v>
      </c>
      <c r="U1398">
        <v>20</v>
      </c>
      <c r="V1398">
        <v>157.31</v>
      </c>
      <c r="W1398" t="s">
        <v>27</v>
      </c>
      <c r="X1398">
        <v>15</v>
      </c>
    </row>
    <row r="1399" spans="1:24" ht="14.25" customHeight="1">
      <c r="A1399" t="s">
        <v>2147</v>
      </c>
      <c r="B1399" t="s">
        <v>2284</v>
      </c>
      <c r="C1399" s="6" t="str">
        <f t="shared" si="64"/>
        <v>February</v>
      </c>
      <c r="D1399" s="6" t="str">
        <f t="shared" si="65"/>
        <v>02</v>
      </c>
      <c r="E1399" t="s">
        <v>839</v>
      </c>
      <c r="F1399" t="s">
        <v>21</v>
      </c>
      <c r="G1399" t="s">
        <v>68</v>
      </c>
      <c r="H1399" s="4" t="s">
        <v>2259</v>
      </c>
      <c r="I1399">
        <v>316351</v>
      </c>
      <c r="J1399" s="8" t="s">
        <v>2347</v>
      </c>
      <c r="K1399" t="s">
        <v>840</v>
      </c>
      <c r="L1399" t="s">
        <v>841</v>
      </c>
      <c r="M1399" t="s">
        <v>45</v>
      </c>
      <c r="N1399">
        <f t="shared" si="66"/>
        <v>6</v>
      </c>
      <c r="O1399">
        <v>3</v>
      </c>
      <c r="P1399" s="6">
        <v>94.38</v>
      </c>
      <c r="Q1399">
        <v>4.72</v>
      </c>
      <c r="R1399">
        <v>278.42</v>
      </c>
      <c r="S1399">
        <v>13.92</v>
      </c>
      <c r="T1399">
        <v>10</v>
      </c>
      <c r="U1399">
        <v>5</v>
      </c>
      <c r="V1399">
        <v>307.33999999999997</v>
      </c>
      <c r="W1399" t="s">
        <v>27</v>
      </c>
      <c r="X1399">
        <v>14</v>
      </c>
    </row>
    <row r="1400" spans="1:24" ht="14.25" customHeight="1">
      <c r="A1400" t="s">
        <v>2148</v>
      </c>
      <c r="B1400" t="s">
        <v>2263</v>
      </c>
      <c r="C1400" s="6" t="str">
        <f t="shared" si="64"/>
        <v>February</v>
      </c>
      <c r="D1400" s="6" t="str">
        <f t="shared" si="65"/>
        <v>21</v>
      </c>
      <c r="E1400" t="s">
        <v>843</v>
      </c>
      <c r="F1400" t="s">
        <v>101</v>
      </c>
      <c r="G1400" t="s">
        <v>81</v>
      </c>
      <c r="H1400" s="4" t="s">
        <v>2259</v>
      </c>
      <c r="I1400">
        <v>100209</v>
      </c>
      <c r="J1400" s="8" t="s">
        <v>2346</v>
      </c>
      <c r="K1400" t="s">
        <v>844</v>
      </c>
      <c r="L1400" t="s">
        <v>845</v>
      </c>
      <c r="M1400" t="s">
        <v>140</v>
      </c>
      <c r="N1400">
        <f t="shared" si="66"/>
        <v>3</v>
      </c>
      <c r="O1400">
        <v>5</v>
      </c>
      <c r="P1400" s="6">
        <v>188.59</v>
      </c>
      <c r="Q1400">
        <v>9.43</v>
      </c>
      <c r="R1400">
        <v>933.5200000000001</v>
      </c>
      <c r="S1400">
        <v>46.68</v>
      </c>
      <c r="T1400">
        <v>20</v>
      </c>
      <c r="U1400">
        <v>15</v>
      </c>
      <c r="V1400">
        <v>1015.2</v>
      </c>
      <c r="W1400" t="s">
        <v>27</v>
      </c>
      <c r="X1400">
        <v>43</v>
      </c>
    </row>
    <row r="1401" spans="1:24" ht="14.25" customHeight="1">
      <c r="A1401" t="s">
        <v>2149</v>
      </c>
      <c r="B1401" t="s">
        <v>2281</v>
      </c>
      <c r="C1401" s="6" t="str">
        <f t="shared" si="64"/>
        <v>January</v>
      </c>
      <c r="D1401" s="6" t="str">
        <f t="shared" si="65"/>
        <v>30</v>
      </c>
      <c r="E1401" t="s">
        <v>847</v>
      </c>
      <c r="F1401" t="s">
        <v>21</v>
      </c>
      <c r="G1401" t="s">
        <v>74</v>
      </c>
      <c r="H1401" s="4" t="s">
        <v>2259</v>
      </c>
      <c r="I1401">
        <v>330144</v>
      </c>
      <c r="J1401" s="8" t="s">
        <v>2345</v>
      </c>
      <c r="K1401" t="s">
        <v>848</v>
      </c>
      <c r="L1401" t="s">
        <v>849</v>
      </c>
      <c r="M1401" t="s">
        <v>65</v>
      </c>
      <c r="N1401">
        <f t="shared" si="66"/>
        <v>6</v>
      </c>
      <c r="O1401">
        <v>4</v>
      </c>
      <c r="P1401" s="6">
        <v>84.19</v>
      </c>
      <c r="Q1401">
        <v>12.63</v>
      </c>
      <c r="R1401">
        <v>324.13</v>
      </c>
      <c r="S1401">
        <v>16.21</v>
      </c>
      <c r="T1401">
        <v>20</v>
      </c>
      <c r="U1401">
        <v>5</v>
      </c>
      <c r="V1401">
        <v>365.34</v>
      </c>
      <c r="W1401" t="s">
        <v>27</v>
      </c>
      <c r="X1401">
        <v>8</v>
      </c>
    </row>
    <row r="1402" spans="1:24" ht="14.25" customHeight="1">
      <c r="A1402" t="s">
        <v>2150</v>
      </c>
      <c r="B1402" t="s">
        <v>2262</v>
      </c>
      <c r="C1402" s="6" t="str">
        <f t="shared" si="64"/>
        <v>February</v>
      </c>
      <c r="D1402" s="6" t="str">
        <f t="shared" si="65"/>
        <v>08</v>
      </c>
      <c r="E1402" t="s">
        <v>851</v>
      </c>
      <c r="F1402" t="s">
        <v>21</v>
      </c>
      <c r="G1402" t="s">
        <v>106</v>
      </c>
      <c r="H1402" s="4" t="s">
        <v>2259</v>
      </c>
      <c r="I1402">
        <v>614242</v>
      </c>
      <c r="J1402" s="8" t="s">
        <v>30</v>
      </c>
      <c r="K1402" t="s">
        <v>24</v>
      </c>
      <c r="L1402" t="s">
        <v>25</v>
      </c>
      <c r="M1402" t="s">
        <v>140</v>
      </c>
      <c r="N1402">
        <f t="shared" si="66"/>
        <v>3</v>
      </c>
      <c r="O1402">
        <v>1</v>
      </c>
      <c r="P1402" s="6">
        <v>137.46</v>
      </c>
      <c r="Q1402">
        <v>13.75</v>
      </c>
      <c r="R1402">
        <v>123.71</v>
      </c>
      <c r="S1402">
        <v>6.19</v>
      </c>
      <c r="T1402">
        <v>10</v>
      </c>
      <c r="U1402">
        <v>5</v>
      </c>
      <c r="V1402">
        <v>144.9</v>
      </c>
      <c r="W1402" t="s">
        <v>27</v>
      </c>
      <c r="X1402">
        <v>22</v>
      </c>
    </row>
    <row r="1403" spans="1:24" ht="14.25" customHeight="1">
      <c r="A1403" t="s">
        <v>2151</v>
      </c>
      <c r="B1403" t="s">
        <v>2288</v>
      </c>
      <c r="C1403" s="6" t="str">
        <f t="shared" si="64"/>
        <v>January</v>
      </c>
      <c r="D1403" s="6" t="str">
        <f t="shared" si="65"/>
        <v>27</v>
      </c>
      <c r="E1403" t="s">
        <v>853</v>
      </c>
      <c r="F1403" t="s">
        <v>21</v>
      </c>
      <c r="G1403" t="s">
        <v>68</v>
      </c>
      <c r="H1403" s="4" t="s">
        <v>2259</v>
      </c>
      <c r="I1403">
        <v>937056</v>
      </c>
      <c r="J1403" s="8" t="s">
        <v>2346</v>
      </c>
      <c r="K1403" t="s">
        <v>31</v>
      </c>
      <c r="L1403" t="s">
        <v>32</v>
      </c>
      <c r="M1403" t="s">
        <v>71</v>
      </c>
      <c r="N1403">
        <f t="shared" si="66"/>
        <v>6</v>
      </c>
      <c r="O1403">
        <v>3</v>
      </c>
      <c r="P1403" s="6">
        <v>53.81</v>
      </c>
      <c r="Q1403">
        <v>2.69</v>
      </c>
      <c r="R1403">
        <v>158.74</v>
      </c>
      <c r="S1403">
        <v>7.94</v>
      </c>
      <c r="T1403">
        <v>0</v>
      </c>
      <c r="U1403">
        <v>5</v>
      </c>
      <c r="V1403">
        <v>171.68</v>
      </c>
      <c r="W1403" t="s">
        <v>27</v>
      </c>
      <c r="X1403">
        <v>33</v>
      </c>
    </row>
    <row r="1404" spans="1:24" ht="14.25" customHeight="1">
      <c r="A1404" t="s">
        <v>2152</v>
      </c>
      <c r="B1404" t="s">
        <v>2275</v>
      </c>
      <c r="C1404" s="6" t="str">
        <f t="shared" si="64"/>
        <v>February</v>
      </c>
      <c r="D1404" s="6" t="str">
        <f t="shared" si="65"/>
        <v>05</v>
      </c>
      <c r="E1404" t="s">
        <v>855</v>
      </c>
      <c r="F1404" t="s">
        <v>21</v>
      </c>
      <c r="G1404" t="s">
        <v>106</v>
      </c>
      <c r="H1404" s="4" t="s">
        <v>2259</v>
      </c>
      <c r="I1404">
        <v>726946</v>
      </c>
      <c r="J1404" s="8" t="s">
        <v>30</v>
      </c>
      <c r="K1404" t="s">
        <v>38</v>
      </c>
      <c r="L1404" t="s">
        <v>39</v>
      </c>
      <c r="M1404" t="s">
        <v>55</v>
      </c>
      <c r="N1404">
        <f t="shared" si="66"/>
        <v>5</v>
      </c>
      <c r="O1404">
        <v>1</v>
      </c>
      <c r="P1404" s="6">
        <v>142.18</v>
      </c>
      <c r="Q1404">
        <v>21.33</v>
      </c>
      <c r="R1404">
        <v>120.85</v>
      </c>
      <c r="S1404">
        <v>6.04</v>
      </c>
      <c r="T1404">
        <v>10</v>
      </c>
      <c r="U1404">
        <v>0</v>
      </c>
      <c r="V1404">
        <v>136.88999999999999</v>
      </c>
      <c r="W1404" t="s">
        <v>27</v>
      </c>
      <c r="X1404">
        <v>7</v>
      </c>
    </row>
    <row r="1405" spans="1:24" ht="14.25" customHeight="1">
      <c r="A1405" t="s">
        <v>2153</v>
      </c>
      <c r="B1405" t="s">
        <v>2264</v>
      </c>
      <c r="C1405" s="6" t="str">
        <f t="shared" si="64"/>
        <v>January</v>
      </c>
      <c r="D1405" s="6" t="str">
        <f t="shared" si="65"/>
        <v>29</v>
      </c>
      <c r="E1405" t="s">
        <v>857</v>
      </c>
      <c r="F1405" t="s">
        <v>21</v>
      </c>
      <c r="G1405" t="s">
        <v>37</v>
      </c>
      <c r="H1405" s="4" t="s">
        <v>2259</v>
      </c>
      <c r="I1405">
        <v>104576</v>
      </c>
      <c r="J1405" s="8" t="s">
        <v>30</v>
      </c>
      <c r="K1405" t="s">
        <v>43</v>
      </c>
      <c r="L1405" t="s">
        <v>44</v>
      </c>
      <c r="M1405" t="s">
        <v>26</v>
      </c>
      <c r="N1405">
        <f t="shared" si="66"/>
        <v>3</v>
      </c>
      <c r="O1405">
        <v>1</v>
      </c>
      <c r="P1405" s="6">
        <v>49.34</v>
      </c>
      <c r="Q1405">
        <v>0</v>
      </c>
      <c r="R1405">
        <v>49.34</v>
      </c>
      <c r="S1405">
        <v>2.4700000000000002</v>
      </c>
      <c r="T1405">
        <v>10</v>
      </c>
      <c r="U1405">
        <v>5</v>
      </c>
      <c r="V1405">
        <v>66.81</v>
      </c>
      <c r="W1405" t="s">
        <v>27</v>
      </c>
      <c r="X1405">
        <v>60</v>
      </c>
    </row>
    <row r="1406" spans="1:24" ht="14.25" customHeight="1">
      <c r="A1406" t="s">
        <v>2154</v>
      </c>
      <c r="B1406" t="s">
        <v>2282</v>
      </c>
      <c r="C1406" s="6" t="str">
        <f t="shared" si="64"/>
        <v>February</v>
      </c>
      <c r="D1406" s="6" t="str">
        <f t="shared" si="65"/>
        <v>07</v>
      </c>
      <c r="E1406" t="s">
        <v>859</v>
      </c>
      <c r="F1406" t="s">
        <v>21</v>
      </c>
      <c r="G1406" t="s">
        <v>22</v>
      </c>
      <c r="H1406" s="4" t="s">
        <v>2259</v>
      </c>
      <c r="I1406">
        <v>114439</v>
      </c>
      <c r="J1406" s="8" t="s">
        <v>2346</v>
      </c>
      <c r="K1406" t="s">
        <v>48</v>
      </c>
      <c r="L1406" t="s">
        <v>49</v>
      </c>
      <c r="M1406" t="s">
        <v>135</v>
      </c>
      <c r="N1406">
        <f t="shared" si="66"/>
        <v>9</v>
      </c>
      <c r="O1406">
        <v>1</v>
      </c>
      <c r="P1406" s="6">
        <v>66.349999999999994</v>
      </c>
      <c r="Q1406">
        <v>3.32</v>
      </c>
      <c r="R1406">
        <v>63.029999999999987</v>
      </c>
      <c r="S1406">
        <v>3.15</v>
      </c>
      <c r="T1406">
        <v>0</v>
      </c>
      <c r="U1406">
        <v>0</v>
      </c>
      <c r="V1406">
        <v>66.179999999999993</v>
      </c>
      <c r="W1406" t="s">
        <v>27</v>
      </c>
      <c r="X1406">
        <v>24</v>
      </c>
    </row>
    <row r="1407" spans="1:24" ht="14.25" customHeight="1">
      <c r="A1407" t="s">
        <v>2155</v>
      </c>
      <c r="B1407" t="s">
        <v>2296</v>
      </c>
      <c r="C1407" s="6" t="str">
        <f t="shared" si="64"/>
        <v>February</v>
      </c>
      <c r="D1407" s="6" t="str">
        <f t="shared" si="65"/>
        <v>26</v>
      </c>
      <c r="E1407" t="s">
        <v>861</v>
      </c>
      <c r="F1407" t="s">
        <v>101</v>
      </c>
      <c r="G1407" t="s">
        <v>81</v>
      </c>
      <c r="H1407" s="4" t="s">
        <v>2259</v>
      </c>
      <c r="I1407">
        <v>841165</v>
      </c>
      <c r="J1407" s="8" t="s">
        <v>30</v>
      </c>
      <c r="K1407" t="s">
        <v>53</v>
      </c>
      <c r="L1407" t="s">
        <v>54</v>
      </c>
      <c r="M1407" t="s">
        <v>89</v>
      </c>
      <c r="N1407">
        <f t="shared" si="66"/>
        <v>7</v>
      </c>
      <c r="O1407">
        <v>5</v>
      </c>
      <c r="P1407" s="6">
        <v>95.08</v>
      </c>
      <c r="Q1407">
        <v>0</v>
      </c>
      <c r="R1407">
        <v>475.4</v>
      </c>
      <c r="S1407">
        <v>23.77</v>
      </c>
      <c r="T1407">
        <v>10</v>
      </c>
      <c r="U1407">
        <v>20</v>
      </c>
      <c r="V1407">
        <v>529.16999999999996</v>
      </c>
      <c r="W1407" t="s">
        <v>27</v>
      </c>
      <c r="X1407">
        <v>32</v>
      </c>
    </row>
    <row r="1408" spans="1:24" ht="14.25" customHeight="1">
      <c r="A1408" t="s">
        <v>2156</v>
      </c>
      <c r="B1408" t="s">
        <v>2284</v>
      </c>
      <c r="C1408" s="6" t="str">
        <f t="shared" si="64"/>
        <v>February</v>
      </c>
      <c r="D1408" s="6" t="str">
        <f t="shared" si="65"/>
        <v>02</v>
      </c>
      <c r="E1408" t="s">
        <v>863</v>
      </c>
      <c r="F1408" t="s">
        <v>101</v>
      </c>
      <c r="G1408" t="s">
        <v>81</v>
      </c>
      <c r="H1408" s="4" t="s">
        <v>2259</v>
      </c>
      <c r="I1408">
        <v>308150</v>
      </c>
      <c r="J1408" s="8" t="s">
        <v>30</v>
      </c>
      <c r="K1408" t="s">
        <v>58</v>
      </c>
      <c r="L1408" t="s">
        <v>59</v>
      </c>
      <c r="M1408" t="s">
        <v>26</v>
      </c>
      <c r="N1408">
        <f t="shared" si="66"/>
        <v>3</v>
      </c>
      <c r="O1408">
        <v>1</v>
      </c>
      <c r="P1408" s="6">
        <v>245.74</v>
      </c>
      <c r="Q1408">
        <v>12.29</v>
      </c>
      <c r="R1408">
        <v>233.45</v>
      </c>
      <c r="S1408">
        <v>11.67</v>
      </c>
      <c r="T1408">
        <v>10</v>
      </c>
      <c r="U1408">
        <v>20</v>
      </c>
      <c r="V1408">
        <v>275.12</v>
      </c>
      <c r="W1408" t="s">
        <v>27</v>
      </c>
      <c r="X1408">
        <v>11</v>
      </c>
    </row>
    <row r="1409" spans="1:24" ht="14.25" customHeight="1">
      <c r="A1409" t="s">
        <v>2157</v>
      </c>
      <c r="B1409" t="s">
        <v>2297</v>
      </c>
      <c r="C1409" s="6" t="str">
        <f t="shared" si="64"/>
        <v>February</v>
      </c>
      <c r="D1409" s="6" t="str">
        <f t="shared" si="65"/>
        <v>06</v>
      </c>
      <c r="E1409" t="s">
        <v>865</v>
      </c>
      <c r="F1409" t="s">
        <v>80</v>
      </c>
      <c r="G1409" t="s">
        <v>81</v>
      </c>
      <c r="H1409" s="4" t="s">
        <v>2259</v>
      </c>
      <c r="I1409">
        <v>173631</v>
      </c>
      <c r="J1409" s="8" t="s">
        <v>2346</v>
      </c>
      <c r="K1409" t="s">
        <v>63</v>
      </c>
      <c r="L1409" t="s">
        <v>64</v>
      </c>
      <c r="M1409" t="s">
        <v>140</v>
      </c>
      <c r="N1409">
        <f t="shared" si="66"/>
        <v>3</v>
      </c>
      <c r="O1409">
        <v>1</v>
      </c>
      <c r="P1409" s="6">
        <v>197.92</v>
      </c>
      <c r="Q1409">
        <v>19.79</v>
      </c>
      <c r="R1409">
        <v>178.13</v>
      </c>
      <c r="S1409">
        <v>8.91</v>
      </c>
      <c r="T1409">
        <v>10</v>
      </c>
      <c r="U1409">
        <v>0</v>
      </c>
      <c r="V1409">
        <v>197.04</v>
      </c>
      <c r="W1409" t="s">
        <v>117</v>
      </c>
      <c r="X1409">
        <v>25</v>
      </c>
    </row>
    <row r="1410" spans="1:24" ht="14.25" customHeight="1">
      <c r="A1410" t="s">
        <v>2158</v>
      </c>
      <c r="B1410" t="s">
        <v>2288</v>
      </c>
      <c r="C1410" s="6" t="str">
        <f t="shared" si="64"/>
        <v>January</v>
      </c>
      <c r="D1410" s="6" t="str">
        <f t="shared" si="65"/>
        <v>27</v>
      </c>
      <c r="E1410" t="s">
        <v>867</v>
      </c>
      <c r="F1410" t="s">
        <v>21</v>
      </c>
      <c r="G1410" t="s">
        <v>106</v>
      </c>
      <c r="H1410" s="4" t="s">
        <v>2259</v>
      </c>
      <c r="I1410">
        <v>527557</v>
      </c>
      <c r="J1410" s="8" t="s">
        <v>62</v>
      </c>
      <c r="K1410" t="s">
        <v>69</v>
      </c>
      <c r="L1410" t="s">
        <v>70</v>
      </c>
      <c r="M1410" t="s">
        <v>130</v>
      </c>
      <c r="N1410">
        <f t="shared" si="66"/>
        <v>7</v>
      </c>
      <c r="O1410">
        <v>8</v>
      </c>
      <c r="P1410" s="6">
        <v>61.47</v>
      </c>
      <c r="Q1410">
        <v>9.2200000000000006</v>
      </c>
      <c r="R1410">
        <v>482.54</v>
      </c>
      <c r="S1410">
        <v>24.13</v>
      </c>
      <c r="T1410">
        <v>0</v>
      </c>
      <c r="U1410">
        <v>5</v>
      </c>
      <c r="V1410">
        <v>511.67</v>
      </c>
      <c r="W1410" t="s">
        <v>27</v>
      </c>
      <c r="X1410">
        <v>31</v>
      </c>
    </row>
    <row r="1411" spans="1:24" ht="14.25" customHeight="1">
      <c r="A1411" t="s">
        <v>2159</v>
      </c>
      <c r="B1411" t="s">
        <v>2295</v>
      </c>
      <c r="C1411" s="6" t="str">
        <f t="shared" ref="C1411:C1474" si="67">TEXT(B1411,"mmmm")</f>
        <v>February</v>
      </c>
      <c r="D1411" s="6" t="str">
        <f t="shared" ref="D1411:D1474" si="68">TEXT(B1411,"dd")</f>
        <v>24</v>
      </c>
      <c r="E1411" t="s">
        <v>869</v>
      </c>
      <c r="F1411" t="s">
        <v>21</v>
      </c>
      <c r="G1411" t="s">
        <v>37</v>
      </c>
      <c r="H1411" s="4" t="s">
        <v>2259</v>
      </c>
      <c r="I1411">
        <v>277586</v>
      </c>
      <c r="J1411" s="8" t="s">
        <v>62</v>
      </c>
      <c r="K1411" t="s">
        <v>75</v>
      </c>
      <c r="L1411" t="s">
        <v>76</v>
      </c>
      <c r="M1411" t="s">
        <v>98</v>
      </c>
      <c r="N1411">
        <f t="shared" si="66"/>
        <v>4</v>
      </c>
      <c r="O1411">
        <v>5</v>
      </c>
      <c r="P1411" s="6">
        <v>103.42</v>
      </c>
      <c r="Q1411">
        <v>10.34</v>
      </c>
      <c r="R1411">
        <v>506.76</v>
      </c>
      <c r="S1411">
        <v>25.34</v>
      </c>
      <c r="T1411">
        <v>20</v>
      </c>
      <c r="U1411">
        <v>0</v>
      </c>
      <c r="V1411">
        <v>552.1</v>
      </c>
      <c r="W1411" t="s">
        <v>27</v>
      </c>
      <c r="X1411">
        <v>23</v>
      </c>
    </row>
    <row r="1412" spans="1:24" ht="14.25" customHeight="1">
      <c r="A1412" t="s">
        <v>2160</v>
      </c>
      <c r="B1412" t="s">
        <v>2284</v>
      </c>
      <c r="C1412" s="6" t="str">
        <f t="shared" si="67"/>
        <v>February</v>
      </c>
      <c r="D1412" s="6" t="str">
        <f t="shared" si="68"/>
        <v>02</v>
      </c>
      <c r="E1412" t="s">
        <v>871</v>
      </c>
      <c r="F1412" t="s">
        <v>21</v>
      </c>
      <c r="G1412" t="s">
        <v>68</v>
      </c>
      <c r="H1412" s="4" t="s">
        <v>2259</v>
      </c>
      <c r="I1412">
        <v>172577</v>
      </c>
      <c r="J1412" s="8" t="s">
        <v>30</v>
      </c>
      <c r="K1412" t="s">
        <v>82</v>
      </c>
      <c r="L1412" t="s">
        <v>83</v>
      </c>
      <c r="M1412" t="s">
        <v>98</v>
      </c>
      <c r="N1412">
        <f t="shared" si="66"/>
        <v>4</v>
      </c>
      <c r="O1412">
        <v>3</v>
      </c>
      <c r="P1412" s="6">
        <v>80.790000000000006</v>
      </c>
      <c r="Q1412">
        <v>12.12</v>
      </c>
      <c r="R1412">
        <v>230.25</v>
      </c>
      <c r="S1412">
        <v>11.51</v>
      </c>
      <c r="T1412">
        <v>20</v>
      </c>
      <c r="U1412">
        <v>15</v>
      </c>
      <c r="V1412">
        <v>276.76</v>
      </c>
      <c r="W1412" t="s">
        <v>27</v>
      </c>
      <c r="X1412">
        <v>21</v>
      </c>
    </row>
    <row r="1413" spans="1:24" ht="14.25" customHeight="1">
      <c r="A1413" t="s">
        <v>2161</v>
      </c>
      <c r="B1413" t="s">
        <v>2301</v>
      </c>
      <c r="C1413" s="6" t="str">
        <f t="shared" si="67"/>
        <v>January</v>
      </c>
      <c r="D1413" s="6" t="str">
        <f t="shared" si="68"/>
        <v>04</v>
      </c>
      <c r="E1413" t="s">
        <v>873</v>
      </c>
      <c r="F1413" t="s">
        <v>21</v>
      </c>
      <c r="G1413" t="s">
        <v>74</v>
      </c>
      <c r="H1413" s="4" t="s">
        <v>2259</v>
      </c>
      <c r="I1413">
        <v>473337</v>
      </c>
      <c r="J1413" s="8" t="s">
        <v>2348</v>
      </c>
      <c r="K1413" t="s">
        <v>87</v>
      </c>
      <c r="L1413" t="s">
        <v>88</v>
      </c>
      <c r="M1413" t="s">
        <v>45</v>
      </c>
      <c r="N1413">
        <f t="shared" si="66"/>
        <v>6</v>
      </c>
      <c r="O1413">
        <v>1</v>
      </c>
      <c r="P1413" s="6">
        <v>193.67</v>
      </c>
      <c r="Q1413">
        <v>0</v>
      </c>
      <c r="R1413">
        <v>193.67</v>
      </c>
      <c r="S1413">
        <v>9.68</v>
      </c>
      <c r="T1413">
        <v>10</v>
      </c>
      <c r="U1413">
        <v>5</v>
      </c>
      <c r="V1413">
        <v>218.35</v>
      </c>
      <c r="W1413" t="s">
        <v>27</v>
      </c>
      <c r="X1413">
        <v>29</v>
      </c>
    </row>
    <row r="1414" spans="1:24" ht="14.25" customHeight="1">
      <c r="A1414" t="s">
        <v>2162</v>
      </c>
      <c r="B1414" t="s">
        <v>2278</v>
      </c>
      <c r="C1414" s="6" t="str">
        <f t="shared" si="67"/>
        <v>January</v>
      </c>
      <c r="D1414" s="6" t="str">
        <f t="shared" si="68"/>
        <v>22</v>
      </c>
      <c r="E1414" t="s">
        <v>875</v>
      </c>
      <c r="F1414" t="s">
        <v>21</v>
      </c>
      <c r="G1414" t="s">
        <v>68</v>
      </c>
      <c r="H1414" s="4" t="s">
        <v>2259</v>
      </c>
      <c r="I1414">
        <v>821975</v>
      </c>
      <c r="J1414" s="8" t="s">
        <v>2349</v>
      </c>
      <c r="K1414" t="s">
        <v>92</v>
      </c>
      <c r="L1414" t="s">
        <v>93</v>
      </c>
      <c r="M1414" t="s">
        <v>71</v>
      </c>
      <c r="N1414">
        <f t="shared" si="66"/>
        <v>6</v>
      </c>
      <c r="O1414">
        <v>4</v>
      </c>
      <c r="P1414" s="6">
        <v>94.26</v>
      </c>
      <c r="Q1414">
        <v>14.14</v>
      </c>
      <c r="R1414">
        <v>362.9</v>
      </c>
      <c r="S1414">
        <v>18.149999999999999</v>
      </c>
      <c r="T1414">
        <v>10</v>
      </c>
      <c r="U1414">
        <v>0</v>
      </c>
      <c r="V1414">
        <v>391.05</v>
      </c>
      <c r="W1414" t="s">
        <v>27</v>
      </c>
      <c r="X1414">
        <v>29</v>
      </c>
    </row>
    <row r="1415" spans="1:24" ht="14.25" customHeight="1">
      <c r="A1415" t="s">
        <v>2163</v>
      </c>
      <c r="B1415" t="s">
        <v>2279</v>
      </c>
      <c r="C1415" s="6" t="str">
        <f t="shared" si="67"/>
        <v>January</v>
      </c>
      <c r="D1415" s="6" t="str">
        <f t="shared" si="68"/>
        <v>02</v>
      </c>
      <c r="E1415" t="s">
        <v>877</v>
      </c>
      <c r="F1415" t="s">
        <v>21</v>
      </c>
      <c r="G1415" t="s">
        <v>74</v>
      </c>
      <c r="H1415" s="4" t="s">
        <v>2259</v>
      </c>
      <c r="I1415">
        <v>917585</v>
      </c>
      <c r="J1415" s="8" t="s">
        <v>2348</v>
      </c>
      <c r="K1415" t="s">
        <v>96</v>
      </c>
      <c r="L1415" t="s">
        <v>97</v>
      </c>
      <c r="M1415" t="s">
        <v>140</v>
      </c>
      <c r="N1415">
        <f t="shared" si="66"/>
        <v>3</v>
      </c>
      <c r="O1415">
        <v>6</v>
      </c>
      <c r="P1415" s="6">
        <v>92.53</v>
      </c>
      <c r="Q1415">
        <v>13.88</v>
      </c>
      <c r="R1415">
        <v>541.30000000000007</v>
      </c>
      <c r="S1415">
        <v>27.07</v>
      </c>
      <c r="T1415">
        <v>10</v>
      </c>
      <c r="U1415">
        <v>10</v>
      </c>
      <c r="V1415">
        <v>588.37000000000012</v>
      </c>
      <c r="W1415" t="s">
        <v>27</v>
      </c>
      <c r="X1415">
        <v>10</v>
      </c>
    </row>
    <row r="1416" spans="1:24" ht="14.25" customHeight="1">
      <c r="A1416" t="s">
        <v>2164</v>
      </c>
      <c r="B1416" t="s">
        <v>2311</v>
      </c>
      <c r="C1416" s="6" t="str">
        <f t="shared" si="67"/>
        <v>January</v>
      </c>
      <c r="D1416" s="6" t="str">
        <f t="shared" si="68"/>
        <v>10</v>
      </c>
      <c r="E1416" t="s">
        <v>879</v>
      </c>
      <c r="F1416" t="s">
        <v>21</v>
      </c>
      <c r="G1416" t="s">
        <v>68</v>
      </c>
      <c r="H1416" s="4" t="s">
        <v>2259</v>
      </c>
      <c r="I1416">
        <v>826179</v>
      </c>
      <c r="J1416" s="8" t="s">
        <v>2349</v>
      </c>
      <c r="K1416" t="s">
        <v>102</v>
      </c>
      <c r="L1416" t="s">
        <v>103</v>
      </c>
      <c r="M1416" t="s">
        <v>33</v>
      </c>
      <c r="N1416">
        <f t="shared" si="66"/>
        <v>10</v>
      </c>
      <c r="O1416">
        <v>6</v>
      </c>
      <c r="P1416" s="6">
        <v>140.77000000000001</v>
      </c>
      <c r="Q1416">
        <v>14.08</v>
      </c>
      <c r="R1416">
        <v>830.54000000000008</v>
      </c>
      <c r="S1416">
        <v>41.53</v>
      </c>
      <c r="T1416">
        <v>20</v>
      </c>
      <c r="U1416">
        <v>15</v>
      </c>
      <c r="V1416">
        <v>907.07</v>
      </c>
      <c r="W1416" t="s">
        <v>84</v>
      </c>
      <c r="X1416">
        <v>25</v>
      </c>
    </row>
    <row r="1417" spans="1:24" ht="14.25" customHeight="1">
      <c r="A1417" t="s">
        <v>2165</v>
      </c>
      <c r="B1417" t="s">
        <v>2317</v>
      </c>
      <c r="C1417" s="6" t="str">
        <f t="shared" si="67"/>
        <v>January</v>
      </c>
      <c r="D1417" s="6" t="str">
        <f t="shared" si="68"/>
        <v>05</v>
      </c>
      <c r="E1417" t="s">
        <v>881</v>
      </c>
      <c r="F1417" t="s">
        <v>21</v>
      </c>
      <c r="G1417" t="s">
        <v>74</v>
      </c>
      <c r="H1417" s="4" t="s">
        <v>2259</v>
      </c>
      <c r="I1417">
        <v>491337</v>
      </c>
      <c r="J1417" s="8" t="s">
        <v>30</v>
      </c>
      <c r="K1417" t="s">
        <v>107</v>
      </c>
      <c r="L1417" t="s">
        <v>108</v>
      </c>
      <c r="M1417" t="s">
        <v>65</v>
      </c>
      <c r="N1417">
        <f t="shared" si="66"/>
        <v>6</v>
      </c>
      <c r="O1417">
        <v>5</v>
      </c>
      <c r="P1417" s="6">
        <v>127.78</v>
      </c>
      <c r="Q1417">
        <v>19.170000000000002</v>
      </c>
      <c r="R1417">
        <v>619.73</v>
      </c>
      <c r="S1417">
        <v>30.99</v>
      </c>
      <c r="T1417">
        <v>20</v>
      </c>
      <c r="U1417">
        <v>20</v>
      </c>
      <c r="V1417">
        <v>690.72</v>
      </c>
      <c r="W1417" t="s">
        <v>27</v>
      </c>
      <c r="X1417">
        <v>34</v>
      </c>
    </row>
    <row r="1418" spans="1:24" ht="14.25" customHeight="1">
      <c r="A1418" t="s">
        <v>2166</v>
      </c>
      <c r="B1418" t="s">
        <v>2289</v>
      </c>
      <c r="C1418" s="6" t="str">
        <f t="shared" si="67"/>
        <v>February</v>
      </c>
      <c r="D1418" s="6" t="str">
        <f t="shared" si="68"/>
        <v>28</v>
      </c>
      <c r="E1418" t="s">
        <v>883</v>
      </c>
      <c r="F1418" t="s">
        <v>21</v>
      </c>
      <c r="G1418" t="s">
        <v>68</v>
      </c>
      <c r="H1418" s="4" t="s">
        <v>2259</v>
      </c>
      <c r="I1418">
        <v>774502</v>
      </c>
      <c r="J1418" s="8" t="s">
        <v>30</v>
      </c>
      <c r="K1418" t="s">
        <v>111</v>
      </c>
      <c r="L1418" t="s">
        <v>112</v>
      </c>
      <c r="M1418" t="s">
        <v>40</v>
      </c>
      <c r="N1418">
        <f t="shared" si="66"/>
        <v>6</v>
      </c>
      <c r="O1418">
        <v>5</v>
      </c>
      <c r="P1418" s="6">
        <v>214.33</v>
      </c>
      <c r="Q1418">
        <v>0</v>
      </c>
      <c r="R1418">
        <v>1071.6500000000001</v>
      </c>
      <c r="S1418">
        <v>53.58</v>
      </c>
      <c r="T1418">
        <v>30</v>
      </c>
      <c r="U1418">
        <v>15</v>
      </c>
      <c r="V1418">
        <v>1170.23</v>
      </c>
      <c r="W1418" t="s">
        <v>27</v>
      </c>
      <c r="X1418">
        <v>15</v>
      </c>
    </row>
    <row r="1419" spans="1:24" ht="14.25" customHeight="1">
      <c r="A1419" t="s">
        <v>2167</v>
      </c>
      <c r="B1419" t="s">
        <v>2311</v>
      </c>
      <c r="C1419" s="6" t="str">
        <f t="shared" si="67"/>
        <v>January</v>
      </c>
      <c r="D1419" s="6" t="str">
        <f t="shared" si="68"/>
        <v>10</v>
      </c>
      <c r="E1419" t="s">
        <v>885</v>
      </c>
      <c r="F1419" t="s">
        <v>21</v>
      </c>
      <c r="G1419" t="s">
        <v>37</v>
      </c>
      <c r="H1419" s="4" t="s">
        <v>2259</v>
      </c>
      <c r="I1419">
        <v>644854</v>
      </c>
      <c r="J1419" s="8" t="s">
        <v>62</v>
      </c>
      <c r="K1419" t="s">
        <v>115</v>
      </c>
      <c r="L1419" t="s">
        <v>116</v>
      </c>
      <c r="M1419" t="s">
        <v>45</v>
      </c>
      <c r="N1419">
        <f t="shared" si="66"/>
        <v>6</v>
      </c>
      <c r="O1419">
        <v>1</v>
      </c>
      <c r="P1419" s="6">
        <v>122.25</v>
      </c>
      <c r="Q1419">
        <v>18.34</v>
      </c>
      <c r="R1419">
        <v>103.91</v>
      </c>
      <c r="S1419">
        <v>5.2</v>
      </c>
      <c r="T1419">
        <v>20</v>
      </c>
      <c r="U1419">
        <v>15</v>
      </c>
      <c r="V1419">
        <v>144.11000000000001</v>
      </c>
      <c r="W1419" t="s">
        <v>27</v>
      </c>
      <c r="X1419">
        <v>35</v>
      </c>
    </row>
    <row r="1420" spans="1:24" ht="14.25" customHeight="1">
      <c r="A1420" t="s">
        <v>2168</v>
      </c>
      <c r="B1420" t="s">
        <v>2284</v>
      </c>
      <c r="C1420" s="6" t="str">
        <f t="shared" si="67"/>
        <v>February</v>
      </c>
      <c r="D1420" s="6" t="str">
        <f t="shared" si="68"/>
        <v>02</v>
      </c>
      <c r="E1420" t="s">
        <v>887</v>
      </c>
      <c r="F1420" t="s">
        <v>21</v>
      </c>
      <c r="G1420" t="s">
        <v>68</v>
      </c>
      <c r="H1420" s="4" t="s">
        <v>2259</v>
      </c>
      <c r="I1420">
        <v>993724</v>
      </c>
      <c r="J1420" s="8" t="s">
        <v>2349</v>
      </c>
      <c r="K1420" t="s">
        <v>120</v>
      </c>
      <c r="L1420" t="s">
        <v>121</v>
      </c>
      <c r="M1420" t="s">
        <v>98</v>
      </c>
      <c r="N1420">
        <f t="shared" si="66"/>
        <v>4</v>
      </c>
      <c r="O1420">
        <v>7</v>
      </c>
      <c r="P1420" s="6">
        <v>117.88</v>
      </c>
      <c r="Q1420">
        <v>5.89</v>
      </c>
      <c r="R1420">
        <v>819.27</v>
      </c>
      <c r="S1420">
        <v>40.96</v>
      </c>
      <c r="T1420">
        <v>30</v>
      </c>
      <c r="U1420">
        <v>10</v>
      </c>
      <c r="V1420">
        <v>900.23</v>
      </c>
      <c r="W1420" t="s">
        <v>27</v>
      </c>
      <c r="X1420">
        <v>22</v>
      </c>
    </row>
    <row r="1421" spans="1:24" ht="14.25" customHeight="1">
      <c r="A1421" t="s">
        <v>2169</v>
      </c>
      <c r="B1421" t="s">
        <v>2309</v>
      </c>
      <c r="C1421" s="6" t="str">
        <f t="shared" si="67"/>
        <v>February</v>
      </c>
      <c r="D1421" s="6" t="str">
        <f t="shared" si="68"/>
        <v>23</v>
      </c>
      <c r="E1421" t="s">
        <v>889</v>
      </c>
      <c r="F1421" t="s">
        <v>21</v>
      </c>
      <c r="G1421" t="s">
        <v>68</v>
      </c>
      <c r="H1421" s="4" t="s">
        <v>2259</v>
      </c>
      <c r="I1421">
        <v>120169</v>
      </c>
      <c r="J1421" s="8" t="s">
        <v>30</v>
      </c>
      <c r="K1421" t="s">
        <v>124</v>
      </c>
      <c r="L1421" t="s">
        <v>125</v>
      </c>
      <c r="M1421" t="s">
        <v>89</v>
      </c>
      <c r="N1421">
        <f t="shared" ref="N1421:N1484" si="69">LEN(M1421)</f>
        <v>7</v>
      </c>
      <c r="O1421">
        <v>3</v>
      </c>
      <c r="P1421" s="6">
        <v>66.38</v>
      </c>
      <c r="Q1421">
        <v>6.64</v>
      </c>
      <c r="R1421">
        <v>192.5</v>
      </c>
      <c r="S1421">
        <v>9.6199999999999992</v>
      </c>
      <c r="T1421">
        <v>10</v>
      </c>
      <c r="U1421">
        <v>20</v>
      </c>
      <c r="V1421">
        <v>232.12</v>
      </c>
      <c r="W1421" t="s">
        <v>27</v>
      </c>
      <c r="X1421">
        <v>21</v>
      </c>
    </row>
    <row r="1422" spans="1:24" ht="14.25" customHeight="1">
      <c r="A1422" t="s">
        <v>2170</v>
      </c>
      <c r="B1422" t="s">
        <v>2282</v>
      </c>
      <c r="C1422" s="6" t="str">
        <f t="shared" si="67"/>
        <v>February</v>
      </c>
      <c r="D1422" s="6" t="str">
        <f t="shared" si="68"/>
        <v>07</v>
      </c>
      <c r="E1422" t="s">
        <v>891</v>
      </c>
      <c r="F1422" t="s">
        <v>80</v>
      </c>
      <c r="G1422" t="s">
        <v>81</v>
      </c>
      <c r="H1422" s="4" t="s">
        <v>2259</v>
      </c>
      <c r="I1422">
        <v>735589</v>
      </c>
      <c r="J1422" s="8" t="s">
        <v>2346</v>
      </c>
      <c r="K1422" t="s">
        <v>128</v>
      </c>
      <c r="L1422" t="s">
        <v>129</v>
      </c>
      <c r="M1422" t="s">
        <v>50</v>
      </c>
      <c r="N1422">
        <f t="shared" si="69"/>
        <v>5</v>
      </c>
      <c r="O1422">
        <v>1</v>
      </c>
      <c r="P1422" s="6">
        <v>114.13</v>
      </c>
      <c r="Q1422">
        <v>5.71</v>
      </c>
      <c r="R1422">
        <v>108.42</v>
      </c>
      <c r="S1422">
        <v>5.42</v>
      </c>
      <c r="T1422">
        <v>10</v>
      </c>
      <c r="U1422">
        <v>10</v>
      </c>
      <c r="V1422">
        <v>133.84</v>
      </c>
      <c r="W1422" t="s">
        <v>27</v>
      </c>
      <c r="X1422">
        <v>26</v>
      </c>
    </row>
    <row r="1423" spans="1:24" ht="14.25" customHeight="1">
      <c r="A1423" t="s">
        <v>2171</v>
      </c>
      <c r="B1423" t="s">
        <v>2318</v>
      </c>
      <c r="C1423" s="6" t="str">
        <f t="shared" si="67"/>
        <v>January</v>
      </c>
      <c r="D1423" s="6" t="str">
        <f t="shared" si="68"/>
        <v>13</v>
      </c>
      <c r="E1423" t="s">
        <v>893</v>
      </c>
      <c r="F1423" t="s">
        <v>21</v>
      </c>
      <c r="G1423" t="s">
        <v>37</v>
      </c>
      <c r="H1423" s="4" t="s">
        <v>2259</v>
      </c>
      <c r="I1423">
        <v>330796</v>
      </c>
      <c r="J1423" s="8" t="s">
        <v>30</v>
      </c>
      <c r="K1423" t="s">
        <v>133</v>
      </c>
      <c r="L1423" t="s">
        <v>134</v>
      </c>
      <c r="M1423" t="s">
        <v>71</v>
      </c>
      <c r="N1423">
        <f t="shared" si="69"/>
        <v>6</v>
      </c>
      <c r="O1423">
        <v>3</v>
      </c>
      <c r="P1423" s="6">
        <v>195.46</v>
      </c>
      <c r="Q1423">
        <v>9.77</v>
      </c>
      <c r="R1423">
        <v>576.61</v>
      </c>
      <c r="S1423">
        <v>28.83</v>
      </c>
      <c r="T1423">
        <v>0</v>
      </c>
      <c r="U1423">
        <v>15</v>
      </c>
      <c r="V1423">
        <v>620.44000000000005</v>
      </c>
      <c r="W1423" t="s">
        <v>27</v>
      </c>
      <c r="X1423">
        <v>29</v>
      </c>
    </row>
    <row r="1424" spans="1:24" ht="14.25" customHeight="1">
      <c r="A1424" t="s">
        <v>2172</v>
      </c>
      <c r="B1424" t="s">
        <v>2312</v>
      </c>
      <c r="C1424" s="6" t="str">
        <f t="shared" si="67"/>
        <v>January</v>
      </c>
      <c r="D1424" s="6" t="str">
        <f t="shared" si="68"/>
        <v>31</v>
      </c>
      <c r="E1424" t="s">
        <v>895</v>
      </c>
      <c r="F1424" t="s">
        <v>21</v>
      </c>
      <c r="G1424" t="s">
        <v>68</v>
      </c>
      <c r="H1424" s="4" t="s">
        <v>2259</v>
      </c>
      <c r="I1424">
        <v>806050</v>
      </c>
      <c r="J1424" s="8" t="s">
        <v>30</v>
      </c>
      <c r="K1424" t="s">
        <v>138</v>
      </c>
      <c r="L1424" t="s">
        <v>139</v>
      </c>
      <c r="M1424" t="s">
        <v>50</v>
      </c>
      <c r="N1424">
        <f t="shared" si="69"/>
        <v>5</v>
      </c>
      <c r="O1424">
        <v>1</v>
      </c>
      <c r="P1424" s="6">
        <v>151.46</v>
      </c>
      <c r="Q1424">
        <v>15.15</v>
      </c>
      <c r="R1424">
        <v>136.31</v>
      </c>
      <c r="S1424">
        <v>6.82</v>
      </c>
      <c r="T1424">
        <v>20</v>
      </c>
      <c r="U1424">
        <v>5</v>
      </c>
      <c r="V1424">
        <v>168.13</v>
      </c>
      <c r="W1424" t="s">
        <v>27</v>
      </c>
      <c r="X1424">
        <v>21</v>
      </c>
    </row>
    <row r="1425" spans="1:24" ht="14.25" customHeight="1">
      <c r="A1425" t="s">
        <v>2173</v>
      </c>
      <c r="B1425" t="s">
        <v>2293</v>
      </c>
      <c r="C1425" s="6" t="str">
        <f t="shared" si="67"/>
        <v>February</v>
      </c>
      <c r="D1425" s="6" t="str">
        <f t="shared" si="68"/>
        <v>16</v>
      </c>
      <c r="E1425" t="s">
        <v>897</v>
      </c>
      <c r="F1425" t="s">
        <v>21</v>
      </c>
      <c r="G1425" t="s">
        <v>37</v>
      </c>
      <c r="H1425" s="4" t="s">
        <v>2259</v>
      </c>
      <c r="I1425">
        <v>850310</v>
      </c>
      <c r="J1425" s="8" t="s">
        <v>30</v>
      </c>
      <c r="K1425" t="s">
        <v>143</v>
      </c>
      <c r="L1425" t="s">
        <v>144</v>
      </c>
      <c r="M1425" t="s">
        <v>71</v>
      </c>
      <c r="N1425">
        <f t="shared" si="69"/>
        <v>6</v>
      </c>
      <c r="O1425">
        <v>3</v>
      </c>
      <c r="P1425" s="6">
        <v>130.29</v>
      </c>
      <c r="Q1425">
        <v>0</v>
      </c>
      <c r="R1425">
        <v>390.87</v>
      </c>
      <c r="S1425">
        <v>19.54</v>
      </c>
      <c r="T1425">
        <v>20</v>
      </c>
      <c r="U1425">
        <v>10</v>
      </c>
      <c r="V1425">
        <v>440.41</v>
      </c>
      <c r="W1425" t="s">
        <v>34</v>
      </c>
      <c r="X1425">
        <v>25</v>
      </c>
    </row>
    <row r="1426" spans="1:24" ht="14.25" customHeight="1">
      <c r="A1426" t="s">
        <v>2174</v>
      </c>
      <c r="B1426" t="s">
        <v>2275</v>
      </c>
      <c r="C1426" s="6" t="str">
        <f t="shared" si="67"/>
        <v>February</v>
      </c>
      <c r="D1426" s="6" t="str">
        <f t="shared" si="68"/>
        <v>05</v>
      </c>
      <c r="E1426" t="s">
        <v>899</v>
      </c>
      <c r="F1426" t="s">
        <v>21</v>
      </c>
      <c r="G1426" t="s">
        <v>37</v>
      </c>
      <c r="H1426" s="4" t="s">
        <v>2259</v>
      </c>
      <c r="I1426">
        <v>425499</v>
      </c>
      <c r="J1426" s="8" t="s">
        <v>30</v>
      </c>
      <c r="K1426" t="s">
        <v>147</v>
      </c>
      <c r="L1426" t="s">
        <v>148</v>
      </c>
      <c r="M1426" t="s">
        <v>77</v>
      </c>
      <c r="N1426">
        <f t="shared" si="69"/>
        <v>5</v>
      </c>
      <c r="O1426">
        <v>1</v>
      </c>
      <c r="P1426" s="6">
        <v>81.45</v>
      </c>
      <c r="Q1426">
        <v>12.22</v>
      </c>
      <c r="R1426">
        <v>69.23</v>
      </c>
      <c r="S1426">
        <v>3.46</v>
      </c>
      <c r="T1426">
        <v>20</v>
      </c>
      <c r="U1426">
        <v>20</v>
      </c>
      <c r="V1426">
        <v>112.69</v>
      </c>
      <c r="W1426" t="s">
        <v>34</v>
      </c>
      <c r="X1426">
        <v>25</v>
      </c>
    </row>
    <row r="1427" spans="1:24" ht="14.25" customHeight="1">
      <c r="A1427" t="s">
        <v>2175</v>
      </c>
      <c r="B1427" t="s">
        <v>2314</v>
      </c>
      <c r="C1427" s="6" t="str">
        <f t="shared" si="67"/>
        <v>February</v>
      </c>
      <c r="D1427" s="6" t="str">
        <f t="shared" si="68"/>
        <v>14</v>
      </c>
      <c r="E1427" t="s">
        <v>901</v>
      </c>
      <c r="F1427" t="s">
        <v>21</v>
      </c>
      <c r="G1427" t="s">
        <v>68</v>
      </c>
      <c r="H1427" s="4" t="s">
        <v>2259</v>
      </c>
      <c r="I1427">
        <v>286256</v>
      </c>
      <c r="J1427" s="8" t="s">
        <v>30</v>
      </c>
      <c r="K1427" t="s">
        <v>151</v>
      </c>
      <c r="L1427" t="s">
        <v>152</v>
      </c>
      <c r="M1427" t="s">
        <v>98</v>
      </c>
      <c r="N1427">
        <f t="shared" si="69"/>
        <v>4</v>
      </c>
      <c r="O1427">
        <v>4</v>
      </c>
      <c r="P1427" s="6">
        <v>150.63999999999999</v>
      </c>
      <c r="Q1427">
        <v>7.53</v>
      </c>
      <c r="R1427">
        <v>595.03</v>
      </c>
      <c r="S1427">
        <v>29.75</v>
      </c>
      <c r="T1427">
        <v>10</v>
      </c>
      <c r="U1427">
        <v>0</v>
      </c>
      <c r="V1427">
        <v>634.78</v>
      </c>
      <c r="W1427" t="s">
        <v>27</v>
      </c>
      <c r="X1427">
        <v>21</v>
      </c>
    </row>
    <row r="1428" spans="1:24" ht="14.25" customHeight="1">
      <c r="A1428" t="s">
        <v>2176</v>
      </c>
      <c r="B1428" t="s">
        <v>2273</v>
      </c>
      <c r="C1428" s="6" t="str">
        <f t="shared" si="67"/>
        <v>January</v>
      </c>
      <c r="D1428" s="6" t="str">
        <f t="shared" si="68"/>
        <v>24</v>
      </c>
      <c r="E1428" t="s">
        <v>903</v>
      </c>
      <c r="F1428" t="s">
        <v>21</v>
      </c>
      <c r="G1428" t="s">
        <v>68</v>
      </c>
      <c r="H1428" s="4" t="s">
        <v>2259</v>
      </c>
      <c r="I1428">
        <v>118402</v>
      </c>
      <c r="J1428" s="8" t="s">
        <v>2347</v>
      </c>
      <c r="K1428" t="s">
        <v>155</v>
      </c>
      <c r="L1428" t="s">
        <v>156</v>
      </c>
      <c r="M1428" t="s">
        <v>140</v>
      </c>
      <c r="N1428">
        <f t="shared" si="69"/>
        <v>3</v>
      </c>
      <c r="O1428">
        <v>1</v>
      </c>
      <c r="P1428" s="6">
        <v>81.790000000000006</v>
      </c>
      <c r="Q1428">
        <v>8.18</v>
      </c>
      <c r="R1428">
        <v>73.610000000000014</v>
      </c>
      <c r="S1428">
        <v>3.68</v>
      </c>
      <c r="T1428">
        <v>20</v>
      </c>
      <c r="U1428">
        <v>10</v>
      </c>
      <c r="V1428">
        <v>107.29</v>
      </c>
      <c r="W1428" t="s">
        <v>27</v>
      </c>
      <c r="X1428">
        <v>36</v>
      </c>
    </row>
    <row r="1429" spans="1:24" ht="14.25" customHeight="1">
      <c r="A1429" t="s">
        <v>2177</v>
      </c>
      <c r="B1429" t="s">
        <v>2263</v>
      </c>
      <c r="C1429" s="6" t="str">
        <f t="shared" si="67"/>
        <v>February</v>
      </c>
      <c r="D1429" s="6" t="str">
        <f t="shared" si="68"/>
        <v>21</v>
      </c>
      <c r="E1429" t="s">
        <v>905</v>
      </c>
      <c r="F1429" t="s">
        <v>21</v>
      </c>
      <c r="G1429" t="s">
        <v>37</v>
      </c>
      <c r="H1429" s="4" t="s">
        <v>2259</v>
      </c>
      <c r="I1429">
        <v>697726</v>
      </c>
      <c r="J1429" s="8" t="s">
        <v>2345</v>
      </c>
      <c r="K1429" t="s">
        <v>159</v>
      </c>
      <c r="L1429" t="s">
        <v>160</v>
      </c>
      <c r="M1429" t="s">
        <v>177</v>
      </c>
      <c r="N1429">
        <f t="shared" si="69"/>
        <v>5</v>
      </c>
      <c r="O1429">
        <v>3</v>
      </c>
      <c r="P1429" s="6">
        <v>217.09</v>
      </c>
      <c r="Q1429">
        <v>21.71</v>
      </c>
      <c r="R1429">
        <v>629.55999999999995</v>
      </c>
      <c r="S1429">
        <v>31.48</v>
      </c>
      <c r="T1429">
        <v>20</v>
      </c>
      <c r="U1429">
        <v>5</v>
      </c>
      <c r="V1429">
        <v>686.04</v>
      </c>
      <c r="W1429" t="s">
        <v>34</v>
      </c>
      <c r="X1429">
        <v>25</v>
      </c>
    </row>
    <row r="1430" spans="1:24" ht="14.25" customHeight="1">
      <c r="A1430" t="s">
        <v>2178</v>
      </c>
      <c r="B1430" t="s">
        <v>2320</v>
      </c>
      <c r="C1430" s="6" t="str">
        <f t="shared" si="67"/>
        <v>February</v>
      </c>
      <c r="D1430" s="6" t="str">
        <f t="shared" si="68"/>
        <v>25</v>
      </c>
      <c r="E1430" t="s">
        <v>907</v>
      </c>
      <c r="F1430" t="s">
        <v>21</v>
      </c>
      <c r="G1430" t="s">
        <v>37</v>
      </c>
      <c r="H1430" s="4" t="s">
        <v>2259</v>
      </c>
      <c r="I1430">
        <v>156494</v>
      </c>
      <c r="J1430" s="8" t="s">
        <v>30</v>
      </c>
      <c r="K1430" t="s">
        <v>163</v>
      </c>
      <c r="L1430" t="s">
        <v>164</v>
      </c>
      <c r="M1430" t="s">
        <v>98</v>
      </c>
      <c r="N1430">
        <f t="shared" si="69"/>
        <v>4</v>
      </c>
      <c r="O1430">
        <v>3</v>
      </c>
      <c r="P1430" s="6">
        <v>126.18</v>
      </c>
      <c r="Q1430">
        <v>0</v>
      </c>
      <c r="R1430">
        <v>378.54</v>
      </c>
      <c r="S1430">
        <v>18.93</v>
      </c>
      <c r="T1430">
        <v>20</v>
      </c>
      <c r="U1430">
        <v>0</v>
      </c>
      <c r="V1430">
        <v>417.47</v>
      </c>
      <c r="W1430" t="s">
        <v>84</v>
      </c>
      <c r="X1430">
        <v>25</v>
      </c>
    </row>
    <row r="1431" spans="1:24" ht="14.25" customHeight="1">
      <c r="A1431" t="s">
        <v>2179</v>
      </c>
      <c r="B1431" t="s">
        <v>2265</v>
      </c>
      <c r="C1431" s="6" t="str">
        <f t="shared" si="67"/>
        <v>January</v>
      </c>
      <c r="D1431" s="6" t="str">
        <f t="shared" si="68"/>
        <v>15</v>
      </c>
      <c r="E1431" t="s">
        <v>909</v>
      </c>
      <c r="F1431" t="s">
        <v>21</v>
      </c>
      <c r="G1431" t="s">
        <v>68</v>
      </c>
      <c r="H1431" s="4" t="s">
        <v>2259</v>
      </c>
      <c r="I1431">
        <v>831455</v>
      </c>
      <c r="J1431" s="8" t="s">
        <v>30</v>
      </c>
      <c r="K1431" t="s">
        <v>167</v>
      </c>
      <c r="L1431" t="s">
        <v>168</v>
      </c>
      <c r="M1431" t="s">
        <v>135</v>
      </c>
      <c r="N1431">
        <f t="shared" si="69"/>
        <v>9</v>
      </c>
      <c r="O1431">
        <v>1</v>
      </c>
      <c r="P1431" s="6">
        <v>69.63</v>
      </c>
      <c r="Q1431">
        <v>3.48</v>
      </c>
      <c r="R1431">
        <v>66.149999999999991</v>
      </c>
      <c r="S1431">
        <v>3.31</v>
      </c>
      <c r="T1431">
        <v>20</v>
      </c>
      <c r="U1431">
        <v>15</v>
      </c>
      <c r="V1431">
        <v>104.46</v>
      </c>
      <c r="W1431" t="s">
        <v>27</v>
      </c>
      <c r="X1431">
        <v>38</v>
      </c>
    </row>
    <row r="1432" spans="1:24" ht="14.25" customHeight="1">
      <c r="A1432" t="s">
        <v>2180</v>
      </c>
      <c r="B1432" t="s">
        <v>2264</v>
      </c>
      <c r="C1432" s="6" t="str">
        <f t="shared" si="67"/>
        <v>January</v>
      </c>
      <c r="D1432" s="6" t="str">
        <f t="shared" si="68"/>
        <v>29</v>
      </c>
      <c r="E1432" t="s">
        <v>911</v>
      </c>
      <c r="F1432" t="s">
        <v>21</v>
      </c>
      <c r="G1432" t="s">
        <v>22</v>
      </c>
      <c r="H1432" s="4" t="s">
        <v>2259</v>
      </c>
      <c r="I1432">
        <v>752842</v>
      </c>
      <c r="J1432" s="8" t="s">
        <v>30</v>
      </c>
      <c r="K1432" t="s">
        <v>171</v>
      </c>
      <c r="L1432" t="s">
        <v>172</v>
      </c>
      <c r="M1432" t="s">
        <v>71</v>
      </c>
      <c r="N1432">
        <f t="shared" si="69"/>
        <v>6</v>
      </c>
      <c r="O1432">
        <v>5</v>
      </c>
      <c r="P1432" s="6">
        <v>253.89</v>
      </c>
      <c r="Q1432">
        <v>25.39</v>
      </c>
      <c r="R1432">
        <v>1244.06</v>
      </c>
      <c r="S1432">
        <v>62.2</v>
      </c>
      <c r="T1432">
        <v>30</v>
      </c>
      <c r="U1432">
        <v>10</v>
      </c>
      <c r="V1432">
        <v>1346.26</v>
      </c>
      <c r="W1432" t="s">
        <v>34</v>
      </c>
      <c r="X1432">
        <v>25</v>
      </c>
    </row>
    <row r="1433" spans="1:24" ht="14.25" customHeight="1">
      <c r="A1433" t="s">
        <v>2181</v>
      </c>
      <c r="B1433" t="s">
        <v>2267</v>
      </c>
      <c r="C1433" s="6" t="str">
        <f t="shared" si="67"/>
        <v>January</v>
      </c>
      <c r="D1433" s="6" t="str">
        <f t="shared" si="68"/>
        <v>08</v>
      </c>
      <c r="E1433" t="s">
        <v>913</v>
      </c>
      <c r="F1433" t="s">
        <v>21</v>
      </c>
      <c r="G1433" t="s">
        <v>37</v>
      </c>
      <c r="H1433" s="4" t="s">
        <v>2259</v>
      </c>
      <c r="I1433">
        <v>959391</v>
      </c>
      <c r="J1433" s="8" t="s">
        <v>2348</v>
      </c>
      <c r="K1433" t="s">
        <v>175</v>
      </c>
      <c r="L1433" t="s">
        <v>176</v>
      </c>
      <c r="M1433" t="s">
        <v>135</v>
      </c>
      <c r="N1433">
        <f t="shared" si="69"/>
        <v>9</v>
      </c>
      <c r="O1433">
        <v>2</v>
      </c>
      <c r="P1433" s="6">
        <v>107.84</v>
      </c>
      <c r="Q1433">
        <v>5.39</v>
      </c>
      <c r="R1433">
        <v>210.29</v>
      </c>
      <c r="S1433">
        <v>10.51</v>
      </c>
      <c r="T1433">
        <v>20</v>
      </c>
      <c r="U1433">
        <v>20</v>
      </c>
      <c r="V1433">
        <v>260.8</v>
      </c>
      <c r="W1433" t="s">
        <v>27</v>
      </c>
      <c r="X1433">
        <v>22</v>
      </c>
    </row>
    <row r="1434" spans="1:24" ht="14.25" customHeight="1">
      <c r="A1434" t="s">
        <v>2182</v>
      </c>
      <c r="B1434" t="s">
        <v>2317</v>
      </c>
      <c r="C1434" s="6" t="str">
        <f t="shared" si="67"/>
        <v>January</v>
      </c>
      <c r="D1434" s="6" t="str">
        <f t="shared" si="68"/>
        <v>05</v>
      </c>
      <c r="E1434" t="s">
        <v>915</v>
      </c>
      <c r="F1434" t="s">
        <v>21</v>
      </c>
      <c r="G1434" t="s">
        <v>68</v>
      </c>
      <c r="H1434" s="4" t="s">
        <v>2259</v>
      </c>
      <c r="I1434">
        <v>532498</v>
      </c>
      <c r="J1434" s="8" t="s">
        <v>62</v>
      </c>
      <c r="K1434" t="s">
        <v>180</v>
      </c>
      <c r="L1434" t="s">
        <v>181</v>
      </c>
      <c r="M1434" t="s">
        <v>71</v>
      </c>
      <c r="N1434">
        <f t="shared" si="69"/>
        <v>6</v>
      </c>
      <c r="O1434">
        <v>3</v>
      </c>
      <c r="P1434" s="6">
        <v>149.57</v>
      </c>
      <c r="Q1434">
        <v>22.44</v>
      </c>
      <c r="R1434">
        <v>426.27</v>
      </c>
      <c r="S1434">
        <v>21.31</v>
      </c>
      <c r="T1434">
        <v>0</v>
      </c>
      <c r="U1434">
        <v>0</v>
      </c>
      <c r="V1434">
        <v>447.58</v>
      </c>
      <c r="W1434" t="s">
        <v>27</v>
      </c>
      <c r="X1434">
        <v>33</v>
      </c>
    </row>
    <row r="1435" spans="1:24" ht="14.25" customHeight="1">
      <c r="A1435" t="s">
        <v>2183</v>
      </c>
      <c r="B1435" t="s">
        <v>2264</v>
      </c>
      <c r="C1435" s="6" t="str">
        <f t="shared" si="67"/>
        <v>January</v>
      </c>
      <c r="D1435" s="6" t="str">
        <f t="shared" si="68"/>
        <v>29</v>
      </c>
      <c r="E1435" t="s">
        <v>917</v>
      </c>
      <c r="F1435" t="s">
        <v>21</v>
      </c>
      <c r="G1435" t="s">
        <v>68</v>
      </c>
      <c r="H1435" s="4" t="s">
        <v>2259</v>
      </c>
      <c r="I1435">
        <v>157545</v>
      </c>
      <c r="J1435" s="8" t="s">
        <v>2345</v>
      </c>
      <c r="K1435" t="s">
        <v>184</v>
      </c>
      <c r="L1435" t="s">
        <v>185</v>
      </c>
      <c r="M1435" t="s">
        <v>98</v>
      </c>
      <c r="N1435">
        <f t="shared" si="69"/>
        <v>4</v>
      </c>
      <c r="O1435">
        <v>1</v>
      </c>
      <c r="P1435" s="6">
        <v>16.97</v>
      </c>
      <c r="Q1435">
        <v>2.5499999999999998</v>
      </c>
      <c r="R1435">
        <v>14.42</v>
      </c>
      <c r="S1435">
        <v>0.72</v>
      </c>
      <c r="T1435">
        <v>0</v>
      </c>
      <c r="U1435">
        <v>15</v>
      </c>
      <c r="V1435">
        <v>30.14</v>
      </c>
      <c r="W1435" t="s">
        <v>27</v>
      </c>
      <c r="X1435">
        <v>31</v>
      </c>
    </row>
    <row r="1436" spans="1:24" ht="14.25" customHeight="1">
      <c r="A1436" t="s">
        <v>2184</v>
      </c>
      <c r="B1436" t="s">
        <v>2293</v>
      </c>
      <c r="C1436" s="6" t="str">
        <f t="shared" si="67"/>
        <v>February</v>
      </c>
      <c r="D1436" s="6" t="str">
        <f t="shared" si="68"/>
        <v>16</v>
      </c>
      <c r="E1436" t="s">
        <v>919</v>
      </c>
      <c r="F1436" t="s">
        <v>21</v>
      </c>
      <c r="G1436" t="s">
        <v>68</v>
      </c>
      <c r="H1436" s="4" t="s">
        <v>2259</v>
      </c>
      <c r="I1436">
        <v>863978</v>
      </c>
      <c r="J1436" s="8" t="s">
        <v>2346</v>
      </c>
      <c r="K1436" t="s">
        <v>188</v>
      </c>
      <c r="L1436" t="s">
        <v>189</v>
      </c>
      <c r="M1436" t="s">
        <v>77</v>
      </c>
      <c r="N1436">
        <f t="shared" si="69"/>
        <v>5</v>
      </c>
      <c r="O1436">
        <v>2</v>
      </c>
      <c r="P1436" s="6">
        <v>128.19999999999999</v>
      </c>
      <c r="Q1436">
        <v>0</v>
      </c>
      <c r="R1436">
        <v>256.39999999999998</v>
      </c>
      <c r="S1436">
        <v>12.82</v>
      </c>
      <c r="T1436">
        <v>0</v>
      </c>
      <c r="U1436">
        <v>5</v>
      </c>
      <c r="V1436">
        <v>274.22000000000003</v>
      </c>
      <c r="W1436" t="s">
        <v>27</v>
      </c>
      <c r="X1436">
        <v>25</v>
      </c>
    </row>
    <row r="1437" spans="1:24" ht="14.25" customHeight="1">
      <c r="A1437" t="s">
        <v>2185</v>
      </c>
      <c r="B1437" t="s">
        <v>2301</v>
      </c>
      <c r="C1437" s="6" t="str">
        <f t="shared" si="67"/>
        <v>January</v>
      </c>
      <c r="D1437" s="6" t="str">
        <f t="shared" si="68"/>
        <v>04</v>
      </c>
      <c r="E1437" t="s">
        <v>921</v>
      </c>
      <c r="F1437" t="s">
        <v>21</v>
      </c>
      <c r="G1437" t="s">
        <v>106</v>
      </c>
      <c r="H1437" s="4" t="s">
        <v>2259</v>
      </c>
      <c r="I1437">
        <v>666202</v>
      </c>
      <c r="J1437" s="8" t="s">
        <v>2347</v>
      </c>
      <c r="K1437" t="s">
        <v>192</v>
      </c>
      <c r="L1437" t="s">
        <v>193</v>
      </c>
      <c r="M1437" t="s">
        <v>130</v>
      </c>
      <c r="N1437">
        <f t="shared" si="69"/>
        <v>7</v>
      </c>
      <c r="O1437">
        <v>4</v>
      </c>
      <c r="P1437" s="6">
        <v>88.34</v>
      </c>
      <c r="Q1437">
        <v>13.25</v>
      </c>
      <c r="R1437">
        <v>340.11</v>
      </c>
      <c r="S1437">
        <v>17.010000000000002</v>
      </c>
      <c r="T1437">
        <v>30</v>
      </c>
      <c r="U1437">
        <v>5</v>
      </c>
      <c r="V1437">
        <v>392.12</v>
      </c>
      <c r="W1437" t="s">
        <v>27</v>
      </c>
      <c r="X1437">
        <v>26</v>
      </c>
    </row>
    <row r="1438" spans="1:24" ht="14.25" customHeight="1">
      <c r="A1438" t="s">
        <v>2186</v>
      </c>
      <c r="B1438" t="s">
        <v>2285</v>
      </c>
      <c r="C1438" s="6" t="str">
        <f t="shared" si="67"/>
        <v>January</v>
      </c>
      <c r="D1438" s="6" t="str">
        <f t="shared" si="68"/>
        <v>12</v>
      </c>
      <c r="E1438" t="s">
        <v>923</v>
      </c>
      <c r="F1438" t="s">
        <v>21</v>
      </c>
      <c r="G1438" t="s">
        <v>22</v>
      </c>
      <c r="H1438" s="4" t="s">
        <v>2259</v>
      </c>
      <c r="I1438">
        <v>429670</v>
      </c>
      <c r="J1438" s="8" t="s">
        <v>2345</v>
      </c>
      <c r="K1438" t="s">
        <v>196</v>
      </c>
      <c r="L1438" t="s">
        <v>197</v>
      </c>
      <c r="M1438" t="s">
        <v>130</v>
      </c>
      <c r="N1438">
        <f t="shared" si="69"/>
        <v>7</v>
      </c>
      <c r="O1438">
        <v>1</v>
      </c>
      <c r="P1438" s="6">
        <v>93.26</v>
      </c>
      <c r="Q1438">
        <v>9.33</v>
      </c>
      <c r="R1438">
        <v>83.93</v>
      </c>
      <c r="S1438">
        <v>4.2</v>
      </c>
      <c r="T1438">
        <v>0</v>
      </c>
      <c r="U1438">
        <v>10</v>
      </c>
      <c r="V1438">
        <v>98.13000000000001</v>
      </c>
      <c r="W1438" t="s">
        <v>27</v>
      </c>
      <c r="X1438">
        <v>45</v>
      </c>
    </row>
    <row r="1439" spans="1:24" ht="14.25" customHeight="1">
      <c r="A1439" t="s">
        <v>2187</v>
      </c>
      <c r="B1439" t="s">
        <v>2314</v>
      </c>
      <c r="C1439" s="6" t="str">
        <f t="shared" si="67"/>
        <v>February</v>
      </c>
      <c r="D1439" s="6" t="str">
        <f t="shared" si="68"/>
        <v>14</v>
      </c>
      <c r="E1439" t="s">
        <v>925</v>
      </c>
      <c r="F1439" t="s">
        <v>21</v>
      </c>
      <c r="G1439" t="s">
        <v>22</v>
      </c>
      <c r="H1439" s="4" t="s">
        <v>2259</v>
      </c>
      <c r="I1439">
        <v>258768</v>
      </c>
      <c r="J1439" s="8" t="s">
        <v>2348</v>
      </c>
      <c r="K1439" t="s">
        <v>200</v>
      </c>
      <c r="L1439" t="s">
        <v>201</v>
      </c>
      <c r="M1439" t="s">
        <v>98</v>
      </c>
      <c r="N1439">
        <f t="shared" si="69"/>
        <v>4</v>
      </c>
      <c r="O1439">
        <v>1</v>
      </c>
      <c r="P1439" s="6">
        <v>106.99</v>
      </c>
      <c r="Q1439">
        <v>0</v>
      </c>
      <c r="R1439">
        <v>106.99</v>
      </c>
      <c r="S1439">
        <v>5.35</v>
      </c>
      <c r="T1439">
        <v>10</v>
      </c>
      <c r="U1439">
        <v>5</v>
      </c>
      <c r="V1439">
        <v>127.34</v>
      </c>
      <c r="W1439" t="s">
        <v>27</v>
      </c>
      <c r="X1439">
        <v>29</v>
      </c>
    </row>
    <row r="1440" spans="1:24" ht="14.25" customHeight="1">
      <c r="A1440" t="s">
        <v>2188</v>
      </c>
      <c r="B1440" t="s">
        <v>2279</v>
      </c>
      <c r="C1440" s="6" t="str">
        <f t="shared" si="67"/>
        <v>January</v>
      </c>
      <c r="D1440" s="6" t="str">
        <f t="shared" si="68"/>
        <v>02</v>
      </c>
      <c r="E1440" t="s">
        <v>927</v>
      </c>
      <c r="F1440" t="s">
        <v>21</v>
      </c>
      <c r="G1440" t="s">
        <v>106</v>
      </c>
      <c r="H1440" s="4" t="s">
        <v>2259</v>
      </c>
      <c r="I1440">
        <v>776926</v>
      </c>
      <c r="J1440" s="8" t="s">
        <v>2346</v>
      </c>
      <c r="K1440" t="s">
        <v>204</v>
      </c>
      <c r="L1440" t="s">
        <v>205</v>
      </c>
      <c r="M1440" t="s">
        <v>45</v>
      </c>
      <c r="N1440">
        <f t="shared" si="69"/>
        <v>6</v>
      </c>
      <c r="O1440">
        <v>1</v>
      </c>
      <c r="P1440" s="6">
        <v>171.07</v>
      </c>
      <c r="Q1440">
        <v>25.66</v>
      </c>
      <c r="R1440">
        <v>145.41</v>
      </c>
      <c r="S1440">
        <v>7.27</v>
      </c>
      <c r="T1440">
        <v>10</v>
      </c>
      <c r="U1440">
        <v>5</v>
      </c>
      <c r="V1440">
        <v>167.68</v>
      </c>
      <c r="W1440" t="s">
        <v>27</v>
      </c>
      <c r="X1440">
        <v>37</v>
      </c>
    </row>
    <row r="1441" spans="1:24" ht="14.25" customHeight="1">
      <c r="A1441" t="s">
        <v>2189</v>
      </c>
      <c r="B1441" t="s">
        <v>2288</v>
      </c>
      <c r="C1441" s="6" t="str">
        <f t="shared" si="67"/>
        <v>January</v>
      </c>
      <c r="D1441" s="6" t="str">
        <f t="shared" si="68"/>
        <v>27</v>
      </c>
      <c r="E1441" t="s">
        <v>929</v>
      </c>
      <c r="F1441" t="s">
        <v>21</v>
      </c>
      <c r="G1441" t="s">
        <v>22</v>
      </c>
      <c r="H1441" s="4" t="s">
        <v>2259</v>
      </c>
      <c r="I1441">
        <v>233554</v>
      </c>
      <c r="J1441" s="8" t="s">
        <v>30</v>
      </c>
      <c r="K1441" t="s">
        <v>208</v>
      </c>
      <c r="L1441" t="s">
        <v>209</v>
      </c>
      <c r="M1441" t="s">
        <v>50</v>
      </c>
      <c r="N1441">
        <f t="shared" si="69"/>
        <v>5</v>
      </c>
      <c r="O1441">
        <v>1</v>
      </c>
      <c r="P1441" s="6">
        <v>27.03</v>
      </c>
      <c r="Q1441">
        <v>1.35</v>
      </c>
      <c r="R1441">
        <v>25.68</v>
      </c>
      <c r="S1441">
        <v>1.28</v>
      </c>
      <c r="T1441">
        <v>0</v>
      </c>
      <c r="U1441">
        <v>10</v>
      </c>
      <c r="V1441">
        <v>36.96</v>
      </c>
      <c r="W1441" t="s">
        <v>34</v>
      </c>
      <c r="X1441">
        <v>25</v>
      </c>
    </row>
    <row r="1442" spans="1:24" ht="14.25" customHeight="1">
      <c r="A1442" t="s">
        <v>2190</v>
      </c>
      <c r="B1442" t="s">
        <v>2312</v>
      </c>
      <c r="C1442" s="6" t="str">
        <f t="shared" si="67"/>
        <v>January</v>
      </c>
      <c r="D1442" s="6" t="str">
        <f t="shared" si="68"/>
        <v>31</v>
      </c>
      <c r="E1442" t="s">
        <v>931</v>
      </c>
      <c r="F1442" t="s">
        <v>21</v>
      </c>
      <c r="G1442" t="s">
        <v>68</v>
      </c>
      <c r="H1442" s="4" t="s">
        <v>2259</v>
      </c>
      <c r="I1442">
        <v>159676</v>
      </c>
      <c r="J1442" s="8" t="s">
        <v>2349</v>
      </c>
      <c r="K1442" t="s">
        <v>212</v>
      </c>
      <c r="L1442" t="s">
        <v>213</v>
      </c>
      <c r="M1442" t="s">
        <v>40</v>
      </c>
      <c r="N1442">
        <f t="shared" si="69"/>
        <v>6</v>
      </c>
      <c r="O1442">
        <v>1</v>
      </c>
      <c r="P1442" s="6">
        <v>166.56</v>
      </c>
      <c r="Q1442">
        <v>16.66</v>
      </c>
      <c r="R1442">
        <v>149.9</v>
      </c>
      <c r="S1442">
        <v>7.5</v>
      </c>
      <c r="T1442">
        <v>20</v>
      </c>
      <c r="U1442">
        <v>10</v>
      </c>
      <c r="V1442">
        <v>187.4</v>
      </c>
      <c r="W1442" t="s">
        <v>27</v>
      </c>
      <c r="X1442">
        <v>23</v>
      </c>
    </row>
    <row r="1443" spans="1:24" ht="14.25" customHeight="1">
      <c r="A1443" t="s">
        <v>2191</v>
      </c>
      <c r="B1443" t="s">
        <v>2294</v>
      </c>
      <c r="C1443" s="6" t="str">
        <f t="shared" si="67"/>
        <v>February</v>
      </c>
      <c r="D1443" s="6" t="str">
        <f t="shared" si="68"/>
        <v>20</v>
      </c>
      <c r="E1443" t="s">
        <v>933</v>
      </c>
      <c r="F1443" t="s">
        <v>80</v>
      </c>
      <c r="G1443" t="s">
        <v>81</v>
      </c>
      <c r="H1443" s="4" t="s">
        <v>2259</v>
      </c>
      <c r="I1443">
        <v>688365</v>
      </c>
      <c r="J1443" s="8" t="s">
        <v>30</v>
      </c>
      <c r="K1443" t="s">
        <v>216</v>
      </c>
      <c r="L1443" t="s">
        <v>217</v>
      </c>
      <c r="M1443" t="s">
        <v>50</v>
      </c>
      <c r="N1443">
        <f t="shared" si="69"/>
        <v>5</v>
      </c>
      <c r="O1443">
        <v>2</v>
      </c>
      <c r="P1443" s="6">
        <v>208.43</v>
      </c>
      <c r="Q1443">
        <v>20.84</v>
      </c>
      <c r="R1443">
        <v>396.02</v>
      </c>
      <c r="S1443">
        <v>19.8</v>
      </c>
      <c r="T1443">
        <v>20</v>
      </c>
      <c r="U1443">
        <v>5</v>
      </c>
      <c r="V1443">
        <v>440.82000000000011</v>
      </c>
      <c r="W1443" t="s">
        <v>27</v>
      </c>
      <c r="X1443">
        <v>33</v>
      </c>
    </row>
    <row r="1444" spans="1:24" ht="14.25" customHeight="1">
      <c r="A1444" t="s">
        <v>2192</v>
      </c>
      <c r="B1444" t="s">
        <v>2294</v>
      </c>
      <c r="C1444" s="6" t="str">
        <f t="shared" si="67"/>
        <v>February</v>
      </c>
      <c r="D1444" s="6" t="str">
        <f t="shared" si="68"/>
        <v>20</v>
      </c>
      <c r="E1444" t="s">
        <v>935</v>
      </c>
      <c r="F1444" t="s">
        <v>21</v>
      </c>
      <c r="G1444" t="s">
        <v>74</v>
      </c>
      <c r="H1444" s="4" t="s">
        <v>2259</v>
      </c>
      <c r="I1444">
        <v>481915</v>
      </c>
      <c r="J1444" s="8" t="s">
        <v>2345</v>
      </c>
      <c r="K1444" t="s">
        <v>220</v>
      </c>
      <c r="L1444" t="s">
        <v>221</v>
      </c>
      <c r="M1444" t="s">
        <v>26</v>
      </c>
      <c r="N1444">
        <f t="shared" si="69"/>
        <v>3</v>
      </c>
      <c r="O1444">
        <v>1</v>
      </c>
      <c r="P1444" s="6">
        <v>93.13</v>
      </c>
      <c r="Q1444">
        <v>13.97</v>
      </c>
      <c r="R1444">
        <v>79.16</v>
      </c>
      <c r="S1444">
        <v>3.96</v>
      </c>
      <c r="T1444">
        <v>30</v>
      </c>
      <c r="U1444">
        <v>5</v>
      </c>
      <c r="V1444">
        <v>118.12</v>
      </c>
      <c r="W1444" t="s">
        <v>27</v>
      </c>
      <c r="X1444">
        <v>29</v>
      </c>
    </row>
    <row r="1445" spans="1:24" ht="14.25" customHeight="1">
      <c r="A1445" t="s">
        <v>2193</v>
      </c>
      <c r="B1445" t="s">
        <v>2275</v>
      </c>
      <c r="C1445" s="6" t="str">
        <f t="shared" si="67"/>
        <v>February</v>
      </c>
      <c r="D1445" s="6" t="str">
        <f t="shared" si="68"/>
        <v>05</v>
      </c>
      <c r="E1445" t="s">
        <v>937</v>
      </c>
      <c r="F1445" t="s">
        <v>21</v>
      </c>
      <c r="G1445" t="s">
        <v>74</v>
      </c>
      <c r="H1445" s="4" t="s">
        <v>2259</v>
      </c>
      <c r="I1445">
        <v>951587</v>
      </c>
      <c r="J1445" s="8" t="s">
        <v>2345</v>
      </c>
      <c r="K1445" t="s">
        <v>224</v>
      </c>
      <c r="L1445" t="s">
        <v>225</v>
      </c>
      <c r="M1445" t="s">
        <v>50</v>
      </c>
      <c r="N1445">
        <f t="shared" si="69"/>
        <v>5</v>
      </c>
      <c r="O1445">
        <v>3</v>
      </c>
      <c r="P1445" s="6">
        <v>74.239999999999995</v>
      </c>
      <c r="Q1445">
        <v>0</v>
      </c>
      <c r="R1445">
        <v>222.72</v>
      </c>
      <c r="S1445">
        <v>11.14</v>
      </c>
      <c r="T1445">
        <v>0</v>
      </c>
      <c r="U1445">
        <v>10</v>
      </c>
      <c r="V1445">
        <v>243.86</v>
      </c>
      <c r="W1445" t="s">
        <v>27</v>
      </c>
      <c r="X1445">
        <v>38</v>
      </c>
    </row>
    <row r="1446" spans="1:24" ht="14.25" customHeight="1">
      <c r="A1446" t="s">
        <v>2194</v>
      </c>
      <c r="B1446" t="s">
        <v>2275</v>
      </c>
      <c r="C1446" s="6" t="str">
        <f t="shared" si="67"/>
        <v>February</v>
      </c>
      <c r="D1446" s="6" t="str">
        <f t="shared" si="68"/>
        <v>05</v>
      </c>
      <c r="E1446" t="s">
        <v>939</v>
      </c>
      <c r="F1446" t="s">
        <v>21</v>
      </c>
      <c r="G1446" t="s">
        <v>37</v>
      </c>
      <c r="H1446" s="4" t="s">
        <v>2259</v>
      </c>
      <c r="I1446">
        <v>962061</v>
      </c>
      <c r="J1446" s="8" t="s">
        <v>2348</v>
      </c>
      <c r="K1446" t="s">
        <v>228</v>
      </c>
      <c r="L1446" t="s">
        <v>229</v>
      </c>
      <c r="M1446" t="s">
        <v>26</v>
      </c>
      <c r="N1446">
        <f t="shared" si="69"/>
        <v>3</v>
      </c>
      <c r="O1446">
        <v>5</v>
      </c>
      <c r="P1446" s="6">
        <v>181.12</v>
      </c>
      <c r="Q1446">
        <v>27.17</v>
      </c>
      <c r="R1446">
        <v>878.43000000000006</v>
      </c>
      <c r="S1446">
        <v>43.92</v>
      </c>
      <c r="T1446">
        <v>0</v>
      </c>
      <c r="U1446">
        <v>15</v>
      </c>
      <c r="V1446">
        <v>937.35</v>
      </c>
      <c r="W1446" t="s">
        <v>27</v>
      </c>
      <c r="X1446">
        <v>40</v>
      </c>
    </row>
    <row r="1447" spans="1:24" ht="14.25" customHeight="1">
      <c r="A1447" t="s">
        <v>2195</v>
      </c>
      <c r="B1447" t="s">
        <v>2304</v>
      </c>
      <c r="C1447" s="6" t="str">
        <f t="shared" si="67"/>
        <v>January</v>
      </c>
      <c r="D1447" s="6" t="str">
        <f t="shared" si="68"/>
        <v>26</v>
      </c>
      <c r="E1447" t="s">
        <v>941</v>
      </c>
      <c r="F1447" t="s">
        <v>21</v>
      </c>
      <c r="G1447" t="s">
        <v>68</v>
      </c>
      <c r="H1447" s="4" t="s">
        <v>2259</v>
      </c>
      <c r="I1447">
        <v>730235</v>
      </c>
      <c r="J1447" s="8" t="s">
        <v>2347</v>
      </c>
      <c r="K1447" t="s">
        <v>232</v>
      </c>
      <c r="L1447" t="s">
        <v>233</v>
      </c>
      <c r="M1447" t="s">
        <v>98</v>
      </c>
      <c r="N1447">
        <f t="shared" si="69"/>
        <v>4</v>
      </c>
      <c r="O1447">
        <v>1</v>
      </c>
      <c r="P1447" s="6">
        <v>54.85</v>
      </c>
      <c r="Q1447">
        <v>8.23</v>
      </c>
      <c r="R1447">
        <v>46.62</v>
      </c>
      <c r="S1447">
        <v>2.33</v>
      </c>
      <c r="T1447">
        <v>10</v>
      </c>
      <c r="U1447">
        <v>5</v>
      </c>
      <c r="V1447">
        <v>63.95</v>
      </c>
      <c r="W1447" t="s">
        <v>27</v>
      </c>
      <c r="X1447">
        <v>46</v>
      </c>
    </row>
    <row r="1448" spans="1:24" ht="14.25" customHeight="1">
      <c r="A1448" t="s">
        <v>2196</v>
      </c>
      <c r="B1448" t="s">
        <v>2266</v>
      </c>
      <c r="C1448" s="6" t="str">
        <f t="shared" si="67"/>
        <v>February</v>
      </c>
      <c r="D1448" s="6" t="str">
        <f t="shared" si="68"/>
        <v>12</v>
      </c>
      <c r="E1448" t="s">
        <v>943</v>
      </c>
      <c r="F1448" t="s">
        <v>21</v>
      </c>
      <c r="G1448" t="s">
        <v>22</v>
      </c>
      <c r="H1448" s="4" t="s">
        <v>2259</v>
      </c>
      <c r="I1448">
        <v>605815</v>
      </c>
      <c r="J1448" s="8" t="s">
        <v>2349</v>
      </c>
      <c r="K1448" t="s">
        <v>236</v>
      </c>
      <c r="L1448" t="s">
        <v>237</v>
      </c>
      <c r="M1448" t="s">
        <v>55</v>
      </c>
      <c r="N1448">
        <f t="shared" si="69"/>
        <v>5</v>
      </c>
      <c r="O1448">
        <v>2</v>
      </c>
      <c r="P1448" s="6">
        <v>190.41</v>
      </c>
      <c r="Q1448">
        <v>9.52</v>
      </c>
      <c r="R1448">
        <v>371.3</v>
      </c>
      <c r="S1448">
        <v>18.57</v>
      </c>
      <c r="T1448">
        <v>10</v>
      </c>
      <c r="U1448">
        <v>0</v>
      </c>
      <c r="V1448">
        <v>399.87</v>
      </c>
      <c r="W1448" t="s">
        <v>27</v>
      </c>
      <c r="X1448">
        <v>16</v>
      </c>
    </row>
    <row r="1449" spans="1:24" ht="14.25" customHeight="1">
      <c r="A1449" t="s">
        <v>2197</v>
      </c>
      <c r="B1449" t="s">
        <v>2288</v>
      </c>
      <c r="C1449" s="6" t="str">
        <f t="shared" si="67"/>
        <v>January</v>
      </c>
      <c r="D1449" s="6" t="str">
        <f t="shared" si="68"/>
        <v>27</v>
      </c>
      <c r="E1449" t="s">
        <v>945</v>
      </c>
      <c r="F1449" t="s">
        <v>21</v>
      </c>
      <c r="G1449" t="s">
        <v>74</v>
      </c>
      <c r="H1449" s="4" t="s">
        <v>2259</v>
      </c>
      <c r="I1449">
        <v>434402</v>
      </c>
      <c r="J1449" s="8" t="s">
        <v>62</v>
      </c>
      <c r="K1449" t="s">
        <v>240</v>
      </c>
      <c r="L1449" t="s">
        <v>241</v>
      </c>
      <c r="M1449" t="s">
        <v>22</v>
      </c>
      <c r="N1449">
        <f t="shared" si="69"/>
        <v>6</v>
      </c>
      <c r="O1449">
        <v>5</v>
      </c>
      <c r="P1449" s="6">
        <v>138.41999999999999</v>
      </c>
      <c r="Q1449">
        <v>20.76</v>
      </c>
      <c r="R1449">
        <v>671.33999999999992</v>
      </c>
      <c r="S1449">
        <v>33.57</v>
      </c>
      <c r="T1449">
        <v>0</v>
      </c>
      <c r="U1449">
        <v>10</v>
      </c>
      <c r="V1449">
        <v>714.91</v>
      </c>
      <c r="W1449" t="s">
        <v>84</v>
      </c>
      <c r="X1449">
        <v>25</v>
      </c>
    </row>
    <row r="1450" spans="1:24" ht="14.25" customHeight="1">
      <c r="A1450" t="s">
        <v>2198</v>
      </c>
      <c r="B1450" t="s">
        <v>2317</v>
      </c>
      <c r="C1450" s="6" t="str">
        <f t="shared" si="67"/>
        <v>January</v>
      </c>
      <c r="D1450" s="6" t="str">
        <f t="shared" si="68"/>
        <v>05</v>
      </c>
      <c r="E1450" t="s">
        <v>947</v>
      </c>
      <c r="F1450" t="s">
        <v>21</v>
      </c>
      <c r="G1450" t="s">
        <v>22</v>
      </c>
      <c r="H1450" s="4" t="s">
        <v>2259</v>
      </c>
      <c r="I1450">
        <v>427073</v>
      </c>
      <c r="J1450" s="8" t="s">
        <v>30</v>
      </c>
      <c r="K1450" t="s">
        <v>244</v>
      </c>
      <c r="L1450" t="s">
        <v>245</v>
      </c>
      <c r="M1450" t="s">
        <v>135</v>
      </c>
      <c r="N1450">
        <f t="shared" si="69"/>
        <v>9</v>
      </c>
      <c r="O1450">
        <v>1</v>
      </c>
      <c r="P1450" s="6">
        <v>189.16</v>
      </c>
      <c r="Q1450">
        <v>18.920000000000002</v>
      </c>
      <c r="R1450">
        <v>170.24</v>
      </c>
      <c r="S1450">
        <v>8.51</v>
      </c>
      <c r="T1450">
        <v>30</v>
      </c>
      <c r="U1450">
        <v>10</v>
      </c>
      <c r="V1450">
        <v>218.75</v>
      </c>
      <c r="W1450" t="s">
        <v>84</v>
      </c>
      <c r="X1450">
        <v>25</v>
      </c>
    </row>
    <row r="1451" spans="1:24" ht="14.25" customHeight="1">
      <c r="A1451" t="s">
        <v>2199</v>
      </c>
      <c r="B1451" t="s">
        <v>2305</v>
      </c>
      <c r="C1451" s="6" t="str">
        <f t="shared" si="67"/>
        <v>January</v>
      </c>
      <c r="D1451" s="6" t="str">
        <f t="shared" si="68"/>
        <v>20</v>
      </c>
      <c r="E1451" t="s">
        <v>949</v>
      </c>
      <c r="F1451" t="s">
        <v>21</v>
      </c>
      <c r="G1451" t="s">
        <v>37</v>
      </c>
      <c r="H1451" s="4" t="s">
        <v>2259</v>
      </c>
      <c r="I1451">
        <v>416915</v>
      </c>
      <c r="J1451" s="8" t="s">
        <v>2348</v>
      </c>
      <c r="K1451" t="s">
        <v>248</v>
      </c>
      <c r="L1451" t="s">
        <v>249</v>
      </c>
      <c r="M1451" t="s">
        <v>98</v>
      </c>
      <c r="N1451">
        <f t="shared" si="69"/>
        <v>4</v>
      </c>
      <c r="O1451">
        <v>1</v>
      </c>
      <c r="P1451" s="6">
        <v>145.22</v>
      </c>
      <c r="Q1451">
        <v>0</v>
      </c>
      <c r="R1451">
        <v>145.22</v>
      </c>
      <c r="S1451">
        <v>7.26</v>
      </c>
      <c r="T1451">
        <v>0</v>
      </c>
      <c r="U1451">
        <v>10</v>
      </c>
      <c r="V1451">
        <v>162.47999999999999</v>
      </c>
      <c r="W1451" t="s">
        <v>27</v>
      </c>
      <c r="X1451">
        <v>27</v>
      </c>
    </row>
    <row r="1452" spans="1:24" ht="14.25" customHeight="1">
      <c r="A1452" t="s">
        <v>2200</v>
      </c>
      <c r="B1452" t="s">
        <v>2272</v>
      </c>
      <c r="C1452" s="6" t="str">
        <f t="shared" si="67"/>
        <v>January</v>
      </c>
      <c r="D1452" s="6" t="str">
        <f t="shared" si="68"/>
        <v>11</v>
      </c>
      <c r="E1452" t="s">
        <v>951</v>
      </c>
      <c r="F1452" t="s">
        <v>21</v>
      </c>
      <c r="G1452" t="s">
        <v>22</v>
      </c>
      <c r="H1452" s="4" t="s">
        <v>2259</v>
      </c>
      <c r="I1452">
        <v>890857</v>
      </c>
      <c r="J1452" s="8" t="s">
        <v>30</v>
      </c>
      <c r="K1452" t="s">
        <v>252</v>
      </c>
      <c r="L1452" t="s">
        <v>253</v>
      </c>
      <c r="M1452" t="s">
        <v>55</v>
      </c>
      <c r="N1452">
        <f t="shared" si="69"/>
        <v>5</v>
      </c>
      <c r="O1452">
        <v>1</v>
      </c>
      <c r="P1452" s="6">
        <v>167.65</v>
      </c>
      <c r="Q1452">
        <v>0</v>
      </c>
      <c r="R1452">
        <v>167.65</v>
      </c>
      <c r="S1452">
        <v>8.3800000000000008</v>
      </c>
      <c r="T1452">
        <v>20</v>
      </c>
      <c r="U1452">
        <v>0</v>
      </c>
      <c r="V1452">
        <v>196.03</v>
      </c>
      <c r="W1452" t="s">
        <v>27</v>
      </c>
      <c r="X1452">
        <v>22</v>
      </c>
    </row>
    <row r="1453" spans="1:24" ht="14.25" customHeight="1">
      <c r="A1453" t="s">
        <v>2201</v>
      </c>
      <c r="B1453" t="s">
        <v>2311</v>
      </c>
      <c r="C1453" s="6" t="str">
        <f t="shared" si="67"/>
        <v>January</v>
      </c>
      <c r="D1453" s="6" t="str">
        <f t="shared" si="68"/>
        <v>10</v>
      </c>
      <c r="E1453" t="s">
        <v>953</v>
      </c>
      <c r="F1453" t="s">
        <v>21</v>
      </c>
      <c r="G1453" t="s">
        <v>37</v>
      </c>
      <c r="H1453" s="4" t="s">
        <v>2259</v>
      </c>
      <c r="I1453">
        <v>890857</v>
      </c>
      <c r="J1453" s="8" t="s">
        <v>2347</v>
      </c>
      <c r="K1453" t="s">
        <v>256</v>
      </c>
      <c r="L1453" t="s">
        <v>257</v>
      </c>
      <c r="M1453" t="s">
        <v>130</v>
      </c>
      <c r="N1453">
        <f t="shared" si="69"/>
        <v>7</v>
      </c>
      <c r="O1453">
        <v>4</v>
      </c>
      <c r="P1453" s="6">
        <v>126.75</v>
      </c>
      <c r="Q1453">
        <v>0</v>
      </c>
      <c r="R1453">
        <v>507</v>
      </c>
      <c r="S1453">
        <v>25.35</v>
      </c>
      <c r="T1453">
        <v>0</v>
      </c>
      <c r="U1453">
        <v>5</v>
      </c>
      <c r="V1453">
        <v>537.35</v>
      </c>
      <c r="W1453" t="s">
        <v>27</v>
      </c>
      <c r="X1453">
        <v>21</v>
      </c>
    </row>
    <row r="1454" spans="1:24" ht="14.25" customHeight="1">
      <c r="A1454" t="s">
        <v>2202</v>
      </c>
      <c r="B1454" t="s">
        <v>2276</v>
      </c>
      <c r="C1454" s="6" t="str">
        <f t="shared" si="67"/>
        <v>February</v>
      </c>
      <c r="D1454" s="6" t="str">
        <f t="shared" si="68"/>
        <v>09</v>
      </c>
      <c r="E1454" t="s">
        <v>955</v>
      </c>
      <c r="F1454" t="s">
        <v>21</v>
      </c>
      <c r="G1454" t="s">
        <v>74</v>
      </c>
      <c r="H1454" s="4" t="s">
        <v>2259</v>
      </c>
      <c r="I1454">
        <v>727433</v>
      </c>
      <c r="J1454" s="8" t="s">
        <v>2348</v>
      </c>
      <c r="K1454" t="s">
        <v>260</v>
      </c>
      <c r="L1454" t="s">
        <v>261</v>
      </c>
      <c r="M1454" t="s">
        <v>45</v>
      </c>
      <c r="N1454">
        <f t="shared" si="69"/>
        <v>6</v>
      </c>
      <c r="O1454">
        <v>4</v>
      </c>
      <c r="P1454" s="6">
        <v>59.47</v>
      </c>
      <c r="Q1454">
        <v>8.92</v>
      </c>
      <c r="R1454">
        <v>228.96</v>
      </c>
      <c r="S1454">
        <v>11.45</v>
      </c>
      <c r="T1454">
        <v>0</v>
      </c>
      <c r="U1454">
        <v>10</v>
      </c>
      <c r="V1454">
        <v>250.41</v>
      </c>
      <c r="W1454" t="s">
        <v>27</v>
      </c>
      <c r="X1454">
        <v>29</v>
      </c>
    </row>
    <row r="1455" spans="1:24" ht="14.25" customHeight="1">
      <c r="A1455" t="s">
        <v>2203</v>
      </c>
      <c r="B1455" t="s">
        <v>2282</v>
      </c>
      <c r="C1455" s="6" t="str">
        <f t="shared" si="67"/>
        <v>February</v>
      </c>
      <c r="D1455" s="6" t="str">
        <f t="shared" si="68"/>
        <v>07</v>
      </c>
      <c r="E1455" t="s">
        <v>957</v>
      </c>
      <c r="F1455" t="s">
        <v>21</v>
      </c>
      <c r="G1455" t="s">
        <v>74</v>
      </c>
      <c r="H1455" s="4" t="s">
        <v>2259</v>
      </c>
      <c r="I1455">
        <v>756639</v>
      </c>
      <c r="J1455" s="8" t="s">
        <v>30</v>
      </c>
      <c r="K1455" t="s">
        <v>264</v>
      </c>
      <c r="L1455" t="s">
        <v>265</v>
      </c>
      <c r="M1455" t="s">
        <v>50</v>
      </c>
      <c r="N1455">
        <f t="shared" si="69"/>
        <v>5</v>
      </c>
      <c r="O1455">
        <v>1</v>
      </c>
      <c r="P1455" s="6">
        <v>57.73</v>
      </c>
      <c r="Q1455">
        <v>2.89</v>
      </c>
      <c r="R1455">
        <v>54.84</v>
      </c>
      <c r="S1455">
        <v>2.74</v>
      </c>
      <c r="T1455">
        <v>10</v>
      </c>
      <c r="U1455">
        <v>15</v>
      </c>
      <c r="V1455">
        <v>82.58</v>
      </c>
      <c r="W1455" t="s">
        <v>34</v>
      </c>
      <c r="X1455">
        <v>25</v>
      </c>
    </row>
    <row r="1456" spans="1:24" ht="14.25" customHeight="1">
      <c r="A1456" t="s">
        <v>2204</v>
      </c>
      <c r="B1456" t="s">
        <v>2308</v>
      </c>
      <c r="C1456" s="6" t="str">
        <f t="shared" si="67"/>
        <v>January</v>
      </c>
      <c r="D1456" s="6" t="str">
        <f t="shared" si="68"/>
        <v>06</v>
      </c>
      <c r="E1456" t="s">
        <v>959</v>
      </c>
      <c r="F1456" t="s">
        <v>21</v>
      </c>
      <c r="G1456" t="s">
        <v>74</v>
      </c>
      <c r="H1456" s="4" t="s">
        <v>2259</v>
      </c>
      <c r="I1456">
        <v>881817</v>
      </c>
      <c r="J1456" s="8" t="s">
        <v>2348</v>
      </c>
      <c r="K1456" t="s">
        <v>268</v>
      </c>
      <c r="L1456" t="s">
        <v>269</v>
      </c>
      <c r="M1456" t="s">
        <v>65</v>
      </c>
      <c r="N1456">
        <f t="shared" si="69"/>
        <v>6</v>
      </c>
      <c r="O1456">
        <v>5</v>
      </c>
      <c r="P1456" s="6">
        <v>64.459999999999994</v>
      </c>
      <c r="Q1456">
        <v>3.22</v>
      </c>
      <c r="R1456">
        <v>319.07999999999993</v>
      </c>
      <c r="S1456">
        <v>15.95</v>
      </c>
      <c r="T1456">
        <v>10</v>
      </c>
      <c r="U1456">
        <v>20</v>
      </c>
      <c r="V1456">
        <v>365.02999999999992</v>
      </c>
      <c r="W1456" t="s">
        <v>27</v>
      </c>
      <c r="X1456">
        <v>22</v>
      </c>
    </row>
    <row r="1457" spans="1:24" ht="14.25" customHeight="1">
      <c r="A1457" t="s">
        <v>2205</v>
      </c>
      <c r="B1457" t="s">
        <v>2267</v>
      </c>
      <c r="C1457" s="6" t="str">
        <f t="shared" si="67"/>
        <v>January</v>
      </c>
      <c r="D1457" s="6" t="str">
        <f t="shared" si="68"/>
        <v>08</v>
      </c>
      <c r="E1457" t="s">
        <v>961</v>
      </c>
      <c r="F1457" t="s">
        <v>80</v>
      </c>
      <c r="G1457" t="s">
        <v>81</v>
      </c>
      <c r="H1457" s="4" t="s">
        <v>2259</v>
      </c>
      <c r="I1457">
        <v>607606</v>
      </c>
      <c r="J1457" s="8" t="s">
        <v>2346</v>
      </c>
      <c r="K1457" t="s">
        <v>272</v>
      </c>
      <c r="L1457" t="s">
        <v>273</v>
      </c>
      <c r="M1457" t="s">
        <v>130</v>
      </c>
      <c r="N1457">
        <f t="shared" si="69"/>
        <v>7</v>
      </c>
      <c r="O1457">
        <v>3</v>
      </c>
      <c r="P1457" s="6">
        <v>85.35</v>
      </c>
      <c r="Q1457">
        <v>0</v>
      </c>
      <c r="R1457">
        <v>256.05</v>
      </c>
      <c r="S1457">
        <v>12.8</v>
      </c>
      <c r="T1457">
        <v>0</v>
      </c>
      <c r="U1457">
        <v>5</v>
      </c>
      <c r="V1457">
        <v>273.85000000000002</v>
      </c>
      <c r="W1457" t="s">
        <v>27</v>
      </c>
      <c r="X1457">
        <v>23</v>
      </c>
    </row>
    <row r="1458" spans="1:24" ht="14.25" customHeight="1">
      <c r="A1458" t="s">
        <v>2206</v>
      </c>
      <c r="B1458" t="s">
        <v>2271</v>
      </c>
      <c r="C1458" s="6" t="str">
        <f t="shared" si="67"/>
        <v>January</v>
      </c>
      <c r="D1458" s="6" t="str">
        <f t="shared" si="68"/>
        <v>23</v>
      </c>
      <c r="E1458" t="s">
        <v>963</v>
      </c>
      <c r="F1458" t="s">
        <v>21</v>
      </c>
      <c r="G1458" t="s">
        <v>74</v>
      </c>
      <c r="H1458" s="4" t="s">
        <v>2259</v>
      </c>
      <c r="I1458">
        <v>127856</v>
      </c>
      <c r="J1458" s="8" t="s">
        <v>2349</v>
      </c>
      <c r="K1458" t="s">
        <v>276</v>
      </c>
      <c r="L1458" t="s">
        <v>277</v>
      </c>
      <c r="M1458" t="s">
        <v>55</v>
      </c>
      <c r="N1458">
        <f t="shared" si="69"/>
        <v>5</v>
      </c>
      <c r="O1458">
        <v>2</v>
      </c>
      <c r="P1458" s="6">
        <v>129.74</v>
      </c>
      <c r="Q1458">
        <v>6.49</v>
      </c>
      <c r="R1458">
        <v>252.99</v>
      </c>
      <c r="S1458">
        <v>12.65</v>
      </c>
      <c r="T1458">
        <v>30</v>
      </c>
      <c r="U1458">
        <v>5</v>
      </c>
      <c r="V1458">
        <v>300.64</v>
      </c>
      <c r="W1458" t="s">
        <v>27</v>
      </c>
      <c r="X1458">
        <v>14</v>
      </c>
    </row>
    <row r="1459" spans="1:24" ht="14.25" customHeight="1">
      <c r="A1459" t="s">
        <v>2207</v>
      </c>
      <c r="B1459" t="s">
        <v>2293</v>
      </c>
      <c r="C1459" s="6" t="str">
        <f t="shared" si="67"/>
        <v>February</v>
      </c>
      <c r="D1459" s="6" t="str">
        <f t="shared" si="68"/>
        <v>16</v>
      </c>
      <c r="E1459" t="s">
        <v>965</v>
      </c>
      <c r="F1459" t="s">
        <v>21</v>
      </c>
      <c r="G1459" t="s">
        <v>68</v>
      </c>
      <c r="H1459" s="4" t="s">
        <v>2259</v>
      </c>
      <c r="I1459">
        <v>248757</v>
      </c>
      <c r="J1459" s="8" t="s">
        <v>2348</v>
      </c>
      <c r="K1459" t="s">
        <v>280</v>
      </c>
      <c r="L1459" t="s">
        <v>281</v>
      </c>
      <c r="M1459" t="s">
        <v>130</v>
      </c>
      <c r="N1459">
        <f t="shared" si="69"/>
        <v>7</v>
      </c>
      <c r="O1459">
        <v>1</v>
      </c>
      <c r="P1459" s="6">
        <v>84.77</v>
      </c>
      <c r="Q1459">
        <v>0</v>
      </c>
      <c r="R1459">
        <v>84.77</v>
      </c>
      <c r="S1459">
        <v>4.24</v>
      </c>
      <c r="T1459">
        <v>20</v>
      </c>
      <c r="U1459">
        <v>20</v>
      </c>
      <c r="V1459">
        <v>129.01</v>
      </c>
      <c r="W1459" t="s">
        <v>27</v>
      </c>
      <c r="X1459">
        <v>13</v>
      </c>
    </row>
    <row r="1460" spans="1:24" ht="14.25" customHeight="1">
      <c r="A1460" t="s">
        <v>2208</v>
      </c>
      <c r="B1460" t="s">
        <v>2304</v>
      </c>
      <c r="C1460" s="6" t="str">
        <f t="shared" si="67"/>
        <v>January</v>
      </c>
      <c r="D1460" s="6" t="str">
        <f t="shared" si="68"/>
        <v>26</v>
      </c>
      <c r="E1460" t="s">
        <v>967</v>
      </c>
      <c r="F1460" t="s">
        <v>21</v>
      </c>
      <c r="G1460" t="s">
        <v>68</v>
      </c>
      <c r="H1460" s="4" t="s">
        <v>2259</v>
      </c>
      <c r="I1460">
        <v>436676</v>
      </c>
      <c r="J1460" s="8" t="s">
        <v>2347</v>
      </c>
      <c r="K1460" t="s">
        <v>284</v>
      </c>
      <c r="L1460" t="s">
        <v>285</v>
      </c>
      <c r="M1460" t="s">
        <v>65</v>
      </c>
      <c r="N1460">
        <f t="shared" si="69"/>
        <v>6</v>
      </c>
      <c r="O1460">
        <v>1</v>
      </c>
      <c r="P1460" s="6">
        <v>129.07</v>
      </c>
      <c r="Q1460">
        <v>0</v>
      </c>
      <c r="R1460">
        <v>129.07</v>
      </c>
      <c r="S1460">
        <v>6.45</v>
      </c>
      <c r="T1460">
        <v>0</v>
      </c>
      <c r="U1460">
        <v>20</v>
      </c>
      <c r="V1460">
        <v>155.52000000000001</v>
      </c>
      <c r="W1460" t="s">
        <v>27</v>
      </c>
      <c r="X1460">
        <v>44</v>
      </c>
    </row>
    <row r="1461" spans="1:24" ht="14.25" customHeight="1">
      <c r="A1461" t="s">
        <v>2209</v>
      </c>
      <c r="B1461" t="s">
        <v>2321</v>
      </c>
      <c r="C1461" s="6" t="str">
        <f t="shared" si="67"/>
        <v>February</v>
      </c>
      <c r="D1461" s="6" t="str">
        <f t="shared" si="68"/>
        <v>15</v>
      </c>
      <c r="E1461" t="s">
        <v>969</v>
      </c>
      <c r="F1461" t="s">
        <v>21</v>
      </c>
      <c r="G1461" t="s">
        <v>74</v>
      </c>
      <c r="H1461" s="4" t="s">
        <v>2259</v>
      </c>
      <c r="I1461">
        <v>752665</v>
      </c>
      <c r="J1461" s="8" t="s">
        <v>2346</v>
      </c>
      <c r="K1461" t="s">
        <v>288</v>
      </c>
      <c r="L1461" t="s">
        <v>289</v>
      </c>
      <c r="M1461" t="s">
        <v>55</v>
      </c>
      <c r="N1461">
        <f t="shared" si="69"/>
        <v>5</v>
      </c>
      <c r="O1461">
        <v>4</v>
      </c>
      <c r="P1461" s="6">
        <v>18.3</v>
      </c>
      <c r="Q1461">
        <v>1.83</v>
      </c>
      <c r="R1461">
        <v>71.37</v>
      </c>
      <c r="S1461">
        <v>3.57</v>
      </c>
      <c r="T1461">
        <v>10</v>
      </c>
      <c r="U1461">
        <v>10</v>
      </c>
      <c r="V1461">
        <v>94.94</v>
      </c>
      <c r="W1461" t="s">
        <v>27</v>
      </c>
      <c r="X1461">
        <v>38</v>
      </c>
    </row>
    <row r="1462" spans="1:24" ht="14.25" customHeight="1">
      <c r="A1462" t="s">
        <v>2210</v>
      </c>
      <c r="B1462" t="s">
        <v>2266</v>
      </c>
      <c r="C1462" s="6" t="str">
        <f t="shared" si="67"/>
        <v>February</v>
      </c>
      <c r="D1462" s="6" t="str">
        <f t="shared" si="68"/>
        <v>12</v>
      </c>
      <c r="E1462" t="s">
        <v>971</v>
      </c>
      <c r="F1462" t="s">
        <v>21</v>
      </c>
      <c r="G1462" t="s">
        <v>37</v>
      </c>
      <c r="H1462" s="4" t="s">
        <v>2259</v>
      </c>
      <c r="I1462">
        <v>554151</v>
      </c>
      <c r="J1462" s="8" t="s">
        <v>2346</v>
      </c>
      <c r="K1462" t="s">
        <v>292</v>
      </c>
      <c r="L1462" t="s">
        <v>293</v>
      </c>
      <c r="M1462" t="s">
        <v>177</v>
      </c>
      <c r="N1462">
        <f t="shared" si="69"/>
        <v>5</v>
      </c>
      <c r="O1462">
        <v>3</v>
      </c>
      <c r="P1462" s="6">
        <v>169.66</v>
      </c>
      <c r="Q1462">
        <v>0</v>
      </c>
      <c r="R1462">
        <v>508.98</v>
      </c>
      <c r="S1462">
        <v>25.45</v>
      </c>
      <c r="T1462">
        <v>10</v>
      </c>
      <c r="U1462">
        <v>5</v>
      </c>
      <c r="V1462">
        <v>549.43000000000006</v>
      </c>
      <c r="W1462" t="s">
        <v>27</v>
      </c>
      <c r="X1462">
        <v>34</v>
      </c>
    </row>
    <row r="1463" spans="1:24" ht="14.25" customHeight="1">
      <c r="A1463" t="s">
        <v>2211</v>
      </c>
      <c r="B1463" t="s">
        <v>2285</v>
      </c>
      <c r="C1463" s="6" t="str">
        <f t="shared" si="67"/>
        <v>January</v>
      </c>
      <c r="D1463" s="6" t="str">
        <f t="shared" si="68"/>
        <v>12</v>
      </c>
      <c r="E1463" t="s">
        <v>973</v>
      </c>
      <c r="F1463" t="s">
        <v>21</v>
      </c>
      <c r="G1463" t="s">
        <v>37</v>
      </c>
      <c r="H1463" s="4" t="s">
        <v>2259</v>
      </c>
      <c r="I1463">
        <v>554151</v>
      </c>
      <c r="J1463" s="8" t="s">
        <v>2347</v>
      </c>
      <c r="K1463" t="s">
        <v>296</v>
      </c>
      <c r="L1463" t="s">
        <v>297</v>
      </c>
      <c r="M1463" t="s">
        <v>130</v>
      </c>
      <c r="N1463">
        <f t="shared" si="69"/>
        <v>7</v>
      </c>
      <c r="O1463">
        <v>3</v>
      </c>
      <c r="P1463" s="6">
        <v>108.3</v>
      </c>
      <c r="Q1463">
        <v>0</v>
      </c>
      <c r="R1463">
        <v>324.89999999999998</v>
      </c>
      <c r="S1463">
        <v>16.25</v>
      </c>
      <c r="T1463">
        <v>20</v>
      </c>
      <c r="U1463">
        <v>10</v>
      </c>
      <c r="V1463">
        <v>371.15</v>
      </c>
      <c r="W1463" t="s">
        <v>34</v>
      </c>
      <c r="X1463">
        <v>25</v>
      </c>
    </row>
    <row r="1464" spans="1:24" ht="14.25" customHeight="1">
      <c r="A1464" t="s">
        <v>2212</v>
      </c>
      <c r="B1464" t="s">
        <v>2304</v>
      </c>
      <c r="C1464" s="6" t="str">
        <f t="shared" si="67"/>
        <v>January</v>
      </c>
      <c r="D1464" s="6" t="str">
        <f t="shared" si="68"/>
        <v>26</v>
      </c>
      <c r="E1464" t="s">
        <v>975</v>
      </c>
      <c r="F1464" t="s">
        <v>21</v>
      </c>
      <c r="G1464" t="s">
        <v>22</v>
      </c>
      <c r="H1464" s="4" t="s">
        <v>2259</v>
      </c>
      <c r="I1464">
        <v>554151</v>
      </c>
      <c r="J1464" s="8" t="s">
        <v>2347</v>
      </c>
      <c r="K1464" t="s">
        <v>300</v>
      </c>
      <c r="L1464" t="s">
        <v>301</v>
      </c>
      <c r="M1464" t="s">
        <v>177</v>
      </c>
      <c r="N1464">
        <f t="shared" si="69"/>
        <v>5</v>
      </c>
      <c r="O1464">
        <v>2</v>
      </c>
      <c r="P1464" s="6">
        <v>169.81</v>
      </c>
      <c r="Q1464">
        <v>8.49</v>
      </c>
      <c r="R1464">
        <v>331.13</v>
      </c>
      <c r="S1464">
        <v>16.559999999999999</v>
      </c>
      <c r="T1464">
        <v>10</v>
      </c>
      <c r="U1464">
        <v>0</v>
      </c>
      <c r="V1464">
        <v>357.69</v>
      </c>
      <c r="W1464" t="s">
        <v>27</v>
      </c>
      <c r="X1464">
        <v>11</v>
      </c>
    </row>
    <row r="1465" spans="1:24" ht="14.25" customHeight="1">
      <c r="A1465" t="s">
        <v>2213</v>
      </c>
      <c r="B1465" t="s">
        <v>2318</v>
      </c>
      <c r="C1465" s="6" t="str">
        <f t="shared" si="67"/>
        <v>January</v>
      </c>
      <c r="D1465" s="6" t="str">
        <f t="shared" si="68"/>
        <v>13</v>
      </c>
      <c r="E1465" t="s">
        <v>977</v>
      </c>
      <c r="F1465" t="s">
        <v>21</v>
      </c>
      <c r="G1465" t="s">
        <v>22</v>
      </c>
      <c r="H1465" s="4" t="s">
        <v>2259</v>
      </c>
      <c r="I1465">
        <v>554151</v>
      </c>
      <c r="J1465" s="8" t="s">
        <v>2347</v>
      </c>
      <c r="K1465" t="s">
        <v>304</v>
      </c>
      <c r="L1465" t="s">
        <v>305</v>
      </c>
      <c r="M1465" t="s">
        <v>77</v>
      </c>
      <c r="N1465">
        <f t="shared" si="69"/>
        <v>5</v>
      </c>
      <c r="O1465">
        <v>1</v>
      </c>
      <c r="P1465" s="6">
        <v>165.04</v>
      </c>
      <c r="Q1465">
        <v>8.25</v>
      </c>
      <c r="R1465">
        <v>156.79</v>
      </c>
      <c r="S1465">
        <v>7.84</v>
      </c>
      <c r="T1465">
        <v>20</v>
      </c>
      <c r="U1465">
        <v>20</v>
      </c>
      <c r="V1465">
        <v>204.63</v>
      </c>
      <c r="W1465" t="s">
        <v>117</v>
      </c>
      <c r="X1465">
        <v>25</v>
      </c>
    </row>
    <row r="1466" spans="1:24" ht="14.25" customHeight="1">
      <c r="A1466" t="s">
        <v>2214</v>
      </c>
      <c r="B1466" t="s">
        <v>2276</v>
      </c>
      <c r="C1466" s="6" t="str">
        <f t="shared" si="67"/>
        <v>February</v>
      </c>
      <c r="D1466" s="6" t="str">
        <f t="shared" si="68"/>
        <v>09</v>
      </c>
      <c r="E1466" t="s">
        <v>979</v>
      </c>
      <c r="F1466" t="s">
        <v>21</v>
      </c>
      <c r="G1466" t="s">
        <v>22</v>
      </c>
      <c r="H1466" s="4" t="s">
        <v>2259</v>
      </c>
      <c r="I1466">
        <v>554151</v>
      </c>
      <c r="J1466" s="8" t="s">
        <v>30</v>
      </c>
      <c r="K1466" t="s">
        <v>308</v>
      </c>
      <c r="L1466" t="s">
        <v>309</v>
      </c>
      <c r="M1466" t="s">
        <v>33</v>
      </c>
      <c r="N1466">
        <f t="shared" si="69"/>
        <v>10</v>
      </c>
      <c r="O1466">
        <v>3</v>
      </c>
      <c r="P1466" s="6">
        <v>179.75</v>
      </c>
      <c r="Q1466">
        <v>8.99</v>
      </c>
      <c r="R1466">
        <v>530.26</v>
      </c>
      <c r="S1466">
        <v>26.51</v>
      </c>
      <c r="T1466">
        <v>0</v>
      </c>
      <c r="U1466">
        <v>5</v>
      </c>
      <c r="V1466">
        <v>561.77</v>
      </c>
      <c r="W1466" t="s">
        <v>27</v>
      </c>
      <c r="X1466">
        <v>26</v>
      </c>
    </row>
    <row r="1467" spans="1:24" ht="14.25" customHeight="1">
      <c r="A1467" t="s">
        <v>2215</v>
      </c>
      <c r="B1467" t="s">
        <v>2300</v>
      </c>
      <c r="C1467" s="6" t="str">
        <f t="shared" si="67"/>
        <v>January</v>
      </c>
      <c r="D1467" s="6" t="str">
        <f t="shared" si="68"/>
        <v>18</v>
      </c>
      <c r="E1467" t="s">
        <v>981</v>
      </c>
      <c r="F1467" t="s">
        <v>80</v>
      </c>
      <c r="G1467" t="s">
        <v>81</v>
      </c>
      <c r="H1467" s="4" t="s">
        <v>2259</v>
      </c>
      <c r="I1467">
        <v>554151</v>
      </c>
      <c r="J1467" s="8" t="s">
        <v>2347</v>
      </c>
      <c r="K1467" t="s">
        <v>312</v>
      </c>
      <c r="L1467" t="s">
        <v>313</v>
      </c>
      <c r="M1467" t="s">
        <v>26</v>
      </c>
      <c r="N1467">
        <f t="shared" si="69"/>
        <v>3</v>
      </c>
      <c r="O1467">
        <v>8</v>
      </c>
      <c r="P1467" s="6">
        <v>155.88999999999999</v>
      </c>
      <c r="Q1467">
        <v>15.59</v>
      </c>
      <c r="R1467">
        <v>1231.53</v>
      </c>
      <c r="S1467">
        <v>61.58</v>
      </c>
      <c r="T1467">
        <v>0</v>
      </c>
      <c r="U1467">
        <v>15</v>
      </c>
      <c r="V1467">
        <v>1308.1099999999999</v>
      </c>
      <c r="W1467" t="s">
        <v>27</v>
      </c>
      <c r="X1467">
        <v>6</v>
      </c>
    </row>
    <row r="1468" spans="1:24" ht="14.25" customHeight="1">
      <c r="A1468" t="s">
        <v>2216</v>
      </c>
      <c r="B1468" t="s">
        <v>2286</v>
      </c>
      <c r="C1468" s="6" t="str">
        <f t="shared" si="67"/>
        <v>January</v>
      </c>
      <c r="D1468" s="6" t="str">
        <f t="shared" si="68"/>
        <v>25</v>
      </c>
      <c r="E1468" t="s">
        <v>983</v>
      </c>
      <c r="F1468" t="s">
        <v>21</v>
      </c>
      <c r="G1468" t="s">
        <v>106</v>
      </c>
      <c r="H1468" s="4" t="s">
        <v>2259</v>
      </c>
      <c r="I1468">
        <v>554151</v>
      </c>
      <c r="J1468" s="8" t="s">
        <v>30</v>
      </c>
      <c r="K1468" t="s">
        <v>316</v>
      </c>
      <c r="L1468" t="s">
        <v>317</v>
      </c>
      <c r="M1468" t="s">
        <v>77</v>
      </c>
      <c r="N1468">
        <f t="shared" si="69"/>
        <v>5</v>
      </c>
      <c r="O1468">
        <v>3</v>
      </c>
      <c r="P1468" s="6">
        <v>259.26</v>
      </c>
      <c r="Q1468">
        <v>25.93</v>
      </c>
      <c r="R1468">
        <v>751.85</v>
      </c>
      <c r="S1468">
        <v>37.590000000000003</v>
      </c>
      <c r="T1468">
        <v>30</v>
      </c>
      <c r="U1468">
        <v>15</v>
      </c>
      <c r="V1468">
        <v>834.44</v>
      </c>
      <c r="W1468" t="s">
        <v>27</v>
      </c>
      <c r="X1468">
        <v>31</v>
      </c>
    </row>
    <row r="1469" spans="1:24" ht="14.25" customHeight="1">
      <c r="A1469" t="s">
        <v>2217</v>
      </c>
      <c r="B1469" t="s">
        <v>2284</v>
      </c>
      <c r="C1469" s="6" t="str">
        <f t="shared" si="67"/>
        <v>February</v>
      </c>
      <c r="D1469" s="6" t="str">
        <f t="shared" si="68"/>
        <v>02</v>
      </c>
      <c r="E1469" t="s">
        <v>985</v>
      </c>
      <c r="F1469" t="s">
        <v>80</v>
      </c>
      <c r="G1469" t="s">
        <v>81</v>
      </c>
      <c r="H1469" s="4" t="s">
        <v>2259</v>
      </c>
      <c r="I1469">
        <v>554151</v>
      </c>
      <c r="J1469" s="8" t="s">
        <v>2345</v>
      </c>
      <c r="K1469" t="s">
        <v>320</v>
      </c>
      <c r="L1469" t="s">
        <v>321</v>
      </c>
      <c r="M1469" t="s">
        <v>71</v>
      </c>
      <c r="N1469">
        <f t="shared" si="69"/>
        <v>6</v>
      </c>
      <c r="O1469">
        <v>3</v>
      </c>
      <c r="P1469" s="6">
        <v>103.62</v>
      </c>
      <c r="Q1469">
        <v>5.18</v>
      </c>
      <c r="R1469">
        <v>305.68</v>
      </c>
      <c r="S1469">
        <v>15.28</v>
      </c>
      <c r="T1469">
        <v>0</v>
      </c>
      <c r="U1469">
        <v>20</v>
      </c>
      <c r="V1469">
        <v>340.96</v>
      </c>
      <c r="W1469" t="s">
        <v>27</v>
      </c>
      <c r="X1469">
        <v>29</v>
      </c>
    </row>
    <row r="1470" spans="1:24" ht="14.25" customHeight="1">
      <c r="A1470" t="s">
        <v>2218</v>
      </c>
      <c r="B1470" t="s">
        <v>2293</v>
      </c>
      <c r="C1470" s="6" t="str">
        <f t="shared" si="67"/>
        <v>February</v>
      </c>
      <c r="D1470" s="6" t="str">
        <f t="shared" si="68"/>
        <v>16</v>
      </c>
      <c r="E1470" t="s">
        <v>987</v>
      </c>
      <c r="F1470" t="s">
        <v>21</v>
      </c>
      <c r="G1470" t="s">
        <v>74</v>
      </c>
      <c r="H1470" s="4" t="s">
        <v>2259</v>
      </c>
      <c r="I1470">
        <v>554151</v>
      </c>
      <c r="J1470" s="8" t="s">
        <v>2347</v>
      </c>
      <c r="K1470" t="s">
        <v>324</v>
      </c>
      <c r="L1470" t="s">
        <v>325</v>
      </c>
      <c r="M1470" t="s">
        <v>135</v>
      </c>
      <c r="N1470">
        <f t="shared" si="69"/>
        <v>9</v>
      </c>
      <c r="O1470">
        <v>1</v>
      </c>
      <c r="P1470" s="6">
        <v>216.39</v>
      </c>
      <c r="Q1470">
        <v>21.64</v>
      </c>
      <c r="R1470">
        <v>194.75</v>
      </c>
      <c r="S1470">
        <v>9.74</v>
      </c>
      <c r="T1470">
        <v>10</v>
      </c>
      <c r="U1470">
        <v>20</v>
      </c>
      <c r="V1470">
        <v>234.49</v>
      </c>
      <c r="W1470" t="s">
        <v>27</v>
      </c>
      <c r="X1470">
        <v>29</v>
      </c>
    </row>
    <row r="1471" spans="1:24" ht="14.25" customHeight="1">
      <c r="A1471" t="s">
        <v>2219</v>
      </c>
      <c r="B1471" t="s">
        <v>2276</v>
      </c>
      <c r="C1471" s="6" t="str">
        <f t="shared" si="67"/>
        <v>February</v>
      </c>
      <c r="D1471" s="6" t="str">
        <f t="shared" si="68"/>
        <v>09</v>
      </c>
      <c r="E1471" t="s">
        <v>989</v>
      </c>
      <c r="F1471" t="s">
        <v>21</v>
      </c>
      <c r="G1471" t="s">
        <v>22</v>
      </c>
      <c r="H1471" s="4" t="s">
        <v>2259</v>
      </c>
      <c r="I1471">
        <v>554151</v>
      </c>
      <c r="J1471" s="8" t="s">
        <v>2345</v>
      </c>
      <c r="K1471" t="s">
        <v>328</v>
      </c>
      <c r="L1471" t="s">
        <v>329</v>
      </c>
      <c r="M1471" t="s">
        <v>65</v>
      </c>
      <c r="N1471">
        <f t="shared" si="69"/>
        <v>6</v>
      </c>
      <c r="O1471">
        <v>4</v>
      </c>
      <c r="P1471" s="6">
        <v>128.47999999999999</v>
      </c>
      <c r="Q1471">
        <v>0</v>
      </c>
      <c r="R1471">
        <v>513.91999999999996</v>
      </c>
      <c r="S1471">
        <v>25.7</v>
      </c>
      <c r="T1471">
        <v>30</v>
      </c>
      <c r="U1471">
        <v>15</v>
      </c>
      <c r="V1471">
        <v>584.62</v>
      </c>
      <c r="W1471" t="s">
        <v>27</v>
      </c>
      <c r="X1471">
        <v>42</v>
      </c>
    </row>
    <row r="1472" spans="1:24" ht="14.25" customHeight="1">
      <c r="A1472" t="s">
        <v>2220</v>
      </c>
      <c r="B1472" t="s">
        <v>2283</v>
      </c>
      <c r="C1472" s="6" t="str">
        <f t="shared" si="67"/>
        <v>March</v>
      </c>
      <c r="D1472" s="6" t="str">
        <f t="shared" si="68"/>
        <v>01</v>
      </c>
      <c r="E1472" t="s">
        <v>991</v>
      </c>
      <c r="F1472" t="s">
        <v>21</v>
      </c>
      <c r="G1472" t="s">
        <v>68</v>
      </c>
      <c r="H1472" s="4" t="s">
        <v>2259</v>
      </c>
      <c r="I1472">
        <v>554151</v>
      </c>
      <c r="J1472" s="8" t="s">
        <v>2347</v>
      </c>
      <c r="K1472" t="s">
        <v>332</v>
      </c>
      <c r="L1472" t="s">
        <v>333</v>
      </c>
      <c r="M1472" t="s">
        <v>33</v>
      </c>
      <c r="N1472">
        <f t="shared" si="69"/>
        <v>10</v>
      </c>
      <c r="O1472">
        <v>1</v>
      </c>
      <c r="P1472" s="6">
        <v>164.33</v>
      </c>
      <c r="Q1472">
        <v>24.65</v>
      </c>
      <c r="R1472">
        <v>139.68</v>
      </c>
      <c r="S1472">
        <v>6.98</v>
      </c>
      <c r="T1472">
        <v>0</v>
      </c>
      <c r="U1472">
        <v>15</v>
      </c>
      <c r="V1472">
        <v>161.66</v>
      </c>
      <c r="W1472" t="s">
        <v>27</v>
      </c>
      <c r="X1472">
        <v>37</v>
      </c>
    </row>
    <row r="1473" spans="1:24" ht="14.25" customHeight="1">
      <c r="A1473" t="s">
        <v>2221</v>
      </c>
      <c r="B1473" t="s">
        <v>2266</v>
      </c>
      <c r="C1473" s="6" t="str">
        <f t="shared" si="67"/>
        <v>February</v>
      </c>
      <c r="D1473" s="6" t="str">
        <f t="shared" si="68"/>
        <v>12</v>
      </c>
      <c r="E1473" t="s">
        <v>993</v>
      </c>
      <c r="F1473" t="s">
        <v>21</v>
      </c>
      <c r="G1473" t="s">
        <v>37</v>
      </c>
      <c r="H1473" s="4" t="s">
        <v>2259</v>
      </c>
      <c r="I1473">
        <v>554151</v>
      </c>
      <c r="J1473" s="8" t="s">
        <v>2347</v>
      </c>
      <c r="K1473" t="s">
        <v>336</v>
      </c>
      <c r="L1473" t="s">
        <v>337</v>
      </c>
      <c r="M1473" t="s">
        <v>65</v>
      </c>
      <c r="N1473">
        <f t="shared" si="69"/>
        <v>6</v>
      </c>
      <c r="O1473">
        <v>6</v>
      </c>
      <c r="P1473" s="6">
        <v>139.21</v>
      </c>
      <c r="Q1473">
        <v>6.96</v>
      </c>
      <c r="R1473">
        <v>828.3</v>
      </c>
      <c r="S1473">
        <v>41.41</v>
      </c>
      <c r="T1473">
        <v>30</v>
      </c>
      <c r="U1473">
        <v>5</v>
      </c>
      <c r="V1473">
        <v>904.70999999999992</v>
      </c>
      <c r="W1473" t="s">
        <v>27</v>
      </c>
      <c r="X1473">
        <v>18</v>
      </c>
    </row>
    <row r="1474" spans="1:24" ht="14.25" customHeight="1">
      <c r="A1474" t="s">
        <v>2222</v>
      </c>
      <c r="B1474" t="s">
        <v>2285</v>
      </c>
      <c r="C1474" s="6" t="str">
        <f t="shared" si="67"/>
        <v>January</v>
      </c>
      <c r="D1474" s="6" t="str">
        <f t="shared" si="68"/>
        <v>12</v>
      </c>
      <c r="E1474" t="s">
        <v>995</v>
      </c>
      <c r="F1474" t="s">
        <v>21</v>
      </c>
      <c r="G1474" t="s">
        <v>74</v>
      </c>
      <c r="H1474" s="4" t="s">
        <v>2259</v>
      </c>
      <c r="I1474">
        <v>554151</v>
      </c>
      <c r="J1474" s="8" t="s">
        <v>2345</v>
      </c>
      <c r="K1474" t="s">
        <v>340</v>
      </c>
      <c r="L1474" t="s">
        <v>341</v>
      </c>
      <c r="M1474" t="s">
        <v>89</v>
      </c>
      <c r="N1474">
        <f t="shared" si="69"/>
        <v>7</v>
      </c>
      <c r="O1474">
        <v>1</v>
      </c>
      <c r="P1474" s="6">
        <v>74.06</v>
      </c>
      <c r="Q1474">
        <v>7.41</v>
      </c>
      <c r="R1474">
        <v>66.650000000000006</v>
      </c>
      <c r="S1474">
        <v>3.33</v>
      </c>
      <c r="T1474">
        <v>20</v>
      </c>
      <c r="U1474">
        <v>0</v>
      </c>
      <c r="V1474">
        <v>89.98</v>
      </c>
      <c r="W1474" t="s">
        <v>27</v>
      </c>
      <c r="X1474">
        <v>24</v>
      </c>
    </row>
    <row r="1475" spans="1:24" ht="14.25" customHeight="1">
      <c r="A1475" t="s">
        <v>2223</v>
      </c>
      <c r="B1475" t="s">
        <v>2280</v>
      </c>
      <c r="C1475" s="6" t="str">
        <f t="shared" ref="C1475:C1501" si="70">TEXT(B1475,"mmmm")</f>
        <v>February</v>
      </c>
      <c r="D1475" s="6" t="str">
        <f t="shared" ref="D1475:D1501" si="71">TEXT(B1475,"dd")</f>
        <v>13</v>
      </c>
      <c r="E1475" t="s">
        <v>997</v>
      </c>
      <c r="F1475" t="s">
        <v>80</v>
      </c>
      <c r="G1475" t="s">
        <v>81</v>
      </c>
      <c r="H1475" s="4" t="s">
        <v>2259</v>
      </c>
      <c r="I1475">
        <v>554151</v>
      </c>
      <c r="J1475" s="8" t="s">
        <v>30</v>
      </c>
      <c r="K1475" t="s">
        <v>344</v>
      </c>
      <c r="L1475" t="s">
        <v>345</v>
      </c>
      <c r="M1475" t="s">
        <v>130</v>
      </c>
      <c r="N1475">
        <f t="shared" si="69"/>
        <v>7</v>
      </c>
      <c r="O1475">
        <v>3</v>
      </c>
      <c r="P1475" s="6">
        <v>117.58</v>
      </c>
      <c r="Q1475">
        <v>5.88</v>
      </c>
      <c r="R1475">
        <v>346.86</v>
      </c>
      <c r="S1475">
        <v>17.34</v>
      </c>
      <c r="T1475">
        <v>20</v>
      </c>
      <c r="U1475">
        <v>0</v>
      </c>
      <c r="V1475">
        <v>384.2</v>
      </c>
      <c r="W1475" t="s">
        <v>27</v>
      </c>
      <c r="X1475">
        <v>12</v>
      </c>
    </row>
    <row r="1476" spans="1:24" ht="14.25" customHeight="1">
      <c r="A1476" t="s">
        <v>2224</v>
      </c>
      <c r="B1476" t="s">
        <v>2275</v>
      </c>
      <c r="C1476" s="6" t="str">
        <f t="shared" si="70"/>
        <v>February</v>
      </c>
      <c r="D1476" s="6" t="str">
        <f t="shared" si="71"/>
        <v>05</v>
      </c>
      <c r="E1476" t="s">
        <v>999</v>
      </c>
      <c r="F1476" t="s">
        <v>21</v>
      </c>
      <c r="G1476" t="s">
        <v>22</v>
      </c>
      <c r="H1476" s="4" t="s">
        <v>2259</v>
      </c>
      <c r="I1476">
        <v>554151</v>
      </c>
      <c r="J1476" s="8" t="s">
        <v>2345</v>
      </c>
      <c r="K1476" t="s">
        <v>348</v>
      </c>
      <c r="L1476" t="s">
        <v>349</v>
      </c>
      <c r="M1476" t="s">
        <v>50</v>
      </c>
      <c r="N1476">
        <f t="shared" si="69"/>
        <v>5</v>
      </c>
      <c r="O1476">
        <v>2</v>
      </c>
      <c r="P1476" s="6">
        <v>143.91</v>
      </c>
      <c r="Q1476">
        <v>14.39</v>
      </c>
      <c r="R1476">
        <v>273.43</v>
      </c>
      <c r="S1476">
        <v>13.67</v>
      </c>
      <c r="T1476">
        <v>10</v>
      </c>
      <c r="U1476">
        <v>20</v>
      </c>
      <c r="V1476">
        <v>317.10000000000002</v>
      </c>
      <c r="W1476" t="s">
        <v>27</v>
      </c>
      <c r="X1476">
        <v>27</v>
      </c>
    </row>
    <row r="1477" spans="1:24" ht="14.25" customHeight="1">
      <c r="A1477" t="s">
        <v>2225</v>
      </c>
      <c r="B1477" t="s">
        <v>2313</v>
      </c>
      <c r="C1477" s="6" t="str">
        <f t="shared" si="70"/>
        <v>February</v>
      </c>
      <c r="D1477" s="6" t="str">
        <f t="shared" si="71"/>
        <v>17</v>
      </c>
      <c r="E1477" t="s">
        <v>1001</v>
      </c>
      <c r="F1477" t="s">
        <v>21</v>
      </c>
      <c r="G1477" t="s">
        <v>106</v>
      </c>
      <c r="H1477" s="4" t="s">
        <v>2259</v>
      </c>
      <c r="I1477">
        <v>554151</v>
      </c>
      <c r="J1477" s="8" t="s">
        <v>2346</v>
      </c>
      <c r="K1477" t="s">
        <v>352</v>
      </c>
      <c r="L1477" t="s">
        <v>353</v>
      </c>
      <c r="M1477" t="s">
        <v>26</v>
      </c>
      <c r="N1477">
        <f t="shared" si="69"/>
        <v>3</v>
      </c>
      <c r="O1477">
        <v>2</v>
      </c>
      <c r="P1477" s="6">
        <v>67.73</v>
      </c>
      <c r="Q1477">
        <v>10.16</v>
      </c>
      <c r="R1477">
        <v>125.3</v>
      </c>
      <c r="S1477">
        <v>6.27</v>
      </c>
      <c r="T1477">
        <v>0</v>
      </c>
      <c r="U1477">
        <v>5</v>
      </c>
      <c r="V1477">
        <v>136.57</v>
      </c>
      <c r="W1477" t="s">
        <v>84</v>
      </c>
      <c r="X1477">
        <v>25</v>
      </c>
    </row>
    <row r="1478" spans="1:24" ht="14.25" customHeight="1">
      <c r="A1478" t="s">
        <v>2226</v>
      </c>
      <c r="B1478" t="s">
        <v>2301</v>
      </c>
      <c r="C1478" s="6" t="str">
        <f t="shared" si="70"/>
        <v>January</v>
      </c>
      <c r="D1478" s="6" t="str">
        <f t="shared" si="71"/>
        <v>04</v>
      </c>
      <c r="E1478" t="s">
        <v>1003</v>
      </c>
      <c r="F1478" t="s">
        <v>21</v>
      </c>
      <c r="G1478" t="s">
        <v>37</v>
      </c>
      <c r="H1478" s="4" t="s">
        <v>2259</v>
      </c>
      <c r="I1478" s="9">
        <v>554151</v>
      </c>
      <c r="J1478" s="8" t="s">
        <v>62</v>
      </c>
      <c r="K1478" t="s">
        <v>356</v>
      </c>
      <c r="L1478" t="s">
        <v>357</v>
      </c>
      <c r="M1478" t="s">
        <v>50</v>
      </c>
      <c r="N1478">
        <f t="shared" si="69"/>
        <v>5</v>
      </c>
      <c r="O1478">
        <v>6</v>
      </c>
      <c r="P1478" s="6">
        <v>272.5</v>
      </c>
      <c r="Q1478">
        <v>40.880000000000003</v>
      </c>
      <c r="R1478">
        <v>1594.12</v>
      </c>
      <c r="S1478">
        <v>79.709999999999994</v>
      </c>
      <c r="T1478">
        <v>10</v>
      </c>
      <c r="U1478">
        <v>5</v>
      </c>
      <c r="V1478">
        <v>1688.83</v>
      </c>
      <c r="W1478" t="s">
        <v>27</v>
      </c>
      <c r="X1478">
        <v>23</v>
      </c>
    </row>
    <row r="1479" spans="1:24" ht="14.25" customHeight="1">
      <c r="A1479" t="s">
        <v>2227</v>
      </c>
      <c r="B1479" t="s">
        <v>2317</v>
      </c>
      <c r="C1479" s="6" t="str">
        <f t="shared" si="70"/>
        <v>January</v>
      </c>
      <c r="D1479" s="6" t="str">
        <f t="shared" si="71"/>
        <v>05</v>
      </c>
      <c r="E1479" t="s">
        <v>1005</v>
      </c>
      <c r="F1479" t="s">
        <v>21</v>
      </c>
      <c r="G1479" t="s">
        <v>74</v>
      </c>
      <c r="H1479" s="4" t="s">
        <v>2259</v>
      </c>
      <c r="I1479" s="9">
        <v>554151</v>
      </c>
      <c r="J1479" s="8" t="s">
        <v>2345</v>
      </c>
      <c r="K1479" t="s">
        <v>360</v>
      </c>
      <c r="L1479" t="s">
        <v>361</v>
      </c>
      <c r="M1479" t="s">
        <v>135</v>
      </c>
      <c r="N1479">
        <f t="shared" si="69"/>
        <v>9</v>
      </c>
      <c r="O1479">
        <v>3</v>
      </c>
      <c r="P1479" s="6">
        <v>133.97999999999999</v>
      </c>
      <c r="Q1479">
        <v>0</v>
      </c>
      <c r="R1479">
        <v>401.93999999999988</v>
      </c>
      <c r="S1479">
        <v>20.100000000000001</v>
      </c>
      <c r="T1479">
        <v>10</v>
      </c>
      <c r="U1479">
        <v>0</v>
      </c>
      <c r="V1479">
        <v>432.04</v>
      </c>
      <c r="W1479" t="s">
        <v>27</v>
      </c>
      <c r="X1479">
        <v>17</v>
      </c>
    </row>
    <row r="1480" spans="1:24" ht="14.25" customHeight="1">
      <c r="A1480" t="s">
        <v>2228</v>
      </c>
      <c r="B1480" t="s">
        <v>2320</v>
      </c>
      <c r="C1480" s="6" t="str">
        <f t="shared" si="70"/>
        <v>February</v>
      </c>
      <c r="D1480" s="6" t="str">
        <f t="shared" si="71"/>
        <v>25</v>
      </c>
      <c r="E1480" t="s">
        <v>1007</v>
      </c>
      <c r="F1480" t="s">
        <v>21</v>
      </c>
      <c r="G1480" t="s">
        <v>22</v>
      </c>
      <c r="H1480" s="4" t="s">
        <v>2259</v>
      </c>
      <c r="I1480" s="9">
        <v>554151</v>
      </c>
      <c r="J1480" s="8" t="s">
        <v>2346</v>
      </c>
      <c r="K1480" t="s">
        <v>364</v>
      </c>
      <c r="L1480" t="s">
        <v>365</v>
      </c>
      <c r="M1480" t="s">
        <v>140</v>
      </c>
      <c r="N1480">
        <f t="shared" si="69"/>
        <v>3</v>
      </c>
      <c r="O1480">
        <v>4</v>
      </c>
      <c r="P1480" s="6">
        <v>53.94</v>
      </c>
      <c r="Q1480">
        <v>8.09</v>
      </c>
      <c r="R1480">
        <v>207.67</v>
      </c>
      <c r="S1480">
        <v>10.38</v>
      </c>
      <c r="T1480">
        <v>30</v>
      </c>
      <c r="U1480">
        <v>10</v>
      </c>
      <c r="V1480">
        <v>258.05</v>
      </c>
      <c r="W1480" t="s">
        <v>27</v>
      </c>
      <c r="X1480">
        <v>29</v>
      </c>
    </row>
    <row r="1481" spans="1:24" ht="14.25" customHeight="1">
      <c r="A1481" t="s">
        <v>2229</v>
      </c>
      <c r="B1481" t="s">
        <v>2297</v>
      </c>
      <c r="C1481" s="6" t="str">
        <f t="shared" si="70"/>
        <v>February</v>
      </c>
      <c r="D1481" s="6" t="str">
        <f t="shared" si="71"/>
        <v>06</v>
      </c>
      <c r="E1481" t="s">
        <v>1009</v>
      </c>
      <c r="F1481" t="s">
        <v>21</v>
      </c>
      <c r="G1481" t="s">
        <v>68</v>
      </c>
      <c r="H1481" s="4" t="s">
        <v>2259</v>
      </c>
      <c r="I1481" s="9">
        <v>554151</v>
      </c>
      <c r="J1481" s="8" t="s">
        <v>2349</v>
      </c>
      <c r="K1481" t="s">
        <v>368</v>
      </c>
      <c r="L1481" t="s">
        <v>369</v>
      </c>
      <c r="M1481" t="s">
        <v>77</v>
      </c>
      <c r="N1481">
        <f t="shared" si="69"/>
        <v>5</v>
      </c>
      <c r="O1481">
        <v>1</v>
      </c>
      <c r="P1481" s="6">
        <v>66.28</v>
      </c>
      <c r="Q1481">
        <v>3.31</v>
      </c>
      <c r="R1481">
        <v>62.97</v>
      </c>
      <c r="S1481">
        <v>3.15</v>
      </c>
      <c r="T1481">
        <v>30</v>
      </c>
      <c r="U1481">
        <v>0</v>
      </c>
      <c r="V1481">
        <v>96.12</v>
      </c>
      <c r="W1481" t="s">
        <v>27</v>
      </c>
      <c r="X1481">
        <v>35</v>
      </c>
    </row>
    <row r="1482" spans="1:24" ht="14.25" customHeight="1">
      <c r="A1482" t="s">
        <v>2230</v>
      </c>
      <c r="B1482" t="s">
        <v>2267</v>
      </c>
      <c r="C1482" s="6" t="str">
        <f t="shared" si="70"/>
        <v>January</v>
      </c>
      <c r="D1482" s="6" t="str">
        <f t="shared" si="71"/>
        <v>08</v>
      </c>
      <c r="E1482" t="s">
        <v>1011</v>
      </c>
      <c r="F1482" t="s">
        <v>21</v>
      </c>
      <c r="G1482" t="s">
        <v>68</v>
      </c>
      <c r="H1482" s="4" t="s">
        <v>2259</v>
      </c>
      <c r="I1482">
        <v>554151</v>
      </c>
      <c r="J1482" s="8" t="s">
        <v>30</v>
      </c>
      <c r="K1482" t="s">
        <v>372</v>
      </c>
      <c r="L1482" t="s">
        <v>373</v>
      </c>
      <c r="M1482" t="s">
        <v>71</v>
      </c>
      <c r="N1482">
        <f t="shared" si="69"/>
        <v>6</v>
      </c>
      <c r="O1482">
        <v>1</v>
      </c>
      <c r="P1482" s="6">
        <v>141.29</v>
      </c>
      <c r="Q1482">
        <v>14.13</v>
      </c>
      <c r="R1482">
        <v>127.16</v>
      </c>
      <c r="S1482">
        <v>6.36</v>
      </c>
      <c r="T1482">
        <v>0</v>
      </c>
      <c r="U1482">
        <v>10</v>
      </c>
      <c r="V1482">
        <v>143.52000000000001</v>
      </c>
      <c r="W1482" t="s">
        <v>27</v>
      </c>
      <c r="X1482">
        <v>23</v>
      </c>
    </row>
    <row r="1483" spans="1:24" ht="14.25" customHeight="1">
      <c r="A1483" t="s">
        <v>2231</v>
      </c>
      <c r="B1483" t="s">
        <v>2290</v>
      </c>
      <c r="C1483" s="6" t="str">
        <f t="shared" si="70"/>
        <v>February</v>
      </c>
      <c r="D1483" s="6" t="str">
        <f t="shared" si="71"/>
        <v>11</v>
      </c>
      <c r="E1483" t="s">
        <v>1013</v>
      </c>
      <c r="F1483" t="s">
        <v>21</v>
      </c>
      <c r="G1483" t="s">
        <v>37</v>
      </c>
      <c r="H1483" s="4" t="s">
        <v>2259</v>
      </c>
      <c r="I1483">
        <v>554151</v>
      </c>
      <c r="J1483" s="8" t="s">
        <v>30</v>
      </c>
      <c r="K1483" t="s">
        <v>376</v>
      </c>
      <c r="L1483" t="s">
        <v>377</v>
      </c>
      <c r="M1483" t="s">
        <v>77</v>
      </c>
      <c r="N1483">
        <f t="shared" si="69"/>
        <v>5</v>
      </c>
      <c r="O1483">
        <v>1</v>
      </c>
      <c r="P1483" s="6">
        <v>107.58</v>
      </c>
      <c r="Q1483">
        <v>0</v>
      </c>
      <c r="R1483">
        <v>107.58</v>
      </c>
      <c r="S1483">
        <v>5.38</v>
      </c>
      <c r="T1483">
        <v>0</v>
      </c>
      <c r="U1483">
        <v>5</v>
      </c>
      <c r="V1483">
        <v>117.96</v>
      </c>
      <c r="W1483" t="s">
        <v>27</v>
      </c>
      <c r="X1483">
        <v>14</v>
      </c>
    </row>
    <row r="1484" spans="1:24" ht="14.25" customHeight="1">
      <c r="A1484" t="s">
        <v>2232</v>
      </c>
      <c r="B1484" t="s">
        <v>2287</v>
      </c>
      <c r="C1484" s="6" t="str">
        <f t="shared" si="70"/>
        <v>February</v>
      </c>
      <c r="D1484" s="6" t="str">
        <f t="shared" si="71"/>
        <v>18</v>
      </c>
      <c r="E1484" t="s">
        <v>1015</v>
      </c>
      <c r="F1484" t="s">
        <v>21</v>
      </c>
      <c r="G1484" t="s">
        <v>68</v>
      </c>
      <c r="H1484" s="4" t="s">
        <v>2259</v>
      </c>
      <c r="I1484">
        <v>554151</v>
      </c>
      <c r="J1484" s="8" t="s">
        <v>2348</v>
      </c>
      <c r="K1484" t="s">
        <v>380</v>
      </c>
      <c r="L1484" t="s">
        <v>381</v>
      </c>
      <c r="M1484" t="s">
        <v>77</v>
      </c>
      <c r="N1484">
        <f t="shared" si="69"/>
        <v>5</v>
      </c>
      <c r="O1484">
        <v>1</v>
      </c>
      <c r="P1484" s="6">
        <v>172.99</v>
      </c>
      <c r="Q1484">
        <v>0</v>
      </c>
      <c r="R1484">
        <v>172.99</v>
      </c>
      <c r="S1484">
        <v>8.65</v>
      </c>
      <c r="T1484">
        <v>30</v>
      </c>
      <c r="U1484">
        <v>10</v>
      </c>
      <c r="V1484">
        <v>221.64</v>
      </c>
      <c r="W1484" t="s">
        <v>27</v>
      </c>
      <c r="X1484">
        <v>37</v>
      </c>
    </row>
    <row r="1485" spans="1:24" ht="14.25" customHeight="1">
      <c r="A1485" t="s">
        <v>2233</v>
      </c>
      <c r="B1485" t="s">
        <v>2291</v>
      </c>
      <c r="C1485" s="6" t="str">
        <f t="shared" si="70"/>
        <v>January</v>
      </c>
      <c r="D1485" s="6" t="str">
        <f t="shared" si="71"/>
        <v>28</v>
      </c>
      <c r="E1485" t="s">
        <v>1017</v>
      </c>
      <c r="F1485" t="s">
        <v>101</v>
      </c>
      <c r="G1485" t="s">
        <v>81</v>
      </c>
      <c r="H1485" s="4" t="s">
        <v>2259</v>
      </c>
      <c r="I1485">
        <v>554151</v>
      </c>
      <c r="J1485" s="8" t="s">
        <v>2348</v>
      </c>
      <c r="K1485" t="s">
        <v>384</v>
      </c>
      <c r="L1485" t="s">
        <v>385</v>
      </c>
      <c r="M1485" t="s">
        <v>71</v>
      </c>
      <c r="N1485">
        <f t="shared" ref="N1485:N1500" si="72">LEN(M1485)</f>
        <v>6</v>
      </c>
      <c r="O1485">
        <v>7</v>
      </c>
      <c r="P1485" s="6">
        <v>161.11000000000001</v>
      </c>
      <c r="Q1485">
        <v>8.06</v>
      </c>
      <c r="R1485">
        <v>1119.71</v>
      </c>
      <c r="S1485">
        <v>55.99</v>
      </c>
      <c r="T1485">
        <v>10</v>
      </c>
      <c r="U1485">
        <v>10</v>
      </c>
      <c r="V1485">
        <v>1195.7</v>
      </c>
      <c r="W1485" t="s">
        <v>27</v>
      </c>
      <c r="X1485">
        <v>26</v>
      </c>
    </row>
    <row r="1486" spans="1:24" ht="14.25" customHeight="1">
      <c r="A1486" t="s">
        <v>2234</v>
      </c>
      <c r="B1486" t="s">
        <v>2312</v>
      </c>
      <c r="C1486" s="6" t="str">
        <f t="shared" si="70"/>
        <v>January</v>
      </c>
      <c r="D1486" s="6" t="str">
        <f t="shared" si="71"/>
        <v>31</v>
      </c>
      <c r="E1486" t="s">
        <v>1019</v>
      </c>
      <c r="F1486" t="s">
        <v>21</v>
      </c>
      <c r="G1486" t="s">
        <v>106</v>
      </c>
      <c r="H1486" s="4" t="s">
        <v>2259</v>
      </c>
      <c r="I1486">
        <v>554151</v>
      </c>
      <c r="J1486" s="8" t="s">
        <v>30</v>
      </c>
      <c r="K1486" t="s">
        <v>388</v>
      </c>
      <c r="L1486" t="s">
        <v>389</v>
      </c>
      <c r="M1486" t="s">
        <v>140</v>
      </c>
      <c r="N1486">
        <f t="shared" si="72"/>
        <v>3</v>
      </c>
      <c r="O1486">
        <v>1</v>
      </c>
      <c r="P1486" s="6">
        <v>169.6</v>
      </c>
      <c r="Q1486">
        <v>16.96</v>
      </c>
      <c r="R1486">
        <v>152.63999999999999</v>
      </c>
      <c r="S1486">
        <v>7.63</v>
      </c>
      <c r="T1486">
        <v>0</v>
      </c>
      <c r="U1486">
        <v>10</v>
      </c>
      <c r="V1486">
        <v>170.27</v>
      </c>
      <c r="W1486" t="s">
        <v>27</v>
      </c>
      <c r="X1486">
        <v>29</v>
      </c>
    </row>
    <row r="1487" spans="1:24" ht="14.25" customHeight="1">
      <c r="A1487" t="s">
        <v>2235</v>
      </c>
      <c r="B1487" t="s">
        <v>2269</v>
      </c>
      <c r="C1487" s="6" t="str">
        <f t="shared" si="70"/>
        <v>February</v>
      </c>
      <c r="D1487" s="6" t="str">
        <f t="shared" si="71"/>
        <v>27</v>
      </c>
      <c r="E1487" t="s">
        <v>1021</v>
      </c>
      <c r="F1487" t="s">
        <v>21</v>
      </c>
      <c r="G1487" t="s">
        <v>106</v>
      </c>
      <c r="H1487" s="4" t="s">
        <v>2259</v>
      </c>
      <c r="I1487">
        <v>554151</v>
      </c>
      <c r="J1487" s="8" t="s">
        <v>62</v>
      </c>
      <c r="K1487" t="s">
        <v>392</v>
      </c>
      <c r="L1487" t="s">
        <v>393</v>
      </c>
      <c r="M1487" t="s">
        <v>77</v>
      </c>
      <c r="N1487">
        <f t="shared" si="72"/>
        <v>5</v>
      </c>
      <c r="O1487">
        <v>5</v>
      </c>
      <c r="P1487" s="6">
        <v>232.12</v>
      </c>
      <c r="Q1487">
        <v>23.21</v>
      </c>
      <c r="R1487">
        <v>1137.3900000000001</v>
      </c>
      <c r="S1487">
        <v>56.87</v>
      </c>
      <c r="T1487">
        <v>20</v>
      </c>
      <c r="U1487">
        <v>0</v>
      </c>
      <c r="V1487">
        <v>1214.26</v>
      </c>
      <c r="W1487" t="s">
        <v>117</v>
      </c>
      <c r="X1487">
        <v>25</v>
      </c>
    </row>
    <row r="1488" spans="1:24" ht="14.25" customHeight="1">
      <c r="A1488" t="s">
        <v>2236</v>
      </c>
      <c r="B1488" t="s">
        <v>2299</v>
      </c>
      <c r="C1488" s="6" t="str">
        <f t="shared" si="70"/>
        <v>January</v>
      </c>
      <c r="D1488" s="6" t="str">
        <f t="shared" si="71"/>
        <v>09</v>
      </c>
      <c r="E1488" t="s">
        <v>1023</v>
      </c>
      <c r="F1488" t="s">
        <v>101</v>
      </c>
      <c r="G1488" t="s">
        <v>81</v>
      </c>
      <c r="H1488" s="4" t="s">
        <v>2259</v>
      </c>
      <c r="I1488">
        <v>554151</v>
      </c>
      <c r="J1488" s="8" t="s">
        <v>2348</v>
      </c>
      <c r="K1488" t="s">
        <v>396</v>
      </c>
      <c r="L1488" t="s">
        <v>397</v>
      </c>
      <c r="M1488" t="s">
        <v>65</v>
      </c>
      <c r="N1488">
        <f t="shared" si="72"/>
        <v>6</v>
      </c>
      <c r="O1488">
        <v>3</v>
      </c>
      <c r="P1488" s="6">
        <v>49.71</v>
      </c>
      <c r="Q1488">
        <v>7.46</v>
      </c>
      <c r="R1488">
        <v>141.66999999999999</v>
      </c>
      <c r="S1488">
        <v>7.08</v>
      </c>
      <c r="T1488">
        <v>0</v>
      </c>
      <c r="U1488">
        <v>0</v>
      </c>
      <c r="V1488">
        <v>148.75</v>
      </c>
      <c r="W1488" t="s">
        <v>27</v>
      </c>
      <c r="X1488">
        <v>12</v>
      </c>
    </row>
    <row r="1489" spans="1:24" ht="14.25" customHeight="1">
      <c r="A1489" t="s">
        <v>2237</v>
      </c>
      <c r="B1489" t="s">
        <v>2309</v>
      </c>
      <c r="C1489" s="6" t="str">
        <f t="shared" si="70"/>
        <v>February</v>
      </c>
      <c r="D1489" s="6" t="str">
        <f t="shared" si="71"/>
        <v>23</v>
      </c>
      <c r="E1489" t="s">
        <v>1025</v>
      </c>
      <c r="F1489" t="s">
        <v>80</v>
      </c>
      <c r="G1489" t="s">
        <v>81</v>
      </c>
      <c r="H1489" s="4" t="s">
        <v>2259</v>
      </c>
      <c r="I1489">
        <v>554151</v>
      </c>
      <c r="J1489" s="8" t="s">
        <v>2347</v>
      </c>
      <c r="K1489" t="s">
        <v>400</v>
      </c>
      <c r="L1489" t="s">
        <v>401</v>
      </c>
      <c r="M1489" t="s">
        <v>40</v>
      </c>
      <c r="N1489">
        <f t="shared" si="72"/>
        <v>6</v>
      </c>
      <c r="O1489">
        <v>5</v>
      </c>
      <c r="P1489" s="6">
        <v>85.73</v>
      </c>
      <c r="Q1489">
        <v>12.86</v>
      </c>
      <c r="R1489">
        <v>415.79</v>
      </c>
      <c r="S1489">
        <v>20.79</v>
      </c>
      <c r="T1489">
        <v>10</v>
      </c>
      <c r="U1489">
        <v>5</v>
      </c>
      <c r="V1489">
        <v>451.58</v>
      </c>
      <c r="W1489" t="s">
        <v>27</v>
      </c>
      <c r="X1489">
        <v>32</v>
      </c>
    </row>
    <row r="1490" spans="1:24" ht="14.25" customHeight="1">
      <c r="A1490" t="s">
        <v>2238</v>
      </c>
      <c r="B1490" t="s">
        <v>2294</v>
      </c>
      <c r="C1490" s="6" t="str">
        <f t="shared" si="70"/>
        <v>February</v>
      </c>
      <c r="D1490" s="6" t="str">
        <f t="shared" si="71"/>
        <v>20</v>
      </c>
      <c r="E1490" t="s">
        <v>1027</v>
      </c>
      <c r="F1490" t="s">
        <v>101</v>
      </c>
      <c r="G1490" t="s">
        <v>81</v>
      </c>
      <c r="H1490" s="4" t="s">
        <v>2259</v>
      </c>
      <c r="I1490">
        <v>524893</v>
      </c>
      <c r="J1490" s="8" t="s">
        <v>62</v>
      </c>
      <c r="K1490" t="s">
        <v>404</v>
      </c>
      <c r="L1490" t="s">
        <v>405</v>
      </c>
      <c r="M1490" t="s">
        <v>130</v>
      </c>
      <c r="N1490">
        <f t="shared" si="72"/>
        <v>7</v>
      </c>
      <c r="O1490">
        <v>2</v>
      </c>
      <c r="P1490" s="6">
        <v>8.35</v>
      </c>
      <c r="Q1490">
        <v>1.25</v>
      </c>
      <c r="R1490">
        <v>15.45</v>
      </c>
      <c r="S1490">
        <v>0.77</v>
      </c>
      <c r="T1490">
        <v>20</v>
      </c>
      <c r="U1490">
        <v>10</v>
      </c>
      <c r="V1490">
        <v>46.22</v>
      </c>
      <c r="W1490" t="s">
        <v>27</v>
      </c>
      <c r="X1490">
        <v>23</v>
      </c>
    </row>
    <row r="1491" spans="1:24" ht="14.25" customHeight="1">
      <c r="A1491" t="s">
        <v>2239</v>
      </c>
      <c r="B1491" t="s">
        <v>2264</v>
      </c>
      <c r="C1491" s="6" t="str">
        <f t="shared" si="70"/>
        <v>January</v>
      </c>
      <c r="D1491" s="6" t="str">
        <f t="shared" si="71"/>
        <v>29</v>
      </c>
      <c r="E1491" t="s">
        <v>1029</v>
      </c>
      <c r="F1491" t="s">
        <v>21</v>
      </c>
      <c r="G1491" t="s">
        <v>68</v>
      </c>
      <c r="H1491" s="4" t="s">
        <v>2259</v>
      </c>
      <c r="I1491">
        <v>524852</v>
      </c>
      <c r="J1491" s="8" t="s">
        <v>2346</v>
      </c>
      <c r="K1491" t="s">
        <v>408</v>
      </c>
      <c r="L1491" t="s">
        <v>409</v>
      </c>
      <c r="M1491" t="s">
        <v>33</v>
      </c>
      <c r="N1491">
        <f t="shared" si="72"/>
        <v>10</v>
      </c>
      <c r="O1491">
        <v>3</v>
      </c>
      <c r="P1491" s="6">
        <v>97.69</v>
      </c>
      <c r="Q1491">
        <v>9.77</v>
      </c>
      <c r="R1491">
        <v>283.3</v>
      </c>
      <c r="S1491">
        <v>14.17</v>
      </c>
      <c r="T1491">
        <v>30</v>
      </c>
      <c r="U1491">
        <v>0</v>
      </c>
      <c r="V1491">
        <v>327.47000000000003</v>
      </c>
      <c r="W1491" t="s">
        <v>27</v>
      </c>
      <c r="X1491">
        <v>21</v>
      </c>
    </row>
    <row r="1492" spans="1:24" ht="14.25" customHeight="1">
      <c r="A1492" t="s">
        <v>2240</v>
      </c>
      <c r="B1492" t="s">
        <v>2302</v>
      </c>
      <c r="C1492" s="6" t="str">
        <f t="shared" si="70"/>
        <v>January</v>
      </c>
      <c r="D1492" s="6" t="str">
        <f t="shared" si="71"/>
        <v>14</v>
      </c>
      <c r="E1492" t="s">
        <v>1031</v>
      </c>
      <c r="F1492" t="s">
        <v>21</v>
      </c>
      <c r="G1492" t="s">
        <v>37</v>
      </c>
      <c r="H1492" s="4" t="s">
        <v>2259</v>
      </c>
      <c r="I1492">
        <v>524812</v>
      </c>
      <c r="J1492" s="8" t="s">
        <v>2347</v>
      </c>
      <c r="K1492" t="s">
        <v>412</v>
      </c>
      <c r="L1492" t="s">
        <v>413</v>
      </c>
      <c r="M1492" t="s">
        <v>135</v>
      </c>
      <c r="N1492">
        <f t="shared" si="72"/>
        <v>9</v>
      </c>
      <c r="O1492">
        <v>1</v>
      </c>
      <c r="P1492" s="6">
        <v>60.91</v>
      </c>
      <c r="Q1492">
        <v>0</v>
      </c>
      <c r="R1492">
        <v>60.91</v>
      </c>
      <c r="S1492">
        <v>3.05</v>
      </c>
      <c r="T1492">
        <v>30</v>
      </c>
      <c r="U1492">
        <v>10</v>
      </c>
      <c r="V1492">
        <v>103.96</v>
      </c>
      <c r="W1492" t="s">
        <v>27</v>
      </c>
      <c r="X1492">
        <v>30</v>
      </c>
    </row>
    <row r="1493" spans="1:24" ht="14.25" customHeight="1">
      <c r="A1493" t="s">
        <v>2241</v>
      </c>
      <c r="B1493" t="s">
        <v>2276</v>
      </c>
      <c r="C1493" s="6" t="str">
        <f t="shared" si="70"/>
        <v>February</v>
      </c>
      <c r="D1493" s="6" t="str">
        <f t="shared" si="71"/>
        <v>09</v>
      </c>
      <c r="E1493" t="s">
        <v>1033</v>
      </c>
      <c r="F1493" t="s">
        <v>21</v>
      </c>
      <c r="G1493" t="s">
        <v>37</v>
      </c>
      <c r="H1493" s="4" t="s">
        <v>2259</v>
      </c>
      <c r="I1493">
        <v>524771</v>
      </c>
      <c r="J1493" s="8" t="s">
        <v>2348</v>
      </c>
      <c r="K1493" t="s">
        <v>416</v>
      </c>
      <c r="L1493" t="s">
        <v>417</v>
      </c>
      <c r="M1493" t="s">
        <v>77</v>
      </c>
      <c r="N1493">
        <f t="shared" si="72"/>
        <v>5</v>
      </c>
      <c r="O1493">
        <v>4</v>
      </c>
      <c r="P1493" s="6">
        <v>146.91</v>
      </c>
      <c r="Q1493">
        <v>14.69</v>
      </c>
      <c r="R1493">
        <v>572.94999999999993</v>
      </c>
      <c r="S1493">
        <v>28.65</v>
      </c>
      <c r="T1493">
        <v>30</v>
      </c>
      <c r="U1493">
        <v>0</v>
      </c>
      <c r="V1493">
        <v>631.59999999999991</v>
      </c>
      <c r="W1493" t="s">
        <v>27</v>
      </c>
      <c r="X1493">
        <v>20</v>
      </c>
    </row>
    <row r="1494" spans="1:24" ht="14.25" customHeight="1">
      <c r="A1494" t="s">
        <v>2242</v>
      </c>
      <c r="B1494" t="s">
        <v>2315</v>
      </c>
      <c r="C1494" s="6" t="str">
        <f t="shared" si="70"/>
        <v>February</v>
      </c>
      <c r="D1494" s="6" t="str">
        <f t="shared" si="71"/>
        <v>10</v>
      </c>
      <c r="E1494" t="s">
        <v>1035</v>
      </c>
      <c r="F1494" t="s">
        <v>21</v>
      </c>
      <c r="G1494" t="s">
        <v>68</v>
      </c>
      <c r="H1494" s="4" t="s">
        <v>2259</v>
      </c>
      <c r="I1494">
        <v>524731</v>
      </c>
      <c r="J1494" s="8" t="s">
        <v>30</v>
      </c>
      <c r="K1494" t="s">
        <v>420</v>
      </c>
      <c r="L1494" t="s">
        <v>421</v>
      </c>
      <c r="M1494" t="s">
        <v>130</v>
      </c>
      <c r="N1494">
        <f t="shared" si="72"/>
        <v>7</v>
      </c>
      <c r="O1494">
        <v>4</v>
      </c>
      <c r="P1494" s="6">
        <v>31.06</v>
      </c>
      <c r="Q1494">
        <v>1.55</v>
      </c>
      <c r="R1494">
        <v>122.69</v>
      </c>
      <c r="S1494">
        <v>6.13</v>
      </c>
      <c r="T1494">
        <v>10</v>
      </c>
      <c r="U1494">
        <v>0</v>
      </c>
      <c r="V1494">
        <v>138.82</v>
      </c>
      <c r="W1494" t="s">
        <v>27</v>
      </c>
      <c r="X1494">
        <v>21</v>
      </c>
    </row>
    <row r="1495" spans="1:24" ht="14.25" customHeight="1">
      <c r="A1495" t="s">
        <v>2243</v>
      </c>
      <c r="B1495" t="s">
        <v>2278</v>
      </c>
      <c r="C1495" s="6" t="str">
        <f t="shared" si="70"/>
        <v>January</v>
      </c>
      <c r="D1495" s="6" t="str">
        <f t="shared" si="71"/>
        <v>22</v>
      </c>
      <c r="E1495" t="s">
        <v>1037</v>
      </c>
      <c r="F1495" t="s">
        <v>21</v>
      </c>
      <c r="G1495" t="s">
        <v>22</v>
      </c>
      <c r="H1495" s="4" t="s">
        <v>2259</v>
      </c>
      <c r="I1495">
        <v>524690</v>
      </c>
      <c r="J1495" s="8" t="s">
        <v>2347</v>
      </c>
      <c r="K1495" t="s">
        <v>424</v>
      </c>
      <c r="L1495" t="s">
        <v>425</v>
      </c>
      <c r="M1495" t="s">
        <v>50</v>
      </c>
      <c r="N1495">
        <f t="shared" si="72"/>
        <v>5</v>
      </c>
      <c r="O1495">
        <v>5</v>
      </c>
      <c r="P1495" s="6">
        <v>192.89</v>
      </c>
      <c r="Q1495">
        <v>9.64</v>
      </c>
      <c r="R1495">
        <v>954.81</v>
      </c>
      <c r="S1495">
        <v>47.74</v>
      </c>
      <c r="T1495">
        <v>0</v>
      </c>
      <c r="U1495">
        <v>0</v>
      </c>
      <c r="V1495">
        <v>1002.55</v>
      </c>
      <c r="W1495" t="s">
        <v>27</v>
      </c>
      <c r="X1495">
        <v>5</v>
      </c>
    </row>
    <row r="1496" spans="1:24" ht="14.25" customHeight="1">
      <c r="A1496" t="s">
        <v>2244</v>
      </c>
      <c r="B1496" t="s">
        <v>2272</v>
      </c>
      <c r="C1496" s="6" t="str">
        <f t="shared" si="70"/>
        <v>January</v>
      </c>
      <c r="D1496" s="6" t="str">
        <f t="shared" si="71"/>
        <v>11</v>
      </c>
      <c r="E1496" t="s">
        <v>1039</v>
      </c>
      <c r="F1496" t="s">
        <v>101</v>
      </c>
      <c r="G1496" t="s">
        <v>81</v>
      </c>
      <c r="H1496" s="4" t="s">
        <v>2259</v>
      </c>
      <c r="I1496">
        <v>524650</v>
      </c>
      <c r="J1496" s="8" t="s">
        <v>2347</v>
      </c>
      <c r="K1496" t="s">
        <v>428</v>
      </c>
      <c r="L1496" t="s">
        <v>429</v>
      </c>
      <c r="M1496" t="s">
        <v>22</v>
      </c>
      <c r="N1496">
        <f t="shared" si="72"/>
        <v>6</v>
      </c>
      <c r="O1496">
        <v>4</v>
      </c>
      <c r="P1496" s="6">
        <v>227.07</v>
      </c>
      <c r="Q1496">
        <v>0</v>
      </c>
      <c r="R1496">
        <v>908.28</v>
      </c>
      <c r="S1496">
        <v>45.41</v>
      </c>
      <c r="T1496">
        <v>30</v>
      </c>
      <c r="U1496">
        <v>0</v>
      </c>
      <c r="V1496">
        <v>983.68999999999994</v>
      </c>
      <c r="W1496" t="s">
        <v>27</v>
      </c>
      <c r="X1496">
        <v>28</v>
      </c>
    </row>
    <row r="1497" spans="1:24" ht="14.25" customHeight="1">
      <c r="A1497" t="s">
        <v>2245</v>
      </c>
      <c r="B1497" t="s">
        <v>2271</v>
      </c>
      <c r="C1497" s="6" t="str">
        <f t="shared" si="70"/>
        <v>January</v>
      </c>
      <c r="D1497" s="6" t="str">
        <f t="shared" si="71"/>
        <v>23</v>
      </c>
      <c r="E1497" t="s">
        <v>1041</v>
      </c>
      <c r="F1497" t="s">
        <v>21</v>
      </c>
      <c r="G1497" t="s">
        <v>37</v>
      </c>
      <c r="H1497" s="4" t="s">
        <v>2259</v>
      </c>
      <c r="I1497">
        <v>524609</v>
      </c>
      <c r="J1497" s="8" t="s">
        <v>2346</v>
      </c>
      <c r="K1497" t="s">
        <v>432</v>
      </c>
      <c r="L1497" t="s">
        <v>433</v>
      </c>
      <c r="M1497" t="s">
        <v>55</v>
      </c>
      <c r="N1497">
        <f t="shared" si="72"/>
        <v>5</v>
      </c>
      <c r="O1497">
        <v>4</v>
      </c>
      <c r="P1497" s="6">
        <v>4.66</v>
      </c>
      <c r="Q1497">
        <v>0</v>
      </c>
      <c r="R1497">
        <v>18.64</v>
      </c>
      <c r="S1497">
        <v>0.93</v>
      </c>
      <c r="T1497">
        <v>0</v>
      </c>
      <c r="U1497">
        <v>10</v>
      </c>
      <c r="V1497">
        <v>29.57</v>
      </c>
      <c r="W1497" t="s">
        <v>27</v>
      </c>
      <c r="X1497">
        <v>15</v>
      </c>
    </row>
    <row r="1498" spans="1:24" ht="14.25" customHeight="1">
      <c r="A1498" t="s">
        <v>2246</v>
      </c>
      <c r="B1498" t="s">
        <v>2316</v>
      </c>
      <c r="C1498" s="6" t="str">
        <f t="shared" si="70"/>
        <v>January</v>
      </c>
      <c r="D1498" s="6" t="str">
        <f t="shared" si="71"/>
        <v>01</v>
      </c>
      <c r="E1498" t="s">
        <v>1043</v>
      </c>
      <c r="F1498" t="s">
        <v>21</v>
      </c>
      <c r="G1498" t="s">
        <v>106</v>
      </c>
      <c r="H1498" s="4" t="s">
        <v>2259</v>
      </c>
      <c r="I1498">
        <v>524569</v>
      </c>
      <c r="J1498" s="8" t="s">
        <v>30</v>
      </c>
      <c r="K1498" t="s">
        <v>436</v>
      </c>
      <c r="L1498" t="s">
        <v>437</v>
      </c>
      <c r="M1498" t="s">
        <v>40</v>
      </c>
      <c r="N1498">
        <f t="shared" si="72"/>
        <v>6</v>
      </c>
      <c r="O1498">
        <v>2</v>
      </c>
      <c r="P1498" s="6">
        <v>140.25</v>
      </c>
      <c r="Q1498">
        <v>14.03</v>
      </c>
      <c r="R1498">
        <v>266.47000000000003</v>
      </c>
      <c r="S1498">
        <v>13.32</v>
      </c>
      <c r="T1498">
        <v>20</v>
      </c>
      <c r="U1498">
        <v>0</v>
      </c>
      <c r="V1498">
        <v>299.79000000000002</v>
      </c>
      <c r="W1498" t="s">
        <v>27</v>
      </c>
      <c r="X1498">
        <v>22</v>
      </c>
    </row>
    <row r="1499" spans="1:24" ht="14.25" customHeight="1">
      <c r="A1499" t="s">
        <v>2247</v>
      </c>
      <c r="B1499" t="s">
        <v>2321</v>
      </c>
      <c r="C1499" s="6" t="str">
        <f t="shared" si="70"/>
        <v>February</v>
      </c>
      <c r="D1499" s="6" t="str">
        <f t="shared" si="71"/>
        <v>15</v>
      </c>
      <c r="E1499" t="s">
        <v>1045</v>
      </c>
      <c r="F1499" t="s">
        <v>21</v>
      </c>
      <c r="G1499" t="s">
        <v>37</v>
      </c>
      <c r="H1499" s="4" t="s">
        <v>2259</v>
      </c>
      <c r="I1499">
        <v>524529</v>
      </c>
      <c r="J1499" s="8" t="s">
        <v>2349</v>
      </c>
      <c r="K1499" t="s">
        <v>440</v>
      </c>
      <c r="L1499" t="s">
        <v>441</v>
      </c>
      <c r="M1499" t="s">
        <v>22</v>
      </c>
      <c r="N1499">
        <f t="shared" si="72"/>
        <v>6</v>
      </c>
      <c r="O1499">
        <v>7</v>
      </c>
      <c r="P1499" s="6">
        <v>63.66</v>
      </c>
      <c r="Q1499">
        <v>0</v>
      </c>
      <c r="R1499">
        <v>445.62</v>
      </c>
      <c r="S1499">
        <v>22.28</v>
      </c>
      <c r="T1499">
        <v>0</v>
      </c>
      <c r="U1499">
        <v>0</v>
      </c>
      <c r="V1499">
        <v>467.9</v>
      </c>
      <c r="W1499" t="s">
        <v>34</v>
      </c>
      <c r="X1499">
        <v>25</v>
      </c>
    </row>
    <row r="1500" spans="1:24" ht="14.25" customHeight="1">
      <c r="A1500" t="s">
        <v>2248</v>
      </c>
      <c r="B1500" t="s">
        <v>2297</v>
      </c>
      <c r="C1500" s="6" t="str">
        <f t="shared" si="70"/>
        <v>February</v>
      </c>
      <c r="D1500" s="6" t="str">
        <f t="shared" si="71"/>
        <v>06</v>
      </c>
      <c r="E1500" t="s">
        <v>1047</v>
      </c>
      <c r="F1500" t="s">
        <v>21</v>
      </c>
      <c r="G1500" t="s">
        <v>37</v>
      </c>
      <c r="H1500" s="4" t="s">
        <v>2259</v>
      </c>
      <c r="I1500">
        <v>524488</v>
      </c>
      <c r="J1500" s="8" t="s">
        <v>2345</v>
      </c>
      <c r="K1500" t="s">
        <v>444</v>
      </c>
      <c r="L1500" t="s">
        <v>445</v>
      </c>
      <c r="M1500" t="s">
        <v>89</v>
      </c>
      <c r="N1500">
        <f t="shared" si="72"/>
        <v>7</v>
      </c>
      <c r="O1500">
        <v>4</v>
      </c>
      <c r="P1500" s="6">
        <v>101.67</v>
      </c>
      <c r="Q1500">
        <v>0</v>
      </c>
      <c r="R1500">
        <v>406.68</v>
      </c>
      <c r="S1500">
        <v>20.329999999999998</v>
      </c>
      <c r="T1500">
        <v>20</v>
      </c>
      <c r="U1500">
        <v>15</v>
      </c>
      <c r="V1500">
        <v>462.01</v>
      </c>
      <c r="W1500" t="s">
        <v>27</v>
      </c>
      <c r="X1500">
        <v>32</v>
      </c>
    </row>
    <row r="1501" spans="1:24" ht="14.25" customHeight="1">
      <c r="A1501" t="s">
        <v>2249</v>
      </c>
      <c r="B1501" t="s">
        <v>2268</v>
      </c>
      <c r="C1501" s="6" t="str">
        <f t="shared" si="70"/>
        <v>January</v>
      </c>
      <c r="D1501" s="6" t="str">
        <f t="shared" si="71"/>
        <v>21</v>
      </c>
      <c r="E1501" t="s">
        <v>1049</v>
      </c>
      <c r="F1501" t="s">
        <v>21</v>
      </c>
      <c r="G1501" t="s">
        <v>37</v>
      </c>
      <c r="H1501" s="4" t="s">
        <v>2259</v>
      </c>
      <c r="I1501">
        <v>524448</v>
      </c>
      <c r="J1501" s="8" t="s">
        <v>23</v>
      </c>
      <c r="K1501" t="s">
        <v>448</v>
      </c>
      <c r="L1501" t="s">
        <v>449</v>
      </c>
      <c r="M1501" t="s">
        <v>33</v>
      </c>
      <c r="N1501">
        <f t="shared" ref="N1501" si="73">LEN(M1501)</f>
        <v>10</v>
      </c>
      <c r="O1501">
        <v>1</v>
      </c>
      <c r="P1501" s="6">
        <v>198.94</v>
      </c>
      <c r="Q1501">
        <v>29.84</v>
      </c>
      <c r="R1501">
        <v>169.1</v>
      </c>
      <c r="S1501">
        <v>8.4600000000000009</v>
      </c>
      <c r="T1501">
        <v>30</v>
      </c>
      <c r="U1501">
        <v>15</v>
      </c>
      <c r="V1501">
        <v>222.56</v>
      </c>
      <c r="W1501" t="s">
        <v>27</v>
      </c>
      <c r="X1501">
        <v>23</v>
      </c>
    </row>
  </sheetData>
  <sortState xmlns:xlrd2="http://schemas.microsoft.com/office/spreadsheetml/2017/richdata2" ref="A13:X1500">
    <sortCondition ref="A5:A1500"/>
  </sortState>
  <conditionalFormatting sqref="A1:A1048576">
    <cfRule type="duplicateValues" dxfId="1" priority="2"/>
  </conditionalFormatting>
  <conditionalFormatting sqref="I1 I1502:I1048576">
    <cfRule type="duplicateValues" dxfId="0" priority="3"/>
  </conditionalFormatting>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4112-BF2C-4ADD-8FA8-010E566CE892}">
  <dimension ref="A1:B106"/>
  <sheetViews>
    <sheetView zoomScale="61" zoomScaleNormal="130" workbookViewId="0">
      <selection activeCell="T89" sqref="T89"/>
    </sheetView>
  </sheetViews>
  <sheetFormatPr defaultRowHeight="14.4"/>
  <cols>
    <col min="1" max="1" width="18" bestFit="1" customWidth="1"/>
    <col min="2" max="2" width="16.109375" bestFit="1" customWidth="1"/>
  </cols>
  <sheetData>
    <row r="1" spans="1:2">
      <c r="A1" s="11" t="s">
        <v>2250</v>
      </c>
    </row>
    <row r="2" spans="1:2">
      <c r="A2" s="2" t="s">
        <v>2351</v>
      </c>
      <c r="B2" t="s">
        <v>2350</v>
      </c>
    </row>
    <row r="3" spans="1:2">
      <c r="A3" s="3" t="s">
        <v>606</v>
      </c>
      <c r="B3">
        <v>1364.17</v>
      </c>
    </row>
    <row r="4" spans="1:2">
      <c r="A4" s="3" t="s">
        <v>978</v>
      </c>
      <c r="B4">
        <v>1539.18</v>
      </c>
    </row>
    <row r="5" spans="1:2">
      <c r="A5" s="3" t="s">
        <v>1000</v>
      </c>
      <c r="B5">
        <v>1456.78</v>
      </c>
    </row>
    <row r="6" spans="1:2">
      <c r="A6" s="3" t="s">
        <v>1502</v>
      </c>
      <c r="B6">
        <v>1541.46</v>
      </c>
    </row>
    <row r="7" spans="1:2">
      <c r="A7" s="3" t="s">
        <v>1605</v>
      </c>
      <c r="B7">
        <v>1413.14</v>
      </c>
    </row>
    <row r="8" spans="1:2">
      <c r="A8" s="3" t="s">
        <v>1609</v>
      </c>
      <c r="B8">
        <v>1370.47</v>
      </c>
    </row>
    <row r="9" spans="1:2">
      <c r="A9" s="3" t="s">
        <v>1660</v>
      </c>
      <c r="B9">
        <v>1448.76</v>
      </c>
    </row>
    <row r="10" spans="1:2">
      <c r="A10" s="3" t="s">
        <v>1762</v>
      </c>
      <c r="B10">
        <v>1555.44</v>
      </c>
    </row>
    <row r="11" spans="1:2">
      <c r="A11" s="3" t="s">
        <v>1771</v>
      </c>
      <c r="B11">
        <v>1399.41</v>
      </c>
    </row>
    <row r="12" spans="1:2">
      <c r="A12" s="3" t="s">
        <v>2226</v>
      </c>
      <c r="B12">
        <v>1688.83</v>
      </c>
    </row>
    <row r="13" spans="1:2">
      <c r="A13" s="3" t="s">
        <v>2252</v>
      </c>
      <c r="B13">
        <v>14777.640000000001</v>
      </c>
    </row>
    <row r="16" spans="1:2">
      <c r="A16" s="11" t="s">
        <v>2353</v>
      </c>
    </row>
    <row r="18" spans="1:2">
      <c r="A18" s="2" t="s">
        <v>2352</v>
      </c>
      <c r="B18" t="s">
        <v>2350</v>
      </c>
    </row>
    <row r="19" spans="1:2">
      <c r="A19" s="3" t="s">
        <v>2322</v>
      </c>
      <c r="B19">
        <v>282500.82000000018</v>
      </c>
    </row>
    <row r="20" spans="1:2">
      <c r="A20" s="3" t="s">
        <v>2323</v>
      </c>
      <c r="B20">
        <v>270809.05000000016</v>
      </c>
    </row>
    <row r="21" spans="1:2">
      <c r="A21" s="3" t="s">
        <v>2324</v>
      </c>
      <c r="B21">
        <v>10682.380000000003</v>
      </c>
    </row>
    <row r="22" spans="1:2">
      <c r="A22" s="3" t="s">
        <v>2252</v>
      </c>
      <c r="B22">
        <v>563992.25000000035</v>
      </c>
    </row>
    <row r="31" spans="1:2">
      <c r="A31" s="11" t="s">
        <v>2355</v>
      </c>
    </row>
    <row r="33" spans="1:2">
      <c r="A33" s="2" t="s">
        <v>2354</v>
      </c>
      <c r="B33" t="s">
        <v>2350</v>
      </c>
    </row>
    <row r="34" spans="1:2">
      <c r="A34" s="3" t="s">
        <v>2326</v>
      </c>
      <c r="B34">
        <v>33179.46</v>
      </c>
    </row>
    <row r="35" spans="1:2">
      <c r="A35" s="3" t="s">
        <v>2327</v>
      </c>
      <c r="B35">
        <v>26284.590000000004</v>
      </c>
    </row>
    <row r="36" spans="1:2">
      <c r="A36" s="3" t="s">
        <v>2328</v>
      </c>
      <c r="B36">
        <v>25134.150000000005</v>
      </c>
    </row>
    <row r="37" spans="1:2">
      <c r="A37" s="3" t="s">
        <v>2329</v>
      </c>
      <c r="B37">
        <v>24444.61</v>
      </c>
    </row>
    <row r="38" spans="1:2">
      <c r="A38" s="3" t="s">
        <v>2330</v>
      </c>
      <c r="B38">
        <v>20151.239999999998</v>
      </c>
    </row>
    <row r="39" spans="1:2">
      <c r="A39" s="3" t="s">
        <v>2331</v>
      </c>
      <c r="B39">
        <v>23268.94</v>
      </c>
    </row>
    <row r="40" spans="1:2">
      <c r="A40" s="3" t="s">
        <v>2332</v>
      </c>
      <c r="B40">
        <v>20450.789999999994</v>
      </c>
    </row>
    <row r="41" spans="1:2">
      <c r="A41" s="3" t="s">
        <v>2333</v>
      </c>
      <c r="B41">
        <v>21970.329999999998</v>
      </c>
    </row>
    <row r="42" spans="1:2">
      <c r="A42" s="3" t="s">
        <v>2334</v>
      </c>
      <c r="B42">
        <v>21158.869999999995</v>
      </c>
    </row>
    <row r="43" spans="1:2">
      <c r="A43" s="3" t="s">
        <v>2335</v>
      </c>
      <c r="B43">
        <v>21945.21</v>
      </c>
    </row>
    <row r="44" spans="1:2">
      <c r="A44" s="3" t="s">
        <v>2252</v>
      </c>
      <c r="B44">
        <v>237988.19</v>
      </c>
    </row>
    <row r="48" spans="1:2">
      <c r="A48" s="11" t="s">
        <v>2357</v>
      </c>
    </row>
    <row r="50" spans="1:2">
      <c r="A50" s="2" t="s">
        <v>2251</v>
      </c>
      <c r="B50" t="s">
        <v>2253</v>
      </c>
    </row>
    <row r="51" spans="1:2">
      <c r="A51" s="3" t="s">
        <v>22</v>
      </c>
      <c r="B51">
        <v>87989.499999999971</v>
      </c>
    </row>
    <row r="52" spans="1:2">
      <c r="A52" s="3" t="s">
        <v>37</v>
      </c>
      <c r="B52">
        <v>96038.710000000036</v>
      </c>
    </row>
    <row r="53" spans="1:2">
      <c r="A53" s="3" t="s">
        <v>74</v>
      </c>
      <c r="B53">
        <v>87461.869999999952</v>
      </c>
    </row>
    <row r="54" spans="1:2">
      <c r="A54" s="3" t="s">
        <v>81</v>
      </c>
      <c r="B54">
        <v>93946.400000000009</v>
      </c>
    </row>
    <row r="55" spans="1:2">
      <c r="A55" s="3" t="s">
        <v>68</v>
      </c>
      <c r="B55">
        <v>103708.08999999992</v>
      </c>
    </row>
    <row r="56" spans="1:2">
      <c r="A56" s="3" t="s">
        <v>106</v>
      </c>
      <c r="B56">
        <v>94847.679999999949</v>
      </c>
    </row>
    <row r="57" spans="1:2">
      <c r="A57" s="3" t="s">
        <v>2252</v>
      </c>
      <c r="B57">
        <v>563992.24999999988</v>
      </c>
    </row>
    <row r="64" spans="1:2">
      <c r="A64" s="11" t="s">
        <v>2358</v>
      </c>
    </row>
    <row r="66" spans="1:2">
      <c r="A66" s="2" t="s">
        <v>2360</v>
      </c>
      <c r="B66" t="s">
        <v>2336</v>
      </c>
    </row>
    <row r="67" spans="1:2">
      <c r="A67" s="3" t="s">
        <v>21</v>
      </c>
      <c r="B67">
        <v>3519</v>
      </c>
    </row>
    <row r="68" spans="1:2">
      <c r="A68" s="3" t="s">
        <v>80</v>
      </c>
      <c r="B68">
        <v>350</v>
      </c>
    </row>
    <row r="69" spans="1:2">
      <c r="A69" s="3" t="s">
        <v>101</v>
      </c>
      <c r="B69">
        <v>338</v>
      </c>
    </row>
    <row r="70" spans="1:2">
      <c r="A70" s="3" t="s">
        <v>2252</v>
      </c>
      <c r="B70">
        <v>4207</v>
      </c>
    </row>
    <row r="80" spans="1:2">
      <c r="A80" s="11" t="s">
        <v>2359</v>
      </c>
    </row>
    <row r="82" spans="1:2">
      <c r="A82" s="2" t="s">
        <v>2361</v>
      </c>
      <c r="B82" t="s">
        <v>2337</v>
      </c>
    </row>
    <row r="83" spans="1:2">
      <c r="A83" s="3" t="s">
        <v>2347</v>
      </c>
      <c r="B83">
        <v>165</v>
      </c>
    </row>
    <row r="84" spans="1:2">
      <c r="A84" s="3" t="s">
        <v>62</v>
      </c>
      <c r="B84">
        <v>155</v>
      </c>
    </row>
    <row r="85" spans="1:2">
      <c r="A85" s="3" t="s">
        <v>2349</v>
      </c>
      <c r="B85">
        <v>182</v>
      </c>
    </row>
    <row r="86" spans="1:2">
      <c r="A86" s="3" t="s">
        <v>2346</v>
      </c>
      <c r="B86">
        <v>186</v>
      </c>
    </row>
    <row r="87" spans="1:2">
      <c r="A87" s="3" t="s">
        <v>2348</v>
      </c>
      <c r="B87">
        <v>161</v>
      </c>
    </row>
    <row r="88" spans="1:2">
      <c r="A88" s="3" t="s">
        <v>30</v>
      </c>
      <c r="B88">
        <v>493</v>
      </c>
    </row>
    <row r="89" spans="1:2">
      <c r="A89" s="3" t="s">
        <v>2345</v>
      </c>
      <c r="B89">
        <v>158</v>
      </c>
    </row>
    <row r="90" spans="1:2">
      <c r="A90" s="3" t="s">
        <v>2252</v>
      </c>
      <c r="B90">
        <v>1500</v>
      </c>
    </row>
    <row r="97" spans="1:2">
      <c r="A97" s="12" t="s">
        <v>2363</v>
      </c>
    </row>
    <row r="99" spans="1:2">
      <c r="A99" s="2" t="s">
        <v>2251</v>
      </c>
      <c r="B99" t="s">
        <v>2253</v>
      </c>
    </row>
    <row r="100" spans="1:2">
      <c r="A100" s="3" t="s">
        <v>2255</v>
      </c>
      <c r="B100">
        <v>19853.019999999997</v>
      </c>
    </row>
    <row r="101" spans="1:2">
      <c r="A101" s="3" t="s">
        <v>2254</v>
      </c>
      <c r="B101">
        <v>17262.84</v>
      </c>
    </row>
    <row r="102" spans="1:2">
      <c r="A102" s="3" t="s">
        <v>2256</v>
      </c>
      <c r="B102">
        <v>123558.45</v>
      </c>
    </row>
    <row r="103" spans="1:2">
      <c r="A103" s="3" t="s">
        <v>2257</v>
      </c>
      <c r="B103">
        <v>151086.0400000001</v>
      </c>
    </row>
    <row r="104" spans="1:2">
      <c r="A104" s="3" t="s">
        <v>2259</v>
      </c>
      <c r="B104">
        <v>106771.86</v>
      </c>
    </row>
    <row r="105" spans="1:2">
      <c r="A105" s="3" t="s">
        <v>2258</v>
      </c>
      <c r="B105">
        <v>145460.03999999989</v>
      </c>
    </row>
    <row r="106" spans="1:2">
      <c r="A106" s="3" t="s">
        <v>2252</v>
      </c>
      <c r="B106">
        <v>563992.25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3C092-C36B-45D5-AF2F-072A28C49292}">
  <dimension ref="E3:I16"/>
  <sheetViews>
    <sheetView workbookViewId="0">
      <selection activeCell="J13" sqref="J13"/>
    </sheetView>
  </sheetViews>
  <sheetFormatPr defaultRowHeight="14.4"/>
  <cols>
    <col min="1" max="1" width="17.33203125" bestFit="1" customWidth="1"/>
    <col min="5" max="5" width="17.33203125" bestFit="1" customWidth="1"/>
    <col min="6" max="6" width="12" bestFit="1" customWidth="1"/>
  </cols>
  <sheetData>
    <row r="3" spans="5:9">
      <c r="I3" t="s">
        <v>2344</v>
      </c>
    </row>
    <row r="8" spans="5:9" ht="14.4" customHeight="1">
      <c r="E8" s="13"/>
      <c r="F8" s="14"/>
      <c r="H8">
        <f>COUNTBLANK(DATASET!I2:I1501)</f>
        <v>0</v>
      </c>
    </row>
    <row r="9" spans="5:9" ht="31.2">
      <c r="E9" s="15" t="s">
        <v>2362</v>
      </c>
      <c r="F9" s="16"/>
    </row>
    <row r="10" spans="5:9" ht="31.2">
      <c r="E10" s="13"/>
      <c r="F10" s="14"/>
    </row>
    <row r="11" spans="5:9">
      <c r="E11" t="s">
        <v>2338</v>
      </c>
      <c r="F11">
        <f>SUM(DATASET!V1:V1501)</f>
        <v>563992.24999999953</v>
      </c>
    </row>
    <row r="12" spans="5:9">
      <c r="E12" t="s">
        <v>2339</v>
      </c>
      <c r="F12">
        <f>COUNTA(_xlfn.UNIQUE(DATASET!A2:A1501))</f>
        <v>1500</v>
      </c>
    </row>
    <row r="13" spans="5:9">
      <c r="E13" t="s">
        <v>2340</v>
      </c>
      <c r="F13">
        <f>COUNTA((_xlfn.UNIQUE(DATASET!E2:E1501)))</f>
        <v>300</v>
      </c>
    </row>
    <row r="14" spans="5:9">
      <c r="E14" t="s">
        <v>2341</v>
      </c>
      <c r="F14">
        <f>COUNTA(_xlfn.UNIQUE(DATASET!L2:L1501))</f>
        <v>200</v>
      </c>
    </row>
    <row r="15" spans="5:9">
      <c r="E15" t="s">
        <v>2342</v>
      </c>
      <c r="F15">
        <f>SUM(DATASET!O2:O1501)</f>
        <v>4207</v>
      </c>
    </row>
    <row r="16" spans="5:9">
      <c r="E16" t="s">
        <v>2343</v>
      </c>
      <c r="F16">
        <f>AVERAGE(DATASET!V1:V1501)</f>
        <v>375.99483333333302</v>
      </c>
    </row>
  </sheetData>
  <mergeCells count="3">
    <mergeCell ref="E8:F8"/>
    <mergeCell ref="E9:F9"/>
    <mergeCell ref="E10:F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2B54C-D4A5-43E5-8F71-AFD08C654925}">
  <dimension ref="A1"/>
  <sheetViews>
    <sheetView tabSelected="1" zoomScale="65" zoomScaleNormal="81" workbookViewId="0">
      <selection activeCell="Z25" sqref="Z25"/>
    </sheetView>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PIVOTS AND CHARTS </vt:lpstr>
      <vt:lpstr>KPI</vt:lpstr>
      <vt:lpstr>ZEPTO 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aswin palakkal</cp:lastModifiedBy>
  <dcterms:created xsi:type="dcterms:W3CDTF">2026-01-22T10:12:55Z</dcterms:created>
  <dcterms:modified xsi:type="dcterms:W3CDTF">2026-08-13T17:00:04Z</dcterms:modified>
</cp:coreProperties>
</file>